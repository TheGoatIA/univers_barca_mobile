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ez-moi" sheetId="1" state="visible" r:id="rId3"/>
    <sheet name="Paramètres" sheetId="2" state="visible" r:id="rId4"/>
    <sheet name="Étapes" sheetId="3" state="visible" r:id="rId5"/>
    <sheet name="Jalons" sheetId="4" state="visible" r:id="rId6"/>
    <sheet name="Gantt" sheetId="5" state="visible" r:id="rId7"/>
    <sheet name="Épopées" sheetId="6" state="visible" r:id="rId8"/>
    <sheet name="Backlog" sheetId="7" state="visible" r:id="rId9"/>
    <sheet name="Suivi" sheetId="8" state="visible" r:id="rId10"/>
    <sheet name="Scénarios" sheetId="9" state="visible" r:id="rId11"/>
    <sheet name="Décisions et risques" sheetId="10" state="visible" r:id="rId12"/>
  </sheets>
  <definedNames>
    <definedName function="false" hidden="true" localSheetId="6" name="_xlnm._FilterDatabase" vbProcedure="false">Backlog!$A$5:$T$1327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<sst xmlns="http://schemas.openxmlformats.org/spreadsheetml/2006/main" count="16548" uniqueCount="3707">
  <si>
    <t xml:space="preserve">Univers Barça — Plan de réalisation et suivi du projet</t>
  </si>
  <si>
    <t xml:space="preserve">Fichier de pilotage : planning par jalons, Gantt, backlog complet et tableau de bord. Généré à partir du backlog des 3 dépôts GitHub.</t>
  </si>
  <si>
    <t xml:space="preserve">Comment l’utiliser</t>
  </si>
  <si>
    <t xml:space="preserve">1. « Paramètres » : date de début, nombre de développeurs par flux, facteur de focus, marge. Tout le planning se recalcule.</t>
  </si>
  <si>
    <t xml:space="preserve">2. « Étapes » : plan de réalisation étape par étape (phases 0 à 3), avec charge, dates et critères de sortie.</t>
  </si>
  <si>
    <t xml:space="preserve">3. « Jalons » : jalons de fin de phase (dates calculées, date réelle à saisir) ; « Gantt » : barres par semaine et par épopée.</t>
  </si>
  <si>
    <t xml:space="preserve">4. « Épopées » : plan détaillé par épopée (flux × phase) avec avancement ; « Backlog » : une ligne par issue avec statut à mettre à jour.</t>
  </si>
  <si>
    <t xml:space="preserve">5. « Suivi » : tableau de bord (avancement par phase, par flux, par statut) ; « Scénarios » : durée selon la taille de l’équipe ; « Décisions et risques ».</t>
  </si>
  <si>
    <t xml:space="preserve">Code couleur</t>
  </si>
  <si>
    <t xml:space="preserve">Texte bleu sur fond jaune = cellule à modifier · texte noir = formule (ne pas écraser) · couleurs de phase : gris-bleu (0), grenat (1), bleu (2), or (3).</t>
  </si>
  <si>
    <t xml:space="preserve">Hypothèses (à valider)</t>
  </si>
  <si>
    <t xml:space="preserve">• Charge par taille d’issue (XS 0,25 j · S 0,5 · M 1 · L 2 · XL 3,5) : estimation indicative à recalibrer après les premiers sprints (feuille Paramètres).</t>
  </si>
  <si>
    <t xml:space="preserve">• Équipe par défaut : 3 développeurs API, 3 Mobile, 2 Admin (8 au total), focus 80 %, marge 15 %. Le CDC évoque un contexte solo : voir la feuille « Scénarios ».</t>
  </si>
  <si>
    <t xml:space="preserve">• Mobile et Admin démarrent chaque phase ≥ 1 avec 20 jours ouvrés de décalage sur l’API (endpoints disponibles). Jours fériés non pris en compte.</t>
  </si>
  <si>
    <t xml:space="preserve">• Les statuts se saisissent dans « Backlog » (liste déroulante). Aucune synchronisation automatique avec GitHub : le fichier se met à jour à la main ou via un export du projet GitHub.</t>
  </si>
  <si>
    <t xml:space="preserve">Mise à jour</t>
  </si>
  <si>
    <t xml:space="preserve">Mettre à jour la colonne « Statut » (et, si utile, « Début réel » / « Fin réel ») dans « Backlog » : « Épopées », « Gantt », « Jalons » et « Suivi » se recalculent seuls.</t>
  </si>
  <si>
    <t xml:space="preserve">Paramètres du planning</t>
  </si>
  <si>
    <t xml:space="preserve">Cellules en bleu sur fond jaune = à modifier ; tout le planning (durées, dates, Gantt, jalons) se recalcule.</t>
  </si>
  <si>
    <t xml:space="preserve">Date de début du projet</t>
  </si>
  <si>
    <t xml:space="preserve">Lundi conseillé. Hypothèse : début après cadrage (secrets, VPS, Firebase, décisions).</t>
  </si>
  <si>
    <t xml:space="preserve">Facteur de focus (productivité réelle)</t>
  </si>
  <si>
    <t xml:space="preserve">Réunions, revues, aléas : 80 % du temps nominal est productif.</t>
  </si>
  <si>
    <t xml:space="preserve">Marge pour aléas</t>
  </si>
  <si>
    <t xml:space="preserve">Ajoutée à la charge de chaque épopée.</t>
  </si>
  <si>
    <t xml:space="preserve">Développeurs sur le flux API</t>
  </si>
  <si>
    <t xml:space="preserve">Équivalents temps plein (peut être décimal : 1,5).</t>
  </si>
  <si>
    <t xml:space="preserve">Développeurs sur le flux Mobile</t>
  </si>
  <si>
    <t xml:space="preserve">Développeurs sur le flux Admin</t>
  </si>
  <si>
    <t xml:space="preserve">Décalage Mobile/Admin sur l’API (jours ouvrés)</t>
  </si>
  <si>
    <t xml:space="preserve">En phases 1 à 3, Mobile/Admin démarrent N jours ouvrés après l’API (endpoints disponibles).</t>
  </si>
  <si>
    <t xml:space="preserve">Durée de recette par phase (jours ouvrés)</t>
  </si>
  <si>
    <t xml:space="preserve">UAT + correctifs + observation staging (CDC §15).</t>
  </si>
  <si>
    <t xml:space="preserve">Barème de charge par taille (jours·personne)</t>
  </si>
  <si>
    <t xml:space="preserve">Taille</t>
  </si>
  <si>
    <t xml:space="preserve">Charge (j)</t>
  </si>
  <si>
    <t xml:space="preserve">Signification</t>
  </si>
  <si>
    <t xml:space="preserve">XS</t>
  </si>
  <si>
    <t xml:space="preserve">≈ 2 h : détail, libellé, petit test</t>
  </si>
  <si>
    <t xml:space="preserve">S</t>
  </si>
  <si>
    <t xml:space="preserve">≈ demi-journée</t>
  </si>
  <si>
    <t xml:space="preserve">M</t>
  </si>
  <si>
    <t xml:space="preserve">≈ 1 jour</t>
  </si>
  <si>
    <t xml:space="preserve">L</t>
  </si>
  <si>
    <t xml:space="preserve">≈ 2 jours (à redécouper si possible)</t>
  </si>
  <si>
    <t xml:space="preserve">XL</t>
  </si>
  <si>
    <t xml:space="preserve">≈ 3-4 jours (à redécouper)</t>
  </si>
  <si>
    <t xml:space="preserve">Phases</t>
  </si>
  <si>
    <t xml:space="preserve">Phase</t>
  </si>
  <si>
    <t xml:space="preserve">Intitulé</t>
  </si>
  <si>
    <t xml:space="preserve">Objectif de sortie (CDC §5.5)</t>
  </si>
  <si>
    <t xml:space="preserve">Phase 0 — Socle technique</t>
  </si>
  <si>
    <t xml:space="preserve">Environnements opérationnels, premier commit déployé en staging</t>
  </si>
  <si>
    <t xml:space="preserve">Phase 1 — MVP</t>
  </si>
  <si>
    <t xml:space="preserve">Version testable par un cercle restreint d’utilisateurs</t>
  </si>
  <si>
    <t xml:space="preserve">Phase 2 — Communautaire &amp; compétitif</t>
  </si>
  <si>
    <t xml:space="preserve">Version communautaire complète</t>
  </si>
  <si>
    <t xml:space="preserve">Phase 3 — Fonctionnalités avancées</t>
  </si>
  <si>
    <t xml:space="preserve">Version complète du périmètre fonctionnel cible</t>
  </si>
  <si>
    <t xml:space="preserve">Plan de réalisation — étapes détaillées</t>
  </si>
  <si>
    <t xml:space="preserve">Chaque étape regroupe des épopées du backlog ; charge, début et fin sont calculés depuis « Épopées ». Les étapes « Recette » ont une durée fixe (Paramètres).</t>
  </si>
  <si>
    <t xml:space="preserve">Étape</t>
  </si>
  <si>
    <t xml:space="preserve">Objectif</t>
  </si>
  <si>
    <t xml:space="preserve">Épopées (backlog)</t>
  </si>
  <si>
    <t xml:space="preserve">Prérequis</t>
  </si>
  <si>
    <t xml:space="preserve">Livrables</t>
  </si>
  <si>
    <t xml:space="preserve">Critères de sortie</t>
  </si>
  <si>
    <t xml:space="preserve">Début</t>
  </si>
  <si>
    <t xml:space="preserve">Fin</t>
  </si>
  <si>
    <t xml:space="preserve">Durée (jo)</t>
  </si>
  <si>
    <t xml:space="preserve">Statut</t>
  </si>
  <si>
    <t xml:space="preserve">0.1</t>
  </si>
  <si>
    <t xml:space="preserve">Cadrage et mise en place (avant J0)</t>
  </si>
  <si>
    <t xml:space="preserve">Débloquer l’environnement de travail avant le premier jour de développement.</t>
  </si>
  <si>
    <t xml:space="preserve">Aucune (actions manuelles)</t>
  </si>
  <si>
    <t xml:space="preserve">—</t>
  </si>
  <si>
    <t xml:space="preserve">Secrets GitHub (VPS, Firebase, stores), environnements staging/production, projet GitHub relié, protection des branches, nom de domaine et DNS.</t>
  </si>
  <si>
    <t xml:space="preserve">Décisions « à confirmer » tranchées (voir feuille Décisions) ; pipelines CD capables de déployer.</t>
  </si>
  <si>
    <t xml:space="preserve">À faire</t>
  </si>
  <si>
    <t xml:space="preserve">0.2</t>
  </si>
  <si>
    <t xml:space="preserve">Socle API et plateforme</t>
  </si>
  <si>
    <t xml:space="preserve">Rendre l’API exploitable : configuration, observabilité, sécurité de base, identité.</t>
  </si>
  <si>
    <t xml:space="preserve">API-PLAT, API-AUTH</t>
  </si>
  <si>
    <t xml:space="preserve">API en staging avec /health, /metrics, Swagger, migrations, jobs de base.</t>
  </si>
  <si>
    <t xml:space="preserve">CI verte ; staging déployé ; tests de charge « smoke » passants.</t>
  </si>
  <si>
    <t xml:space="preserve">0.3</t>
  </si>
  <si>
    <t xml:space="preserve">Design system mobile</t>
  </si>
  <si>
    <t xml:space="preserve">Implémenter tokens, composants et animations du design system Flutter.</t>
  </si>
  <si>
    <t xml:space="preserve">MOB-ZA, MOB-ZB, MOB-ZC, MOB-ZD, MOB-ZE</t>
  </si>
  <si>
    <t xml:space="preserve">Widgets sous lib/core/widgets, thèmes clair/sombre, golden tests.</t>
  </si>
  <si>
    <t xml:space="preserve">Planches ZA-ZE reproduites à l’identique ; goldens verts.</t>
  </si>
  <si>
    <t xml:space="preserve">0.4</t>
  </si>
  <si>
    <t xml:space="preserve">Socle Flutter et états système</t>
  </si>
  <si>
    <t xml:space="preserve">Navigation, réseau, stockage, i18n, Firebase, écrans système.</t>
  </si>
  <si>
    <t xml:space="preserve">MOB-FND, MOB-A</t>
  </si>
  <si>
    <t xml:space="preserve">0.3 (en parallèle)</t>
  </si>
  <si>
    <t xml:space="preserve">ShellRoute 5 onglets, AuthBloc, Chopper + refresh, Drift, ARB FR/EN/ES, écrans A-01…A-10.</t>
  </si>
  <si>
    <t xml:space="preserve">App installable (APK/IPA) sur staging ; états offline/5xx/429/maintenance gérés.</t>
  </si>
  <si>
    <t xml:space="preserve">0.5</t>
  </si>
  <si>
    <t xml:space="preserve">Socle et design system admin</t>
  </si>
  <si>
    <t xml:space="preserve">Base du back-office : routage par rôle, composants, qualité.</t>
  </si>
  <si>
    <t xml:space="preserve">ADM-FND, ADM-ADS</t>
  </si>
  <si>
    <t xml:space="preserve">Composants shadcn-style, layout responsive, tests Vitest/Playwright.</t>
  </si>
  <si>
    <t xml:space="preserve">Admin déployé en staging ; accessibilité de base validée.</t>
  </si>
  <si>
    <t xml:space="preserve">1.1</t>
  </si>
  <si>
    <t xml:space="preserve">Identité, comptes et paramètres</t>
  </si>
  <si>
    <t xml:space="preserve">Inscription, connexion, RGPD, profil et paramètres côté API, mobile et admin.</t>
  </si>
  <si>
    <t xml:space="preserve">API-AUTH, MOB-B, MOB-Q, ADM-WA, ADM-WI</t>
  </si>
  <si>
    <t xml:space="preserve">0.2, 0.4, 0.5</t>
  </si>
  <si>
    <t xml:space="preserve">Parcours onboarding → compte vérifié ; export/suppression RGPD ; comptes admin + 2FA.</t>
  </si>
  <si>
    <t xml:space="preserve">Parcours d’inscription E2E vert ; consentements historisés ; tests de sécurité auth verts.</t>
  </si>
  <si>
    <t xml:space="preserve">1.2</t>
  </si>
  <si>
    <t xml:space="preserve">Données football, historique et contenu</t>
  </si>
  <si>
    <t xml:space="preserve">Alimenter et publier les données joueurs/matchs ; consultation côté mobile.</t>
  </si>
  <si>
    <t xml:space="preserve">API-FOOT, MOB-F, ADM-WC, ADM-WD, ADM-WE</t>
  </si>
  <si>
    <t xml:space="preserve">1.1 (auth)</t>
  </si>
  <si>
    <t xml:space="preserve">Synchro API football, CRUD joueurs/matchs/anecdotes, historique et fiches mobiles.</t>
  </si>
  <si>
    <t xml:space="preserve">Données réelles visibles dans l’app ; workflow de publication et traductions opérationnel.</t>
  </si>
  <si>
    <t xml:space="preserve">1.3</t>
  </si>
  <si>
    <t xml:space="preserve">Accueil, calendrier et tableau de bord</t>
  </si>
  <si>
    <t xml:space="preserve">Dashboard d’accueil, calendrier et export agenda, KPI admin.</t>
  </si>
  <si>
    <t xml:space="preserve">API-CAL, MOB-C, MOB-L, ADM-WB</t>
  </si>
  <si>
    <t xml:space="preserve">Dashboard, calendrier, export ICS / abonnement, KPI admin et recherche globale.</t>
  </si>
  <si>
    <t xml:space="preserve">Export ICS validé sur iOS/Android ; recherche admin &lt; 300 ms.</t>
  </si>
  <si>
    <t xml:space="preserve">1.4</t>
  </si>
  <si>
    <t xml:space="preserve">Jeux quotidiens</t>
  </si>
  <si>
    <t xml:space="preserve">Guess the Player et Quiz adaptatif, classements, streaks.</t>
  </si>
  <si>
    <t xml:space="preserve">API-JEUX, MOB-D, MOB-E, ADM-WF</t>
  </si>
  <si>
    <t xml:space="preserve">Défi quotidien, quiz adaptatif, scoring, streaks, back-office des questions.</t>
  </si>
  <si>
    <t xml:space="preserve">Défi identique pour tous ; anti-triche testé ; test de charge « défi du soir ».</t>
  </si>
  <si>
    <t xml:space="preserve">1.5</t>
  </si>
  <si>
    <t xml:space="preserve">Assistant IA Barça AI</t>
  </si>
  <si>
    <t xml:space="preserve">Assistant conversationnel borné aux faits, avec garde-fous et quotas.</t>
  </si>
  <si>
    <t xml:space="preserve">API-IA, MOB-N</t>
  </si>
  <si>
    <t xml:space="preserve">Chat en streaming, historique, quotas, modération, kill switch.</t>
  </si>
  <si>
    <t xml:space="preserve">Jeu de tests de non-régression de prompts vert ; coûts suivis.</t>
  </si>
  <si>
    <t xml:space="preserve">1.6</t>
  </si>
  <si>
    <t xml:space="preserve">Notifications</t>
  </si>
  <si>
    <t xml:space="preserve">Notifications push et centre de notifications.</t>
  </si>
  <si>
    <t xml:space="preserve">API-NOTIF, MOB-O</t>
  </si>
  <si>
    <t xml:space="preserve">Jetons d’appareil, préférences, envoi FCM, campagnes admin.</t>
  </si>
  <si>
    <t xml:space="preserve">Notification reçue sur iOS et Android en staging ; DLQ supervisée.</t>
  </si>
  <si>
    <t xml:space="preserve">1.7</t>
  </si>
  <si>
    <t xml:space="preserve">Exploitation et supervision MVP</t>
  </si>
  <si>
    <t xml:space="preserve">Industrialiser : monitoring, sauvegardes, charge, supervision admin.</t>
  </si>
  <si>
    <t xml:space="preserve">API-PLAT, ADM-WH, ADM-WJ</t>
  </si>
  <si>
    <t xml:space="preserve">1.1 à 1.6 (en continu)</t>
  </si>
  <si>
    <t xml:space="preserve">Dashboards Grafana, alertes, sauvegardes testées, supervision technique admin, capacité mesurée.</t>
  </si>
  <si>
    <t xml:space="preserve">Restauration testée ; dimensionnement serveur documenté (tests de charge).</t>
  </si>
  <si>
    <t xml:space="preserve">1.8</t>
  </si>
  <si>
    <t xml:space="preserve">Recette MVP et bêta fermée</t>
  </si>
  <si>
    <t xml:space="preserve">Valider le MVP avec un cercle restreint.</t>
  </si>
  <si>
    <t xml:space="preserve">Aucune épopée — durée fixe (Paramètres)</t>
  </si>
  <si>
    <t xml:space="preserve">1.1 à 1.7</t>
  </si>
  <si>
    <t xml:space="preserve">Rapport de recette, correctifs, version bêta (TestFlight / Firebase App Distribution).</t>
  </si>
  <si>
    <t xml:space="preserve">Critères de sortie du CDC §15.2 atteints (couverture, anomalies, doc, observation 48 h).</t>
  </si>
  <si>
    <t xml:space="preserve">2.1</t>
  </si>
  <si>
    <t xml:space="preserve">Communauté : carte, groupes et modération</t>
  </si>
  <si>
    <t xml:space="preserve">Carte communautaire, groupes locaux, modération (côté API, mobile, admin).</t>
  </si>
  <si>
    <t xml:space="preserve">API-COMM, API-MODER, MOB-J, MOB-K, ADM-WG, ADM-WJ</t>
  </si>
  <si>
    <t xml:space="preserve">Phase 1</t>
  </si>
  <si>
    <t xml:space="preserve">Carte agrégée, groupes, signalements, sanctions, journal d’audit.</t>
  </si>
  <si>
    <t xml:space="preserve">Revue RGPD géolocalisation ; test de modération de bout en bout.</t>
  </si>
  <si>
    <t xml:space="preserve">2.2</t>
  </si>
  <si>
    <t xml:space="preserve">Comparateur GOAT</t>
  </si>
  <si>
    <t xml:space="preserve">Comparateur et votes.</t>
  </si>
  <si>
    <t xml:space="preserve">API-GOAT, MOB-G</t>
  </si>
  <si>
    <t xml:space="preserve">Comparateur, votes, agrégats.</t>
  </si>
  <si>
    <t xml:space="preserve">Anti-abus testé.</t>
  </si>
  <si>
    <t xml:space="preserve">2.3</t>
  </si>
  <si>
    <t xml:space="preserve">Fantasy Barça</t>
  </si>
  <si>
    <t xml:space="preserve">Équipes fantasy, journées, classements, ligues.</t>
  </si>
  <si>
    <t xml:space="preserve">API-FANT, MOB-H</t>
  </si>
  <si>
    <t xml:space="preserve">Phase 1 (données matchs)</t>
  </si>
  <si>
    <t xml:space="preserve">Composition, scoring par journée, ligues.</t>
  </si>
  <si>
    <t xml:space="preserve">Calcul des points idempotent et testé sur matchs réels.</t>
  </si>
  <si>
    <t xml:space="preserve">2.4</t>
  </si>
  <si>
    <t xml:space="preserve">Culé Passport</t>
  </si>
  <si>
    <t xml:space="preserve">Profil de gamification transverse.</t>
  </si>
  <si>
    <t xml:space="preserve">API-PASS, MOB-P</t>
  </si>
  <si>
    <t xml:space="preserve">2.2, 2.3</t>
  </si>
  <si>
    <t xml:space="preserve">XP, niveaux, badges, historique.</t>
  </si>
  <si>
    <t xml:space="preserve">Règles de badges validées.</t>
  </si>
  <si>
    <t xml:space="preserve">2.5</t>
  </si>
  <si>
    <t xml:space="preserve">Durcissement plateforme</t>
  </si>
  <si>
    <t xml:space="preserve">Performance, sécurité et charge de la phase 2.</t>
  </si>
  <si>
    <t xml:space="preserve">API-PLAT</t>
  </si>
  <si>
    <t xml:space="preserve">Phase 2 (en continu)</t>
  </si>
  <si>
    <t xml:space="preserve">Index, caches, tests de charge étendus.</t>
  </si>
  <si>
    <t xml:space="preserve">Test de charge « soir de match » validé.</t>
  </si>
  <si>
    <t xml:space="preserve">2.6</t>
  </si>
  <si>
    <t xml:space="preserve">Recette phase 2</t>
  </si>
  <si>
    <t xml:space="preserve">Valider la version communautaire.</t>
  </si>
  <si>
    <t xml:space="preserve">2.1 à 2.5</t>
  </si>
  <si>
    <t xml:space="preserve">Rapport de recette phase 2.</t>
  </si>
  <si>
    <t xml:space="preserve">Critères §15.2 atteints.</t>
  </si>
  <si>
    <t xml:space="preserve">3.1</t>
  </si>
  <si>
    <t xml:space="preserve">La Masia Academy</t>
  </si>
  <si>
    <t xml:space="preserve">Académie fantasy.</t>
  </si>
  <si>
    <t xml:space="preserve">API-FANT, MOB-I</t>
  </si>
  <si>
    <t xml:space="preserve">Phase 2 (Fantasy)</t>
  </si>
  <si>
    <t xml:space="preserve">Joueurs d’académie, progression.</t>
  </si>
  <si>
    <t xml:space="preserve">Règles validées avec le porteur du projet.</t>
  </si>
  <si>
    <t xml:space="preserve">3.2</t>
  </si>
  <si>
    <t xml:space="preserve">Wallpapers IA</t>
  </si>
  <si>
    <t xml:space="preserve">Génération d’images, galerie, partage.</t>
  </si>
  <si>
    <t xml:space="preserve">API-WALL, MOB-M</t>
  </si>
  <si>
    <t xml:space="preserve">Phase 1 (IA)</t>
  </si>
  <si>
    <t xml:space="preserve">Génération, file d’attente, modération des images, galerie.</t>
  </si>
  <si>
    <t xml:space="preserve">Aucun logo du club ; coûts maîtrisés.</t>
  </si>
  <si>
    <t xml:space="preserve">3.3</t>
  </si>
  <si>
    <t xml:space="preserve">Évolutions admin phase 3</t>
  </si>
  <si>
    <t xml:space="preserve">Compléments du back-office.</t>
  </si>
  <si>
    <t xml:space="preserve">ADM-WJ</t>
  </si>
  <si>
    <t xml:space="preserve">Phase 2</t>
  </si>
  <si>
    <t xml:space="preserve">Écrans évolutions phase 3.</t>
  </si>
  <si>
    <t xml:space="preserve">Recette admin.</t>
  </si>
  <si>
    <t xml:space="preserve">3.4</t>
  </si>
  <si>
    <t xml:space="preserve">Recette finale, charge et mise en production</t>
  </si>
  <si>
    <t xml:space="preserve">Finaliser, mesurer et publier.</t>
  </si>
  <si>
    <t xml:space="preserve">3.1 à 3.3</t>
  </si>
  <si>
    <t xml:space="preserve">Campagne de charge finale, documentation, publication stores, tag de version production.</t>
  </si>
  <si>
    <t xml:space="preserve">Périmètre complet livré ; observabilité sans anomalie.</t>
  </si>
  <si>
    <t xml:space="preserve">Jalons du projet</t>
  </si>
  <si>
    <t xml:space="preserve">Dates calculées depuis le planning ; « Date réelle » et « Statut » sont à saisir au fil de l’eau.</t>
  </si>
  <si>
    <t xml:space="preserve">N°</t>
  </si>
  <si>
    <t xml:space="preserve">Jalon</t>
  </si>
  <si>
    <t xml:space="preserve">Date prévue</t>
  </si>
  <si>
    <t xml:space="preserve">Critères de sortie (CDC §5.5 et §15.2)</t>
  </si>
  <si>
    <t xml:space="preserve">Date réelle</t>
  </si>
  <si>
    <t xml:space="preserve">Écart (jours)</t>
  </si>
  <si>
    <t xml:space="preserve">M0</t>
  </si>
  <si>
    <t xml:space="preserve">Lancement du projet (kick-off)</t>
  </si>
  <si>
    <t xml:space="preserve">Secrets, environnements, projet GitHub et décisions « à confirmer » traités.</t>
  </si>
  <si>
    <t xml:space="preserve">Terminé</t>
  </si>
  <si>
    <t xml:space="preserve">M1</t>
  </si>
  <si>
    <t xml:space="preserve">Phase 0 terminée — socle opérationnel</t>
  </si>
  <si>
    <t xml:space="preserve">Environnements opérationnels ; premier commit déployé en staging ; CI/CD verte ; design system implémenté (mobile + admin) ; observabilité de base.</t>
  </si>
  <si>
    <t xml:space="preserve">M2</t>
  </si>
  <si>
    <t xml:space="preserve">Phase 1 terminée — MVP</t>
  </si>
  <si>
    <t xml:space="preserve">Dashboard, jeux quotidiens, historique, calendrier + export agenda, assistant IA v1, admin de base ; version testable par un cercle restreint ; recette UAT validée ; aucune anomalie bloquante ; 48 h d’observation staging.</t>
  </si>
  <si>
    <t xml:space="preserve">M3</t>
  </si>
  <si>
    <t xml:space="preserve">Phase 2 terminée — version communautaire</t>
  </si>
  <si>
    <t xml:space="preserve">GOAT, Fantasy, carte communautaire et groupes, modération, Culé Passport ; test de charge « soir de match » ; revue RGPD de la géolocalisation.</t>
  </si>
  <si>
    <t xml:space="preserve">M4</t>
  </si>
  <si>
    <t xml:space="preserve">Phase 3 terminée — périmètre complet</t>
  </si>
  <si>
    <t xml:space="preserve">La Masia, Wallpapers IA, approfondissement IA ; recette finale ; campagne de charge finale ; documentation à jour ; publication sur les stores.</t>
  </si>
  <si>
    <t xml:space="preserve">Jalons intermédiaires par flux</t>
  </si>
  <si>
    <t xml:space="preserve">Contenu</t>
  </si>
  <si>
    <t xml:space="preserve">API-P0</t>
  </si>
  <si>
    <t xml:space="preserve">Fin du flux API — phase 0</t>
  </si>
  <si>
    <t xml:space="preserve">Toutes les épopées API de la phase 0 terminées (voir « Épopées »).</t>
  </si>
  <si>
    <t xml:space="preserve">API-P1</t>
  </si>
  <si>
    <t xml:space="preserve">Fin du flux API — phase 1</t>
  </si>
  <si>
    <t xml:space="preserve">Toutes les épopées API de la phase 1 terminées (voir « Épopées »).</t>
  </si>
  <si>
    <t xml:space="preserve">API-P2</t>
  </si>
  <si>
    <t xml:space="preserve">Fin du flux API — phase 2</t>
  </si>
  <si>
    <t xml:space="preserve">Toutes les épopées API de la phase 2 terminées (voir « Épopées »).</t>
  </si>
  <si>
    <t xml:space="preserve">API-P3</t>
  </si>
  <si>
    <t xml:space="preserve">Fin du flux API — phase 3</t>
  </si>
  <si>
    <t xml:space="preserve">Toutes les épopées API de la phase 3 terminées (voir « Épopées »).</t>
  </si>
  <si>
    <t xml:space="preserve">MOB-P0</t>
  </si>
  <si>
    <t xml:space="preserve">Fin du flux Mobile — phase 0</t>
  </si>
  <si>
    <t xml:space="preserve">Toutes les épopées Mobile de la phase 0 terminées (voir « Épopées »).</t>
  </si>
  <si>
    <t xml:space="preserve">MOB-P1</t>
  </si>
  <si>
    <t xml:space="preserve">Fin du flux Mobile — phase 1</t>
  </si>
  <si>
    <t xml:space="preserve">Toutes les épopées Mobile de la phase 1 terminées (voir « Épopées »).</t>
  </si>
  <si>
    <t xml:space="preserve">MOB-P2</t>
  </si>
  <si>
    <t xml:space="preserve">Fin du flux Mobile — phase 2</t>
  </si>
  <si>
    <t xml:space="preserve">Toutes les épopées Mobile de la phase 2 terminées (voir « Épopées »).</t>
  </si>
  <si>
    <t xml:space="preserve">MOB-P3</t>
  </si>
  <si>
    <t xml:space="preserve">Fin du flux Mobile — phase 3</t>
  </si>
  <si>
    <t xml:space="preserve">Toutes les épopées Mobile de la phase 3 terminées (voir « Épopées »).</t>
  </si>
  <si>
    <t xml:space="preserve">ADM-P0</t>
  </si>
  <si>
    <t xml:space="preserve">Fin du flux Admin — phase 0</t>
  </si>
  <si>
    <t xml:space="preserve">Toutes les épopées Admin de la phase 0 terminées (voir « Épopées »).</t>
  </si>
  <si>
    <t xml:space="preserve">ADM-P1</t>
  </si>
  <si>
    <t xml:space="preserve">Fin du flux Admin — phase 1</t>
  </si>
  <si>
    <t xml:space="preserve">Toutes les épopées Admin de la phase 1 terminées (voir « Épopées »).</t>
  </si>
  <si>
    <t xml:space="preserve">ADM-P2</t>
  </si>
  <si>
    <t xml:space="preserve">Fin du flux Admin — phase 2</t>
  </si>
  <si>
    <t xml:space="preserve">Toutes les épopées Admin de la phase 2 terminées (voir « Épopées »).</t>
  </si>
  <si>
    <t xml:space="preserve">ADM-P3</t>
  </si>
  <si>
    <t xml:space="preserve">Fin du flux Admin — phase 3</t>
  </si>
  <si>
    <t xml:space="preserve">Toutes les épopées Admin de la phase 3 terminées (voir « Épopées »).</t>
  </si>
  <si>
    <t xml:space="preserve">Diagramme de Gantt (par semaine)</t>
  </si>
  <si>
    <t xml:space="preserve">Barres colorées par phase, calculées depuis « Épopées ». Trait rouge = semaine en cours. Ligne ◆ = jalons de fin de phase.</t>
  </si>
  <si>
    <t xml:space="preserve">Flux</t>
  </si>
  <si>
    <t xml:space="preserve">Épopée</t>
  </si>
  <si>
    <t xml:space="preserve">Avancement</t>
  </si>
  <si>
    <t xml:space="preserve">Jalons (fin de phase + recette)</t>
  </si>
  <si>
    <t xml:space="preserve">Plan par épopée (flux × phase)</t>
  </si>
  <si>
    <t xml:space="preserve">Durée = charge × (1 + marge) ÷ (développeurs × focus). Début = max(fin de l’épopée précédente du flux, porte de phase). Tout est recalculé depuis « Paramètres ».</t>
  </si>
  <si>
    <t xml:space="preserve">Clé</t>
  </si>
  <si>
    <t xml:space="preserve">Nb issues</t>
  </si>
  <si>
    <t xml:space="preserve">Devs</t>
  </si>
  <si>
    <t xml:space="preserve">Porte de phase</t>
  </si>
  <si>
    <t xml:space="preserve">Semaines</t>
  </si>
  <si>
    <t xml:space="preserve">Terminées</t>
  </si>
  <si>
    <t xml:space="preserve">% avancement</t>
  </si>
  <si>
    <t xml:space="preserve">API-PLAT|0</t>
  </si>
  <si>
    <t xml:space="preserve">API</t>
  </si>
  <si>
    <t xml:space="preserve">Plateforme, qualité, performance et exploitation</t>
  </si>
  <si>
    <t xml:space="preserve">API-AUTH|0</t>
  </si>
  <si>
    <t xml:space="preserve">API-AUTH</t>
  </si>
  <si>
    <t xml:space="preserve">Identité, authentification, comptes et RGPD</t>
  </si>
  <si>
    <t xml:space="preserve">API-PLAT|1</t>
  </si>
  <si>
    <t xml:space="preserve">API-AUTH|1</t>
  </si>
  <si>
    <t xml:space="preserve">API-FOOT|1</t>
  </si>
  <si>
    <t xml:space="preserve">API-FOOT</t>
  </si>
  <si>
    <t xml:space="preserve">Données football et contenu éditorial</t>
  </si>
  <si>
    <t xml:space="preserve">API-CAL|1</t>
  </si>
  <si>
    <t xml:space="preserve">API-CAL</t>
  </si>
  <si>
    <t xml:space="preserve">Calendrier et export agenda</t>
  </si>
  <si>
    <t xml:space="preserve">API-JEUX|1</t>
  </si>
  <si>
    <t xml:space="preserve">API-JEUX</t>
  </si>
  <si>
    <t xml:space="preserve">Guess the Player &amp; Quiz adaptatif</t>
  </si>
  <si>
    <t xml:space="preserve">API-NOTIF|1</t>
  </si>
  <si>
    <t xml:space="preserve">API-NOTIF</t>
  </si>
  <si>
    <t xml:space="preserve">Notifications push et centre de notifications</t>
  </si>
  <si>
    <t xml:space="preserve">API-IA|1</t>
  </si>
  <si>
    <t xml:space="preserve">API-IA</t>
  </si>
  <si>
    <t xml:space="preserve">API-COMM|2</t>
  </si>
  <si>
    <t xml:space="preserve">API-COMM</t>
  </si>
  <si>
    <t xml:space="preserve">Carte communautaire et groupes locaux</t>
  </si>
  <si>
    <t xml:space="preserve">API-MODER|2</t>
  </si>
  <si>
    <t xml:space="preserve">API-MODER</t>
  </si>
  <si>
    <t xml:space="preserve">Modération et sécurité communautaire</t>
  </si>
  <si>
    <t xml:space="preserve">API-GOAT|2</t>
  </si>
  <si>
    <t xml:space="preserve">API-GOAT</t>
  </si>
  <si>
    <t xml:space="preserve">Comparateur GOAT et votes</t>
  </si>
  <si>
    <t xml:space="preserve">API-FANT|2</t>
  </si>
  <si>
    <t xml:space="preserve">API-FANT</t>
  </si>
  <si>
    <t xml:space="preserve">Fantasy Barça et La Masia Academy</t>
  </si>
  <si>
    <t xml:space="preserve">API-PASS|2</t>
  </si>
  <si>
    <t xml:space="preserve">API-PASS</t>
  </si>
  <si>
    <t xml:space="preserve">Culé Passport et gamification transverse</t>
  </si>
  <si>
    <t xml:space="preserve">API-PLAT|2</t>
  </si>
  <si>
    <t xml:space="preserve">API-FANT|3</t>
  </si>
  <si>
    <t xml:space="preserve">API-WALL|3</t>
  </si>
  <si>
    <t xml:space="preserve">API-WALL</t>
  </si>
  <si>
    <t xml:space="preserve">MOB-FND|0</t>
  </si>
  <si>
    <t xml:space="preserve">Mobile</t>
  </si>
  <si>
    <t xml:space="preserve">MOB-FND</t>
  </si>
  <si>
    <t xml:space="preserve">Socle technique Flutter</t>
  </si>
  <si>
    <t xml:space="preserve">MOB-ZA|0</t>
  </si>
  <si>
    <t xml:space="preserve">MOB-ZA</t>
  </si>
  <si>
    <t xml:space="preserve">Fondations</t>
  </si>
  <si>
    <t xml:space="preserve">MOB-ZB|0</t>
  </si>
  <si>
    <t xml:space="preserve">MOB-ZB</t>
  </si>
  <si>
    <t xml:space="preserve">Composants de base</t>
  </si>
  <si>
    <t xml:space="preserve">MOB-ZC|0</t>
  </si>
  <si>
    <t xml:space="preserve">MOB-ZC</t>
  </si>
  <si>
    <t xml:space="preserve">Retours et états</t>
  </si>
  <si>
    <t xml:space="preserve">MOB-ZD|0</t>
  </si>
  <si>
    <t xml:space="preserve">MOB-ZD</t>
  </si>
  <si>
    <t xml:space="preserve">Composants métier et responsive</t>
  </si>
  <si>
    <t xml:space="preserve">MOB-ZE|0</t>
  </si>
  <si>
    <t xml:space="preserve">MOB-ZE</t>
  </si>
  <si>
    <t xml:space="preserve">Animations et micro-interactions</t>
  </si>
  <si>
    <t xml:space="preserve">MOB-A|0</t>
  </si>
  <si>
    <t xml:space="preserve">MOB-A</t>
  </si>
  <si>
    <t xml:space="preserve">Lancement et système</t>
  </si>
  <si>
    <t xml:space="preserve">MOB-B|1</t>
  </si>
  <si>
    <t xml:space="preserve">MOB-B</t>
  </si>
  <si>
    <t xml:space="preserve">Onboarding et authentification</t>
  </si>
  <si>
    <t xml:space="preserve">MOB-Q|1</t>
  </si>
  <si>
    <t xml:space="preserve">MOB-Q</t>
  </si>
  <si>
    <t xml:space="preserve">Paramètres et compte</t>
  </si>
  <si>
    <t xml:space="preserve">MOB-C|1</t>
  </si>
  <si>
    <t xml:space="preserve">MOB-C</t>
  </si>
  <si>
    <t xml:space="preserve">Accueil — dashboard</t>
  </si>
  <si>
    <t xml:space="preserve">MOB-F|1</t>
  </si>
  <si>
    <t xml:space="preserve">MOB-F</t>
  </si>
  <si>
    <t xml:space="preserve">Historique et fiches</t>
  </si>
  <si>
    <t xml:space="preserve">MOB-L|1</t>
  </si>
  <si>
    <t xml:space="preserve">MOB-L</t>
  </si>
  <si>
    <t xml:space="preserve">MOB-D|1</t>
  </si>
  <si>
    <t xml:space="preserve">MOB-D</t>
  </si>
  <si>
    <t xml:space="preserve">Jeux — Guess the Player</t>
  </si>
  <si>
    <t xml:space="preserve">MOB-E|1</t>
  </si>
  <si>
    <t xml:space="preserve">MOB-E</t>
  </si>
  <si>
    <t xml:space="preserve">Quiz adaptatif</t>
  </si>
  <si>
    <t xml:space="preserve">MOB-N|1</t>
  </si>
  <si>
    <t xml:space="preserve">MOB-N</t>
  </si>
  <si>
    <t xml:space="preserve">MOB-O|1</t>
  </si>
  <si>
    <t xml:space="preserve">MOB-O</t>
  </si>
  <si>
    <t xml:space="preserve">MOB-G|2</t>
  </si>
  <si>
    <t xml:space="preserve">MOB-G</t>
  </si>
  <si>
    <t xml:space="preserve">MOB-H|2</t>
  </si>
  <si>
    <t xml:space="preserve">MOB-H</t>
  </si>
  <si>
    <t xml:space="preserve">MOB-J|2</t>
  </si>
  <si>
    <t xml:space="preserve">MOB-J</t>
  </si>
  <si>
    <t xml:space="preserve">Carte communautaire</t>
  </si>
  <si>
    <t xml:space="preserve">MOB-K|2</t>
  </si>
  <si>
    <t xml:space="preserve">MOB-K</t>
  </si>
  <si>
    <t xml:space="preserve">Groupes locaux</t>
  </si>
  <si>
    <t xml:space="preserve">MOB-P|2</t>
  </si>
  <si>
    <t xml:space="preserve">MOB-P</t>
  </si>
  <si>
    <t xml:space="preserve">MOB-I|3</t>
  </si>
  <si>
    <t xml:space="preserve">MOB-I</t>
  </si>
  <si>
    <t xml:space="preserve">MOB-M|3</t>
  </si>
  <si>
    <t xml:space="preserve">MOB-M</t>
  </si>
  <si>
    <t xml:space="preserve">ADM-FND|0</t>
  </si>
  <si>
    <t xml:space="preserve">Admin</t>
  </si>
  <si>
    <t xml:space="preserve">ADM-FND</t>
  </si>
  <si>
    <t xml:space="preserve">Socle technique admin</t>
  </si>
  <si>
    <t xml:space="preserve">ADM-ADS|0</t>
  </si>
  <si>
    <t xml:space="preserve">ADM-ADS</t>
  </si>
  <si>
    <t xml:space="preserve">Design system admin</t>
  </si>
  <si>
    <t xml:space="preserve">ADM-WA|1</t>
  </si>
  <si>
    <t xml:space="preserve">ADM-WA</t>
  </si>
  <si>
    <t xml:space="preserve">Authentification et erreurs</t>
  </si>
  <si>
    <t xml:space="preserve">ADM-WB|1</t>
  </si>
  <si>
    <t xml:space="preserve">ADM-WB</t>
  </si>
  <si>
    <t xml:space="preserve">Tableau de bord et recherche</t>
  </si>
  <si>
    <t xml:space="preserve">ADM-WC|1</t>
  </si>
  <si>
    <t xml:space="preserve">ADM-WC</t>
  </si>
  <si>
    <t xml:space="preserve">Gestion des joueurs</t>
  </si>
  <si>
    <t xml:space="preserve">ADM-WD|1</t>
  </si>
  <si>
    <t xml:space="preserve">ADM-WD</t>
  </si>
  <si>
    <t xml:space="preserve">Matchs et compétitions</t>
  </si>
  <si>
    <t xml:space="preserve">ADM-WE|1</t>
  </si>
  <si>
    <t xml:space="preserve">ADM-WE</t>
  </si>
  <si>
    <t xml:space="preserve">Contenu éditorial</t>
  </si>
  <si>
    <t xml:space="preserve">ADM-WF|1</t>
  </si>
  <si>
    <t xml:space="preserve">ADM-WF</t>
  </si>
  <si>
    <t xml:space="preserve">Questions de quiz</t>
  </si>
  <si>
    <t xml:space="preserve">ADM-WH|1</t>
  </si>
  <si>
    <t xml:space="preserve">ADM-WH</t>
  </si>
  <si>
    <t xml:space="preserve">Supervision technique</t>
  </si>
  <si>
    <t xml:space="preserve">ADM-WI|1</t>
  </si>
  <si>
    <t xml:space="preserve">ADM-WI</t>
  </si>
  <si>
    <t xml:space="preserve">Comptes, configuration et notifications</t>
  </si>
  <si>
    <t xml:space="preserve">ADM-WJ|1</t>
  </si>
  <si>
    <t xml:space="preserve">Utilisateurs et évolutions phase 2-3</t>
  </si>
  <si>
    <t xml:space="preserve">ADM-WG|2</t>
  </si>
  <si>
    <t xml:space="preserve">ADM-WG</t>
  </si>
  <si>
    <t xml:space="preserve">Modération communautaire</t>
  </si>
  <si>
    <t xml:space="preserve">ADM-WJ|2</t>
  </si>
  <si>
    <t xml:space="preserve">ADM-WJ|3</t>
  </si>
  <si>
    <t xml:space="preserve">TOTAL</t>
  </si>
  <si>
    <t xml:space="preserve">Backlog complet (toutes les issues des 3 dépôts)</t>
  </si>
  <si>
    <t xml:space="preserve">Une ligne par issue. Colonnes bleues = saisie de suivi (statut, dates réelles, assigné). Le lien ouvre l’issue sur GitHub.</t>
  </si>
  <si>
    <t xml:space="preserve">Code</t>
  </si>
  <si>
    <t xml:space="preserve">Module</t>
  </si>
  <si>
    <t xml:space="preserve">Titre</t>
  </si>
  <si>
    <t xml:space="preserve">Type</t>
  </si>
  <si>
    <t xml:space="preserve">Priorité</t>
  </si>
  <si>
    <t xml:space="preserve">Clé plan</t>
  </si>
  <si>
    <t xml:space="preserve">Dépendances</t>
  </si>
  <si>
    <t xml:space="preserve">Écrans</t>
  </si>
  <si>
    <t xml:space="preserve">Assigné</t>
  </si>
  <si>
    <t xml:space="preserve">Début réel</t>
  </si>
  <si>
    <t xml:space="preserve">Fin réel</t>
  </si>
  <si>
    <t xml:space="preserve">Début prévu (épopée)</t>
  </si>
  <si>
    <t xml:space="preserve">Fin prévue (épopée)</t>
  </si>
  <si>
    <t xml:space="preserve">Lien GitHub</t>
  </si>
  <si>
    <t xml:space="preserve">API-PLAT-01</t>
  </si>
  <si>
    <t xml:space="preserve">GET /config : configuration publique de démarrage consommée par le mobile</t>
  </si>
  <si>
    <t xml:space="preserve">api</t>
  </si>
  <si>
    <t xml:space="preserve">P0</t>
  </si>
  <si>
    <t xml:space="preserve">BorisGautier</t>
  </si>
  <si>
    <t xml:space="preserve">Ouvrir</t>
  </si>
  <si>
    <t xml:space="preserve">API-PLAT-02</t>
  </si>
  <si>
    <t xml:space="preserve">GET /version : version de l'API, du build et du contrat</t>
  </si>
  <si>
    <t xml:space="preserve">P1</t>
  </si>
  <si>
    <t xml:space="preserve">API-PLAT-27</t>
  </si>
  <si>
    <t xml:space="preserve">Audit des dépendances en CI : npm audit, Dependabot, Trivy bloquant, licences</t>
  </si>
  <si>
    <t xml:space="preserve">securite</t>
  </si>
  <si>
    <t xml:space="preserve">API-PLAT-36</t>
  </si>
  <si>
    <t xml:space="preserve">Seuils de couverture par couche appliqués en CI (CDC §8.2)</t>
  </si>
  <si>
    <t xml:space="preserve">tests</t>
  </si>
  <si>
    <t xml:space="preserve">API-PLAT-38</t>
  </si>
  <si>
    <t xml:space="preserve">Fixtures, factories et jeu de données de test partagés</t>
  </si>
  <si>
    <t xml:space="preserve">API-PLAT-39</t>
  </si>
  <si>
    <t xml:space="preserve">Règle obligatoire : chaque nouvelle route est ajoutée aux scénarios k6 (garde CI)</t>
  </si>
  <si>
    <t xml:space="preserve">API-PLAT-40</t>
  </si>
  <si>
    <t xml:space="preserve">Seuils k6 par endpoint (p95/p99/erreurs) et budgets de performance</t>
  </si>
  <si>
    <t xml:space="preserve">API-PLAT-45</t>
  </si>
  <si>
    <t xml:space="preserve">Portes de qualité du pipeline : charge, contrat, sécurité avant staging et production</t>
  </si>
  <si>
    <t xml:space="preserve">infra</t>
  </si>
  <si>
    <t xml:space="preserve">API-PLAT-47</t>
  </si>
  <si>
    <t xml:space="preserve">Environnements dev/staging/prod : matrice de configuration et gestion des secrets</t>
  </si>
  <si>
    <t xml:space="preserve">API-PLAT-51</t>
  </si>
  <si>
    <t xml:space="preserve">Migrations migrate-mongo et seed par environnement</t>
  </si>
  <si>
    <t xml:space="preserve">donnees</t>
  </si>
  <si>
    <t xml:space="preserve">API-AUTH-01</t>
  </si>
  <si>
    <t xml:space="preserve">Abstraction du fournisseur d'e-mails (SMTP / API HTTP) avec mode sandbox</t>
  </si>
  <si>
    <t xml:space="preserve">API-AUTH-02</t>
  </si>
  <si>
    <t xml:space="preserve">Worker BullMQ `email` : envoi asynchrone, retries, dead-letter</t>
  </si>
  <si>
    <t xml:space="preserve">fonctionnel</t>
  </si>
  <si>
    <t xml:space="preserve">API-PLAT-03</t>
  </si>
  <si>
    <t xml:space="preserve">Maintenance planifiée : fenêtre datée, message et réponse 503 normalisée (A-06)</t>
  </si>
  <si>
    <t xml:space="preserve">API-PLAT-04</t>
  </si>
  <si>
    <t xml:space="preserve">Version minimale requise : en-tête X-App-Version et réponse 426 (A-07)</t>
  </si>
  <si>
    <t xml:space="preserve">API-PLAT-01, API-PLAT-03</t>
  </si>
  <si>
    <t xml:space="preserve">API-PLAT-05</t>
  </si>
  <si>
    <t xml:space="preserve">Erreurs 5xx : code d'incident utilisateur et traceId systématique (A-04)</t>
  </si>
  <si>
    <t xml:space="preserve">API-PLAT-06</t>
  </si>
  <si>
    <t xml:space="preserve">429 : en-tête Retry-After, quotas restants et compte à rebours (A-05)</t>
  </si>
  <si>
    <t xml:space="preserve">API-PLAT-07</t>
  </si>
  <si>
    <t xml:space="preserve">Catalogue des codes d'erreur et états système (contrat mobile A-03 à A-08)</t>
  </si>
  <si>
    <t xml:space="preserve">doc</t>
  </si>
  <si>
    <t xml:space="preserve">API-PLAT-05, API-PLAT-06, API-PLAT-03, API-PLAT-04</t>
  </si>
  <si>
    <t xml:space="preserve">API-PLAT-08</t>
  </si>
  <si>
    <t xml:space="preserve">Feature flags : modèle durci et évaluation déterministe par utilisateur</t>
  </si>
  <si>
    <t xml:space="preserve">API-PLAT-09</t>
  </si>
  <si>
    <t xml:space="preserve">Feature flags : exposition évaluée dans /config et /config/flags</t>
  </si>
  <si>
    <t xml:space="preserve">API-PLAT-08, API-PLAT-01</t>
  </si>
  <si>
    <t xml:space="preserve">API-PLAT-10</t>
  </si>
  <si>
    <t xml:space="preserve">Admin : GET/PATCH /admin/config/feature-flags (WI-05)</t>
  </si>
  <si>
    <t xml:space="preserve">API-PLAT-11</t>
  </si>
  <si>
    <t xml:space="preserve">Admin : GET/PATCH /admin/config/ai-quotas (WI-06)</t>
  </si>
  <si>
    <t xml:space="preserve">API-PLAT-12</t>
  </si>
  <si>
    <t xml:space="preserve">GET /admin/observability/health : statut agrégé et séries p50/p95/p99 (WH-01)</t>
  </si>
  <si>
    <t xml:space="preserve">API-PLAT-13</t>
  </si>
  <si>
    <t xml:space="preserve">Alertes actives (Alertmanager) pour le tableau de bord de supervision (WH-01)</t>
  </si>
  <si>
    <t xml:space="preserve">API-PLAT-14</t>
  </si>
  <si>
    <t xml:space="preserve">GET /admin/observability/queues : état de chaque file BullMQ (WH-02)</t>
  </si>
  <si>
    <t xml:space="preserve">API-PLAT-15</t>
  </si>
  <si>
    <t xml:space="preserve">POST /admin/observability/queues/:jobId/retry : relance manuelle d'un job en échec</t>
  </si>
  <si>
    <t xml:space="preserve">API-PLAT-16</t>
  </si>
  <si>
    <t xml:space="preserve">GET /admin/observability/logs : recherche Graylog filtrée et masquée (WH-03)</t>
  </si>
  <si>
    <t xml:space="preserve">API-PLAT-25</t>
  </si>
  <si>
    <t xml:space="preserve">API-PLAT-17</t>
  </si>
  <si>
    <t xml:space="preserve">Consommation IA : mesure, quotas et projection de dépassement (WH-04)</t>
  </si>
  <si>
    <t xml:space="preserve">API-PLAT-18</t>
  </si>
  <si>
    <t xml:space="preserve">Journal d'audit : immuabilité, filtres complets et export CSV (WH-05)</t>
  </si>
  <si>
    <t xml:space="preserve">API-PLAT-19</t>
  </si>
  <si>
    <t xml:space="preserve">Audit des actions comptes, sessions, configuration et notifications manuelles (WI-01 à WI-09)</t>
  </si>
  <si>
    <t xml:space="preserve">API-PLAT-21</t>
  </si>
  <si>
    <t xml:space="preserve">Métriques Prometheus métier et RED par route (ub_*)</t>
  </si>
  <si>
    <t xml:space="preserve">API-PLAT-22</t>
  </si>
  <si>
    <t xml:space="preserve">Tableaux de bord Grafana provisionnés (santé, usage, coûts IA, sécurité)</t>
  </si>
  <si>
    <t xml:space="preserve">API-PLAT-23</t>
  </si>
  <si>
    <t xml:space="preserve">Alerting : règles complètes et canaux de notification (e-mail / webhook)</t>
  </si>
  <si>
    <t xml:space="preserve">API-PLAT-24</t>
  </si>
  <si>
    <t xml:space="preserve">OpenTelemetry : traces, spans Mongo/Redis/BullMQ et propagation traceId</t>
  </si>
  <si>
    <t xml:space="preserve">Logs structurés Winston vers Graylog (GELF) avec masquage et rétention 90 jours</t>
  </si>
  <si>
    <t xml:space="preserve">API-PLAT-26</t>
  </si>
  <si>
    <t xml:space="preserve">En-têtes de sécurité (Helmet, CSP), CORS strict et cookies admin</t>
  </si>
  <si>
    <t xml:space="preserve">API-PLAT-28</t>
  </si>
  <si>
    <t xml:space="preserve">Rotation des secrets : JWT à clés multiples (kid), clés tierces et procédure</t>
  </si>
  <si>
    <t xml:space="preserve">API-PLAT-30</t>
  </si>
  <si>
    <t xml:space="preserve">Protection SSRF : client HTTP sortant avec liste blanche et validation d'URL</t>
  </si>
  <si>
    <t xml:space="preserve">API-PLAT-31</t>
  </si>
  <si>
    <t xml:space="preserve">Audit des index MongoDB : explain, profiler et budget de requêtes</t>
  </si>
  <si>
    <t xml:space="preserve">performance</t>
  </si>
  <si>
    <t xml:space="preserve">API-PLAT-32</t>
  </si>
  <si>
    <t xml:space="preserve">Cache Redis cache-aside standard : TTL du CDC, invalidation et anti-stampede</t>
  </si>
  <si>
    <t xml:space="preserve">API-PLAT-33</t>
  </si>
  <si>
    <t xml:space="preserve">Timeouts serveur, pool MongoDB/Redis et limites de requête</t>
  </si>
  <si>
    <t xml:space="preserve">API-PLAT-34</t>
  </si>
  <si>
    <t xml:space="preserve">Circuit breakers et dégradation gracieuse vers les fournisseurs externes</t>
  </si>
  <si>
    <t xml:space="preserve">API-PLAT-35</t>
  </si>
  <si>
    <t xml:space="preserve">Arrêt gracieux, processus worker dédié et readiness</t>
  </si>
  <si>
    <t xml:space="preserve">API-PLAT-37</t>
  </si>
  <si>
    <t xml:space="preserve">Tests de contrat OpenAPI et non-régression nocturne</t>
  </si>
  <si>
    <t xml:space="preserve">API-PLAT-41</t>
  </si>
  <si>
    <t xml:space="preserve">Profils de trafic réalistes : soir de match, annonce push, ouverture d'app</t>
  </si>
  <si>
    <t xml:space="preserve">API-PLAT-39, API-PLAT-40</t>
  </si>
  <si>
    <t xml:space="preserve">API-PLAT-42</t>
  </si>
  <si>
    <t xml:space="preserve">Seed volumétrique pour les tests de charge (100 000 utilisateurs, catalogue réaliste)</t>
  </si>
  <si>
    <t xml:space="preserve">API-PLAT-43</t>
  </si>
  <si>
    <t xml:space="preserve">Suivi de capacité : baseline versionnée, tendance et journal des capacités mesurées</t>
  </si>
  <si>
    <t xml:space="preserve">API-PLAT-44</t>
  </si>
  <si>
    <t xml:space="preserve">Dimensionnement du serveur : protocole de mesure, règles et plan d'évolution</t>
  </si>
  <si>
    <t xml:space="preserve">API-PLAT-43, API-PLAT-42</t>
  </si>
  <si>
    <t xml:space="preserve">API-PLAT-46</t>
  </si>
  <si>
    <t xml:space="preserve">Rollback documenté et testé : image précédente et migration inverse</t>
  </si>
  <si>
    <t xml:space="preserve">API-PLAT-48</t>
  </si>
  <si>
    <t xml:space="preserve">Runbooks d'exploitation et d'incident (un par alerte)</t>
  </si>
  <si>
    <t xml:space="preserve">API-PLAT-49</t>
  </si>
  <si>
    <t xml:space="preserve">Sauvegardes automatiques : job database-backup, rétention 30 j + 6 mois, copie hors VPS</t>
  </si>
  <si>
    <t xml:space="preserve">API-PLAT-50</t>
  </si>
  <si>
    <t xml:space="preserve">Restauration et reprise après sinistre : test trimestriel automatisé (RPO/RTO)</t>
  </si>
  <si>
    <t xml:space="preserve">API-PLAT-52</t>
  </si>
  <si>
    <t xml:space="preserve">Jobs de purge et politique de rétention des données techniques</t>
  </si>
  <si>
    <t xml:space="preserve">rgpd</t>
  </si>
  <si>
    <t xml:space="preserve">API-PLAT-53</t>
  </si>
  <si>
    <t xml:space="preserve">Dead-letter centralisée et politique de retry par type de job</t>
  </si>
  <si>
    <t xml:space="preserve">API-PLAT-54</t>
  </si>
  <si>
    <t xml:space="preserve">Registre des traitements RGPD, minimisation et revue de conformité</t>
  </si>
  <si>
    <t xml:space="preserve">API-PLAT-55</t>
  </si>
  <si>
    <t xml:space="preserve">Documentation plateforme : OpenAPI système/supervision, guides d'intégration mobile/admin</t>
  </si>
  <si>
    <t xml:space="preserve">API-AUTH-03</t>
  </si>
  <si>
    <t xml:space="preserve">Modèles d'e-mails transactionnels FR/EN/ES (vérification, reset, export, invitation, alertes)</t>
  </si>
  <si>
    <t xml:space="preserve">i18n</t>
  </si>
  <si>
    <t xml:space="preserve">API-AUTH-04</t>
  </si>
  <si>
    <t xml:space="preserve">Vérification d'e-mail par code à 6 chiffres + lien, renvoi avec délai de 60 s</t>
  </si>
  <si>
    <t xml:space="preserve">API-AUTH-05</t>
  </si>
  <si>
    <t xml:space="preserve">Inscription : alignement validations B-06/B-07, pseudo, charte et statut</t>
  </si>
  <si>
    <t xml:space="preserve">API-AUTH-06</t>
  </si>
  <si>
    <t xml:space="preserve">Politique de mot de passe unifiée, liste de mots de passe courants et indicateur de force</t>
  </si>
  <si>
    <t xml:space="preserve">API-AUTH-07</t>
  </si>
  <si>
    <t xml:space="preserve">Verrouillage progressif et décompte des essais restants à la connexion</t>
  </si>
  <si>
    <t xml:space="preserve">API-AUTH-08</t>
  </si>
  <si>
    <t xml:space="preserve">États du compte (actif, suspendu, banni, supprimé) et contrat d'erreur pour A-09 / A-10</t>
  </si>
  <si>
    <t xml:space="preserve">API-AUTH-09</t>
  </si>
  <si>
    <t xml:space="preserve">Contrat « session expirée » : codes 401 distincts pour A-08 et le refresh silencieux</t>
  </si>
  <si>
    <t xml:space="preserve">API-AUTH-10</t>
  </si>
  <si>
    <t xml:space="preserve">Connexion / inscription Google : vérification de l'id token côté serveur</t>
  </si>
  <si>
    <t xml:space="preserve">API-AUTH-05, API-AUTH-08</t>
  </si>
  <si>
    <t xml:space="preserve">API-AUTH-11</t>
  </si>
  <si>
    <t xml:space="preserve">Connexion / inscription Sign in with Apple (obligatoire iOS) avec vérification du jeton</t>
  </si>
  <si>
    <t xml:space="preserve">API-AUTH-12</t>
  </si>
  <si>
    <t xml:space="preserve">Rattachement / détachement des fournisseurs sociaux et définition d'un mot de passe</t>
  </si>
  <si>
    <t xml:space="preserve">API-AUTH-13</t>
  </si>
  <si>
    <t xml:space="preserve">Refresh à rotation : atomicité, tolérance de course et tests de rejeu par famille</t>
  </si>
  <si>
    <t xml:space="preserve">API-AUTH-14</t>
  </si>
  <si>
    <t xml:space="preserve">« Rester connecté » : durées de session différenciées</t>
  </si>
  <si>
    <t xml:space="preserve">P2</t>
  </si>
  <si>
    <t xml:space="preserve">API-AUTH-15</t>
  </si>
  <si>
    <t xml:space="preserve">Liste des appareils connectés (GET /users/me/sessions)</t>
  </si>
  <si>
    <t xml:space="preserve">API-AUTH-16</t>
  </si>
  <si>
    <t xml:space="preserve">Révocation d'un appareil et déconnexion de tous les appareils</t>
  </si>
  <si>
    <t xml:space="preserve">API-AUTH-17</t>
  </si>
  <si>
    <t xml:space="preserve">Mot de passe oublié : envoi réel du lien, anti-énumération et délais</t>
  </si>
  <si>
    <t xml:space="preserve">API-AUTH-18</t>
  </si>
  <si>
    <t xml:space="preserve">Réinitialisation du mot de passe : politique B-19, usage unique, déconnexion et alerte</t>
  </si>
  <si>
    <t xml:space="preserve">API-AUTH-06, API-AUTH-17</t>
  </si>
  <si>
    <t xml:space="preserve">API-AUTH-19</t>
  </si>
  <si>
    <t xml:space="preserve">Changement de mot de passe connecté (POST /users/me/password/change)</t>
  </si>
  <si>
    <t xml:space="preserve">API-AUTH-20</t>
  </si>
  <si>
    <t xml:space="preserve">Changement d'adresse e-mail avec code de vérification</t>
  </si>
  <si>
    <t xml:space="preserve">API-AUTH-04, API-AUTH-06</t>
  </si>
  <si>
    <t xml:space="preserve">API-AUTH-21</t>
  </si>
  <si>
    <t xml:space="preserve">Consentements RGPD : lecture de l'état courant et de l'historique</t>
  </si>
  <si>
    <t xml:space="preserve">API-AUTH-22</t>
  </si>
  <si>
    <t xml:space="preserve">Versions des documents légaux (CGU, confidentialité, charte) et re-acceptation</t>
  </si>
  <si>
    <t xml:space="preserve">API-AUTH-23</t>
  </si>
  <si>
    <t xml:space="preserve">Effets du retrait de consentement : géolocalisation, notifications, statistiques</t>
  </si>
  <si>
    <t xml:space="preserve">API-AUTH-24</t>
  </si>
  <si>
    <t xml:space="preserve">Export RGPD asynchrone : demande, job `rgpd` et suivi d'état</t>
  </si>
  <si>
    <t xml:space="preserve">API-AUTH-02, API-AUTH-16</t>
  </si>
  <si>
    <t xml:space="preserve">API-AUTH-25</t>
  </si>
  <si>
    <t xml:space="preserve">Construction de l'archive d'export, stockage objet et lien temporaire (7 jours)</t>
  </si>
  <si>
    <t xml:space="preserve">API-AUTH-24, API-AUTH-03</t>
  </si>
  <si>
    <t xml:space="preserve">API-AUTH-26</t>
  </si>
  <si>
    <t xml:space="preserve">Suppression de compte : confirmation forte, période J+30 et annulation</t>
  </si>
  <si>
    <t xml:space="preserve">API-AUTH-27</t>
  </si>
  <si>
    <t xml:space="preserve">Purge J+30 : suppression en cascade et anonymisation selon la matrice §4.8</t>
  </si>
  <si>
    <t xml:space="preserve">API-AUTH-26, API-AUTH-25</t>
  </si>
  <si>
    <t xml:space="preserve">API-AUTH-28</t>
  </si>
  <si>
    <t xml:space="preserve">Préférences utilisateur : langue, thème, accessibilité, validations de PATCH /users/me</t>
  </si>
  <si>
    <t xml:space="preserve">API-AUTH-29</t>
  </si>
  <si>
    <t xml:space="preserve">Profil d'onboarding : pays/ville, joueur préféré, ancienneté et progression</t>
  </si>
  <si>
    <t xml:space="preserve">API-AUTH-30</t>
  </si>
  <si>
    <t xml:space="preserve">Profil public vs privé : projections et visibilité</t>
  </si>
  <si>
    <t xml:space="preserve">API-AUTH-31</t>
  </si>
  <si>
    <t xml:space="preserve">Avatar : upload, validation, redimensionnement et stockage objet</t>
  </si>
  <si>
    <t xml:space="preserve">API-AUTH-32</t>
  </si>
  <si>
    <t xml:space="preserve">RBAC admin : matrice de permissions et garde `requirePermission`</t>
  </si>
  <si>
    <t xml:space="preserve">API-AUTH-33</t>
  </si>
  <si>
    <t xml:space="preserve">Connexion admin : essais restants, verrouillage 15 min et déblocage super-admin</t>
  </si>
  <si>
    <t xml:space="preserve">API-AUTH-34</t>
  </si>
  <si>
    <t xml:space="preserve">Double authentification : challenge, codes de secours (8) et activation obligatoire super-admin</t>
  </si>
  <si>
    <t xml:space="preserve">API-AUTH-35</t>
  </si>
  <si>
    <t xml:space="preserve">Invitation d'un administrateur : création par super-admin et e-mail à usage unique 48 h</t>
  </si>
  <si>
    <t xml:space="preserve">API-AUTH-32, API-AUTH-03</t>
  </si>
  <si>
    <t xml:space="preserve">API-AUTH-36</t>
  </si>
  <si>
    <t xml:space="preserve">Activation du compte admin : définition du mot de passe (WA-05) et configuration 2FA</t>
  </si>
  <si>
    <t xml:space="preserve">API-AUTH-35, API-AUTH-06</t>
  </si>
  <si>
    <t xml:space="preserve">API-AUTH-37</t>
  </si>
  <si>
    <t xml:space="preserve">Gestion des comptes admin : liste, modification de rôle, désactivation, suppression</t>
  </si>
  <si>
    <t xml:space="preserve">API-AUTH-38</t>
  </si>
  <si>
    <t xml:space="preserve">Sessions admin : expiration 8 h d'inactivité, liste et révocation à distance</t>
  </si>
  <si>
    <t xml:space="preserve">API-AUTH-37, API-AUTH-09</t>
  </si>
  <si>
    <t xml:space="preserve">API-AUTH-39</t>
  </si>
  <si>
    <t xml:space="preserve">Journal d'audit des connexions admin et helper d'écriture `audit()`</t>
  </si>
  <si>
    <t xml:space="preserve">API-AUTH-33, API-AUTH-32</t>
  </si>
  <si>
    <t xml:space="preserve">API-AUTH-40</t>
  </si>
  <si>
    <t xml:space="preserve">Mot de passe oublié admin : réinitialisation par lien et par super-admin</t>
  </si>
  <si>
    <t xml:space="preserve">API-AUTH-36, API-AUTH-34</t>
  </si>
  <si>
    <t xml:space="preserve">API-AUTH-41</t>
  </si>
  <si>
    <t xml:space="preserve">Rate limiting spécifique par route et par compte (auth, 2FA, e-mails)</t>
  </si>
  <si>
    <t xml:space="preserve">API-AUTH-42</t>
  </si>
  <si>
    <t xml:space="preserve">Suite de tests de sécurité : JWT, en-têtes HTTP, énumération de comptes, injections</t>
  </si>
  <si>
    <t xml:space="preserve">API-AUTH-09, API-AUTH-17, API-AUTH-33</t>
  </si>
  <si>
    <t xml:space="preserve">API-AUTH-43</t>
  </si>
  <si>
    <t xml:space="preserve">Tests d'intégration et e2e des parcours d'authentification</t>
  </si>
  <si>
    <t xml:space="preserve">API-AUTH-27, API-AUTH-36, API-AUTH-16, API-AUTH-12, API-AUTH-23</t>
  </si>
  <si>
    <t xml:space="preserve">API-AUTH-44</t>
  </si>
  <si>
    <t xml:space="preserve">Internationalisation des messages d'erreur API (FR/EN/ES) et identifiants de trace</t>
  </si>
  <si>
    <t xml:space="preserve">API-AUTH-45</t>
  </si>
  <si>
    <t xml:space="preserve">Documentation Swagger complète du module Auth, Utilisateurs, RGPD et Admin Auth</t>
  </si>
  <si>
    <t xml:space="preserve">API-FOOT-01</t>
  </si>
  <si>
    <t xml:space="preserve">Durcir le modèle Player (slug, recherche normalisée, complétude i18n, historique de statut)</t>
  </si>
  <si>
    <t xml:space="preserve">API-FOOT-02</t>
  </si>
  <si>
    <t xml:space="preserve">Enrichir Team et Competition (externalRef, slug, logos, saison)</t>
  </si>
  <si>
    <t xml:space="preserve">API-FOOT-03</t>
  </si>
  <si>
    <t xml:space="preserve">Durcir le modèle Match (live, mi-temps, formation, résolution de conflits, confrontations)</t>
  </si>
  <si>
    <t xml:space="preserve">API-FOOT-04</t>
  </si>
  <si>
    <t xml:space="preserve">Durcir le modèle Anecdote (date de diffusion, année, match lié, statuts planifiés)</t>
  </si>
  <si>
    <t xml:space="preserve">API-FOOT-05</t>
  </si>
  <si>
    <t xml:space="preserve">Créer le modèle MediaAsset et le stockage des fichiers (photos joueurs, illustrations)</t>
  </si>
  <si>
    <t xml:space="preserve">API-FOOT-06</t>
  </si>
  <si>
    <t xml:space="preserve">Pagination par curseur opaque (utilitaire et adoption)</t>
  </si>
  <si>
    <t xml:space="preserve">API-FOOT-07</t>
  </si>
  <si>
    <t xml:space="preserve">Middleware ETag et Cache-Control pour les lectures publiques</t>
  </si>
  <si>
    <t xml:space="preserve">API-FOOT-08</t>
  </si>
  <si>
    <t xml:space="preserve">Négociation de langue FR/EN/ES pour les contenus i18n</t>
  </si>
  <si>
    <t xml:space="preserve">API-FOOT-09</t>
  </si>
  <si>
    <t xml:space="preserve">Machine à états du workflow de publication des fiches joueurs</t>
  </si>
  <si>
    <t xml:space="preserve">API-FOOT-10</t>
  </si>
  <si>
    <t xml:space="preserve">Workflow et diffusion planifiée des anecdotes</t>
  </si>
  <si>
    <t xml:space="preserve">API-FOOT-11</t>
  </si>
  <si>
    <t xml:space="preserve">GET /players — liste publique filtrée, recherche et curseur</t>
  </si>
  <si>
    <t xml:space="preserve">API-FOOT-01, API-FOOT-06, API-FOOT-07</t>
  </si>
  <si>
    <t xml:space="preserve">API-FOOT-12</t>
  </si>
  <si>
    <t xml:space="preserve">GET /players/:id — fiche joueur (aperçu, stats par saison, bio localisée)</t>
  </si>
  <si>
    <t xml:space="preserve">API-FOOT-11, API-FOOT-08</t>
  </si>
  <si>
    <t xml:space="preserve">API-FOOT-13</t>
  </si>
  <si>
    <t xml:space="preserve">GET /matches — calendrier public filtré (compétition, période, à venir)</t>
  </si>
  <si>
    <t xml:space="preserve">API-FOOT-03, API-FOOT-02, API-FOOT-06</t>
  </si>
  <si>
    <t xml:space="preserve">API-FOOT-14</t>
  </si>
  <si>
    <t xml:space="preserve">GET /matches/next — prochain match du Barça (dashboard)</t>
  </si>
  <si>
    <t xml:space="preserve">API-FOOT-15</t>
  </si>
  <si>
    <t xml:space="preserve">GET /matches/live — match en direct ou à venir sous 24 h</t>
  </si>
  <si>
    <t xml:space="preserve">API-FOOT-14, API-FOOT-03</t>
  </si>
  <si>
    <t xml:space="preserve">API-FOOT-16</t>
  </si>
  <si>
    <t xml:space="preserve">GET /matches/:id — détail complet (résumé, compos, événements, contexte)</t>
  </si>
  <si>
    <t xml:space="preserve">API-FOOT-14, API-FOOT-08</t>
  </si>
  <si>
    <t xml:space="preserve">API-FOOT-17</t>
  </si>
  <si>
    <t xml:space="preserve">GET /matches/history — recherche de matchs historiques et frise par décennie</t>
  </si>
  <si>
    <t xml:space="preserve">API-FOOT-16, API-FOOT-06</t>
  </si>
  <si>
    <t xml:space="preserve">API-FOOT-18</t>
  </si>
  <si>
    <t xml:space="preserve">GET /history/on-this-day — matchs et anecdote d'une date précise</t>
  </si>
  <si>
    <t xml:space="preserve">API-FOOT-17, API-FOOT-04</t>
  </si>
  <si>
    <t xml:space="preserve">API-FOOT-19</t>
  </si>
  <si>
    <t xml:space="preserve">GET /anecdotes/today et /anecdotes/:id — carte « Aujourd'hui dans l'histoire »</t>
  </si>
  <si>
    <t xml:space="preserve">API-FOOT-10, API-FOOT-08</t>
  </si>
  <si>
    <t xml:space="preserve">API-FOOT-20</t>
  </si>
  <si>
    <t xml:space="preserve">Forme récente et historique des confrontations</t>
  </si>
  <si>
    <t xml:space="preserve">API-FOOT-21</t>
  </si>
  <si>
    <t xml:space="preserve">GET /competitions et /teams — référentiels publics</t>
  </si>
  <si>
    <t xml:space="preserve">API-FOOT-22</t>
  </si>
  <si>
    <t xml:space="preserve">Interface FootballDataProvider et client HTTP de l'API football</t>
  </si>
  <si>
    <t xml:space="preserve">API-FOOT-23</t>
  </si>
  <si>
    <t xml:space="preserve">Gestion des quotas de l'API football (budget journalier et minute)</t>
  </si>
  <si>
    <t xml:space="preserve">API-FOOT-24</t>
  </si>
  <si>
    <t xml:space="preserve">Mapping externalRef et upsert idempotent des équipes, compétitions, joueurs et matchs</t>
  </si>
  <si>
    <t xml:space="preserve">API-FOOT-22, API-FOOT-03, API-FOOT-02</t>
  </si>
  <si>
    <t xml:space="preserve">API-FOOT-25</t>
  </si>
  <si>
    <t xml:space="preserve">Worker BullMQ football-sync (jobs fixtures, live, lineups, events)</t>
  </si>
  <si>
    <t xml:space="preserve">API-FOOT-24, API-FOOT-23</t>
  </si>
  <si>
    <t xml:space="preserve">API-FOOT-26</t>
  </si>
  <si>
    <t xml:space="preserve">Planification cron de la synchronisation (calendrier, créneaux de match)</t>
  </si>
  <si>
    <t xml:space="preserve">API-FOOT-27</t>
  </si>
  <si>
    <t xml:space="preserve">Mode live pendant les matchs (polling rapproché, événements, score)</t>
  </si>
  <si>
    <t xml:space="preserve">API-FOOT-25, API-FOOT-26</t>
  </si>
  <si>
    <t xml:space="preserve">API-FOOT-28</t>
  </si>
  <si>
    <t xml:space="preserve">Détection des conflits entre API football et corrections éditoriales</t>
  </si>
  <si>
    <t xml:space="preserve">API-FOOT-29</t>
  </si>
  <si>
    <t xml:space="preserve">Reprise sur erreur, dégradation et indicateur de fraîcheur</t>
  </si>
  <si>
    <t xml:space="preserve">API-FOOT-30</t>
  </si>
  <si>
    <t xml:space="preserve">Cache Redis des lectures football et invalidation ciblée</t>
  </si>
  <si>
    <t xml:space="preserve">API-FOOT-31</t>
  </si>
  <si>
    <t xml:space="preserve">Endpoints admin de synchronisation (statut, déclenchement manuel, journal)</t>
  </si>
  <si>
    <t xml:space="preserve">API-FOOT-25, API-FOOT-29</t>
  </si>
  <si>
    <t xml:space="preserve">API-FOOT-32</t>
  </si>
  <si>
    <t xml:space="preserve">RBAC et validation des routes /admin football (rôles, 2FA, rate limit)</t>
  </si>
  <si>
    <t xml:space="preserve">API-FOOT-33</t>
  </si>
  <si>
    <t xml:space="preserve">Service d'audit et GET /admin/audit-logs</t>
  </si>
  <si>
    <t xml:space="preserve">API-FOOT-34</t>
  </si>
  <si>
    <t xml:space="preserve">GET /admin/players — liste, filtres avancés, compteurs</t>
  </si>
  <si>
    <t xml:space="preserve">API-FOOT-32, API-FOOT-01, API-FOOT-06</t>
  </si>
  <si>
    <t xml:space="preserve">API-FOOT-35</t>
  </si>
  <si>
    <t xml:space="preserve">CRUD admin d'une fiche joueur (identité, biographie trilingue)</t>
  </si>
  <si>
    <t xml:space="preserve">API-FOOT-34, API-FOOT-09, API-FOOT-33</t>
  </si>
  <si>
    <t xml:space="preserve">API-FOOT-36</t>
  </si>
  <si>
    <t xml:space="preserve">Publication, dépublication et archivage d'un joueur</t>
  </si>
  <si>
    <t xml:space="preserve">API-FOOT-37</t>
  </si>
  <si>
    <t xml:space="preserve">Actions de masse sur les joueurs (archivage groupé, statut)</t>
  </si>
  <si>
    <t xml:space="preserve">API-FOOT-38</t>
  </si>
  <si>
    <t xml:space="preserve">Statistiques par saison : édition et import CSV</t>
  </si>
  <si>
    <t xml:space="preserve">API-FOOT-39</t>
  </si>
  <si>
    <t xml:space="preserve">Upload et rattachement de la photo/illustration d'un joueur</t>
  </si>
  <si>
    <t xml:space="preserve">API-FOOT-05, API-FOOT-35</t>
  </si>
  <si>
    <t xml:space="preserve">API-FOOT-40</t>
  </si>
  <si>
    <t xml:space="preserve">Import et export CSV de la liste des joueurs</t>
  </si>
  <si>
    <t xml:space="preserve">API-FOOT-34, API-FOOT-38</t>
  </si>
  <si>
    <t xml:space="preserve">API-FOOT-41</t>
  </si>
  <si>
    <t xml:space="preserve">Admin matchs : liste, détail, modification et saisie de résultat</t>
  </si>
  <si>
    <t xml:space="preserve">API-FOOT-32, API-FOOT-03, API-FOOT-33</t>
  </si>
  <si>
    <t xml:space="preserve">API-FOOT-42</t>
  </si>
  <si>
    <t xml:space="preserve">Création d'un match historique (saisie éditoriale)</t>
  </si>
  <si>
    <t xml:space="preserve">API-FOOT-43</t>
  </si>
  <si>
    <t xml:space="preserve">Résolution des conflits de synchronisation</t>
  </si>
  <si>
    <t xml:space="preserve">API-FOOT-28, API-FOOT-41</t>
  </si>
  <si>
    <t xml:space="preserve">API-FOOT-44</t>
  </si>
  <si>
    <t xml:space="preserve">CRUD admin des compétitions et équipes</t>
  </si>
  <si>
    <t xml:space="preserve">API-FOOT-32, API-FOOT-02</t>
  </si>
  <si>
    <t xml:space="preserve">API-FOOT-45</t>
  </si>
  <si>
    <t xml:space="preserve">CRUD admin des anecdotes trilingues et aperçu</t>
  </si>
  <si>
    <t xml:space="preserve">API-FOOT-10, API-FOOT-33, API-FOOT-32</t>
  </si>
  <si>
    <t xml:space="preserve">API-FOOT-46</t>
  </si>
  <si>
    <t xml:space="preserve">GET /admin/anecdotes/calendar — couverture éditoriale du mois</t>
  </si>
  <si>
    <t xml:space="preserve">API-FOOT-47</t>
  </si>
  <si>
    <t xml:space="preserve">Médiathèque : liste, téléversement, suppression</t>
  </si>
  <si>
    <t xml:space="preserve">API-FOOT-05, API-FOOT-32</t>
  </si>
  <si>
    <t xml:space="preserve">API-FOOT-48</t>
  </si>
  <si>
    <t xml:space="preserve">GET /admin/search — recherche globale Ctrl+K</t>
  </si>
  <si>
    <t xml:space="preserve">API-FOOT-49</t>
  </si>
  <si>
    <t xml:space="preserve">Endpoints d'agrégation du tableau de bord admin par rôle</t>
  </si>
  <si>
    <t xml:space="preserve">API-FOOT-34, API-FOOT-46, API-FOOT-32</t>
  </si>
  <si>
    <t xml:space="preserve">API-FOOT-50</t>
  </si>
  <si>
    <t xml:space="preserve">Tests d'intégration des endpoints publics football</t>
  </si>
  <si>
    <t xml:space="preserve">API-FOOT-11, API-FOOT-12, API-FOOT-13, API-FOOT-14, API-FOOT-15, API-FOOT-16, API-FOOT-17, API-FOOT-19</t>
  </si>
  <si>
    <t xml:space="preserve">API-FOOT-51</t>
  </si>
  <si>
    <t xml:space="preserve">Tests d'intégration et sécurité des endpoints admin football</t>
  </si>
  <si>
    <t xml:space="preserve">API-FOOT-35, API-FOOT-36, API-FOOT-41, API-FOOT-43, API-FOOT-45, API-FOOT-48, API-FOOT-49</t>
  </si>
  <si>
    <t xml:space="preserve">API-FOOT-52</t>
  </si>
  <si>
    <t xml:space="preserve">Tests du worker football-sync avec fournisseur simulé</t>
  </si>
  <si>
    <t xml:space="preserve">API-FOOT-27, API-FOOT-28, API-FOOT-29</t>
  </si>
  <si>
    <t xml:space="preserve">API-FOOT-53</t>
  </si>
  <si>
    <t xml:space="preserve">Documentation Swagger/OpenAPI du domaine football et contenu</t>
  </si>
  <si>
    <t xml:space="preserve">API-FOOT-16, API-FOOT-41, API-FOOT-45</t>
  </si>
  <si>
    <t xml:space="preserve">API-FOOT-54</t>
  </si>
  <si>
    <t xml:space="preserve">Seed de données football (joueurs, matchs, compétitions, anecdotes)</t>
  </si>
  <si>
    <t xml:space="preserve">API-FOOT-01, API-FOOT-03, API-FOOT-04</t>
  </si>
  <si>
    <t xml:space="preserve">API-FOOT-55</t>
  </si>
  <si>
    <t xml:space="preserve">Workflow de traduction éditoriale (file des contenus à traduire)</t>
  </si>
  <si>
    <t xml:space="preserve">API-FOOT-09, API-FOOT-10</t>
  </si>
  <si>
    <t xml:space="preserve">API-FOOT-56</t>
  </si>
  <si>
    <t xml:space="preserve">Revue RGPD du domaine football et droits d'image</t>
  </si>
  <si>
    <t xml:space="preserve">API-CAL-01</t>
  </si>
  <si>
    <t xml:space="preserve">Catégories de compétition et périmètre d'équipe (Competition.code, Team.squad)</t>
  </si>
  <si>
    <t xml:space="preserve">API-CAL-02</t>
  </si>
  <si>
    <t xml:space="preserve">Historique des changements d'horaire d'un match (scheduleChanges)</t>
  </si>
  <si>
    <t xml:space="preserve">API-CAL-03</t>
  </si>
  <si>
    <t xml:space="preserve">Gestion des fuseaux horaires (IANA, DST, kickoffLocal)</t>
  </si>
  <si>
    <t xml:space="preserve">API-CAL-04</t>
  </si>
  <si>
    <t xml:space="preserve">GET /calendar/matches — liste filtrable des matchs à venir</t>
  </si>
  <si>
    <t xml:space="preserve">API-CAL-01, API-CAL-03</t>
  </si>
  <si>
    <t xml:space="preserve">API-CAL-05</t>
  </si>
  <si>
    <t xml:space="preserve">GET /calendar/matches/month — vue mensuelle</t>
  </si>
  <si>
    <t xml:space="preserve">API-CAL-06</t>
  </si>
  <si>
    <t xml:space="preserve">GET /calendar/matches/:id — détail d'un match programmé ou reporté</t>
  </si>
  <si>
    <t xml:space="preserve">API-CAL-02, API-CAL-03, API-CAL-08</t>
  </si>
  <si>
    <t xml:space="preserve">API-CAL-07</t>
  </si>
  <si>
    <t xml:space="preserve">Traitement des matchs reportés, annulés et à horaire indéterminé</t>
  </si>
  <si>
    <t xml:space="preserve">API-CAL-02, API-CAL-11</t>
  </si>
  <si>
    <t xml:space="preserve">API-CAL-08</t>
  </si>
  <si>
    <t xml:space="preserve">Générateur ICS conforme RFC 5545 (VCALENDAR)</t>
  </si>
  <si>
    <t xml:space="preserve">API-CAL-09</t>
  </si>
  <si>
    <t xml:space="preserve">Contenu des événements ICS : titre, lieu, description, lien de retour</t>
  </si>
  <si>
    <t xml:space="preserve">API-CAL-10</t>
  </si>
  <si>
    <t xml:space="preserve">Rappels VALARM configurables dans les événements</t>
  </si>
  <si>
    <t xml:space="preserve">API-CAL-11</t>
  </si>
  <si>
    <t xml:space="preserve">Mise à jour des événements dans les clients agenda (UID, SEQUENCE, REFRESH-INTERVAL)</t>
  </si>
  <si>
    <t xml:space="preserve">API-CAL-08, API-CAL-02</t>
  </si>
  <si>
    <t xml:space="preserve">API-CAL-12</t>
  </si>
  <si>
    <t xml:space="preserve">GET /calendar/export.ics — export ponctuel filtrable</t>
  </si>
  <si>
    <t xml:space="preserve">API-CAL-10, API-CAL-11</t>
  </si>
  <si>
    <t xml:space="preserve">API-CAL-13</t>
  </si>
  <si>
    <t xml:space="preserve">GET /calendar/subscription-url — URL webcal personnelle</t>
  </si>
  <si>
    <t xml:space="preserve">API-CAL-14</t>
  </si>
  <si>
    <t xml:space="preserve">Jeton d'abonnement : génération, stockage haché et comparaison sûre</t>
  </si>
  <si>
    <t xml:space="preserve">API-CAL-15</t>
  </si>
  <si>
    <t xml:space="preserve">Révocation et rotation du jeton d'abonnement</t>
  </si>
  <si>
    <t xml:space="preserve">API-CAL-13, API-CAL-17</t>
  </si>
  <si>
    <t xml:space="preserve">API-CAL-16</t>
  </si>
  <si>
    <t xml:space="preserve">PATCH /calendar/subscription — filtres et rappels de l'abonnement</t>
  </si>
  <si>
    <t xml:space="preserve">API-CAL-13, API-CAL-01</t>
  </si>
  <si>
    <t xml:space="preserve">API-CAL-17</t>
  </si>
  <si>
    <t xml:space="preserve">GET /calendar/feed/:token.ics — flux dynamique par jeton</t>
  </si>
  <si>
    <t xml:space="preserve">API-CAL-10, API-CAL-11, API-CAL-14</t>
  </si>
  <si>
    <t xml:space="preserve">API-CAL-18</t>
  </si>
  <si>
    <t xml:space="preserve">Cache Redis 15 min et ETag/304 pour liste et flux</t>
  </si>
  <si>
    <t xml:space="preserve">API-CAL-17, API-CAL-04</t>
  </si>
  <si>
    <t xml:space="preserve">API-CAL-19</t>
  </si>
  <si>
    <t xml:space="preserve">Job refresh-calendar-feed : invalidation sur changement d'horaire</t>
  </si>
  <si>
    <t xml:space="preserve">API-CAL-18, API-CAL-07</t>
  </si>
  <si>
    <t xml:space="preserve">API-CAL-20</t>
  </si>
  <si>
    <t xml:space="preserve">RGPD : données d'abonnement dans l'export et la suppression de compte</t>
  </si>
  <si>
    <t xml:space="preserve">API-CAL-21</t>
  </si>
  <si>
    <t xml:space="preserve">Validation RFC 5545 automatisée en CI (RG-CAL-01)</t>
  </si>
  <si>
    <t xml:space="preserve">API-CAL-22</t>
  </si>
  <si>
    <t xml:space="preserve">Tests d'intégration et e2e du module calendrier</t>
  </si>
  <si>
    <t xml:space="preserve">API-CAL-17, API-CAL-12, API-CAL-15, API-CAL-05, API-CAL-16</t>
  </si>
  <si>
    <t xml:space="preserve">API-CAL-23</t>
  </si>
  <si>
    <t xml:space="preserve">Test de charge k6 du flux et de la liste calendrier</t>
  </si>
  <si>
    <t xml:space="preserve">API-CAL-18, API-CAL-17</t>
  </si>
  <si>
    <t xml:space="preserve">API-CAL-24</t>
  </si>
  <si>
    <t xml:space="preserve">Documentation OpenAPI et guide d'intégration du calendrier</t>
  </si>
  <si>
    <t xml:space="preserve">API-CAL-17, API-CAL-12, API-CAL-15</t>
  </si>
  <si>
    <t xml:space="preserve">API-JEUX-01</t>
  </si>
  <si>
    <t xml:space="preserve">Durcir DailyChallenge, GuessAttempt et créer GuessPlay (partie par joueur et par défi)</t>
  </si>
  <si>
    <t xml:space="preserve">API-JEUX-02</t>
  </si>
  <si>
    <t xml:space="preserve">Job cron de génération du défi quotidien (fuseau Europe/Madrid, pré-génération, idempotence)</t>
  </si>
  <si>
    <t xml:space="preserve">API-JEUX-03</t>
  </si>
  <si>
    <t xml:space="preserve">Sélection pondérée du joueur mystère (éligibilité, anti-répétition)</t>
  </si>
  <si>
    <t xml:space="preserve">API-JEUX-04</t>
  </si>
  <si>
    <t xml:space="preserve">Moteur de comparaison des indices (correct / proche / faux, flèches plus/moins)</t>
  </si>
  <si>
    <t xml:space="preserve">API-JEUX-05</t>
  </si>
  <si>
    <t xml:space="preserve">GET /guess-the-player/today : état du défi pour l'utilisateur courant</t>
  </si>
  <si>
    <t xml:space="preserve">API-JEUX-02, API-JEUX-04</t>
  </si>
  <si>
    <t xml:space="preserve">API-JEUX-06</t>
  </si>
  <si>
    <t xml:space="preserve">GET /guess-the-player/players/search : suggestions de joueurs à la saisie</t>
  </si>
  <si>
    <t xml:space="preserve">API-JEUX-07</t>
  </si>
  <si>
    <t xml:space="preserve">POST /guess-the-player/attempt : soumettre une tentative (idempotente, 6 essais)</t>
  </si>
  <si>
    <t xml:space="preserve">API-JEUX-05, API-JEUX-04, API-JEUX-09, API-JEUX-19</t>
  </si>
  <si>
    <t xml:space="preserve">API-JEUX-08</t>
  </si>
  <si>
    <t xml:space="preserve">Anti-triche Guess the Player (non-fuite de la solution, automatisation, cache)</t>
  </si>
  <si>
    <t xml:space="preserve">API-JEUX-09</t>
  </si>
  <si>
    <t xml:space="preserve">Barème de points Guess the Player et génération de la grille d'emojis sans spoiler</t>
  </si>
  <si>
    <t xml:space="preserve">API-JEUX-10</t>
  </si>
  <si>
    <t xml:space="preserve">GET /guess-the-player/history : historique, taux de réussite et répartition des essais</t>
  </si>
  <si>
    <t xml:space="preserve">API-JEUX-11</t>
  </si>
  <si>
    <t xml:space="preserve">Durcir QuizQuestion, QuizSession et créer QuestionStatDaily / QuizLeague-ready</t>
  </si>
  <si>
    <t xml:space="preserve">API-JEUX-12</t>
  </si>
  <si>
    <t xml:space="preserve">Algorithme d'adaptation du niveau (5 paliers, fenêtre glissante de 10 réponses)</t>
  </si>
  <si>
    <t xml:space="preserve">API-JEUX-13</t>
  </si>
  <si>
    <t xml:space="preserve">Sélection des 10 questions d'une session (mix de niveaux, anti-répétition)</t>
  </si>
  <si>
    <t xml:space="preserve">API-JEUX-11, API-JEUX-12</t>
  </si>
  <si>
    <t xml:space="preserve">API-JEUX-14</t>
  </si>
  <si>
    <t xml:space="preserve">GET/POST /quiz/daily : démarrer, reprendre ou constater le quiz du jour</t>
  </si>
  <si>
    <t xml:space="preserve">API-JEUX-13, API-JEUX-02</t>
  </si>
  <si>
    <t xml:space="preserve">API-JEUX-15</t>
  </si>
  <si>
    <t xml:space="preserve">GET /quiz/practice : entraînement libre illimité sans impact sur le niveau</t>
  </si>
  <si>
    <t xml:space="preserve">API-JEUX-16</t>
  </si>
  <si>
    <t xml:space="preserve">POST /quiz/answer : réponse, chrono serveur, scoring et anti-rejeu</t>
  </si>
  <si>
    <t xml:space="preserve">API-JEUX-14, API-JEUX-11, API-JEUX-20</t>
  </si>
  <si>
    <t xml:space="preserve">API-JEUX-17</t>
  </si>
  <si>
    <t xml:space="preserve">Résultat de session : synthèse, montée/descente de niveau et revue des explications</t>
  </si>
  <si>
    <t xml:space="preserve">API-JEUX-16, API-JEUX-19</t>
  </si>
  <si>
    <t xml:space="preserve">API-JEUX-18</t>
  </si>
  <si>
    <t xml:space="preserve">GET /games/hub : agrégat des cartes Jeux (défi du jour, quiz du jour, niveau, historique)</t>
  </si>
  <si>
    <t xml:space="preserve">API-JEUX-05, API-JEUX-14</t>
  </si>
  <si>
    <t xml:space="preserve">API-JEUX-19</t>
  </si>
  <si>
    <t xml:space="preserve">Streaks : série de jours consécutifs, record, rappel avant minuit</t>
  </si>
  <si>
    <t xml:space="preserve">API-JEUX-20</t>
  </si>
  <si>
    <t xml:space="preserve">Points (XP) : barème ScoringRule, registre d'événements idempotent, totalPoints</t>
  </si>
  <si>
    <t xml:space="preserve">API-JEUX-21</t>
  </si>
  <si>
    <t xml:space="preserve">GET /quiz/leaderboard : classements monde et amis par période</t>
  </si>
  <si>
    <t xml:space="preserve">API-JEUX-20, API-JEUX-23</t>
  </si>
  <si>
    <t xml:space="preserve">API-JEUX-22</t>
  </si>
  <si>
    <t xml:space="preserve">Classements en temps réel sur Redis (sorted sets) avec reconstruction</t>
  </si>
  <si>
    <t xml:space="preserve">API-JEUX-23</t>
  </si>
  <si>
    <t xml:space="preserve">Modèle QuizLeague : ligues privées entre amis avec code BARCA-XXXX</t>
  </si>
  <si>
    <t xml:space="preserve">API-JEUX-24</t>
  </si>
  <si>
    <t xml:space="preserve">Endpoints ligues : création, aperçu par code, adhésion, départ, invitation</t>
  </si>
  <si>
    <t xml:space="preserve">API-JEUX-23, API-JEUX-21</t>
  </si>
  <si>
    <t xml:space="preserve">API-JEUX-25</t>
  </si>
  <si>
    <t xml:space="preserve">Back-office : liste filtrée et CRUD des questions de quiz (/admin/quiz-questions)</t>
  </si>
  <si>
    <t xml:space="preserve">API-JEUX-26</t>
  </si>
  <si>
    <t xml:space="preserve">Import / export CSV de questions de quiz (validation ligne à ligne)</t>
  </si>
  <si>
    <t xml:space="preserve">API-JEUX-27</t>
  </si>
  <si>
    <t xml:space="preserve">File de validation des questions IA : lister, approuver, corriger puis approuver, rejeter</t>
  </si>
  <si>
    <t xml:space="preserve">API-JEUX-28</t>
  </si>
  <si>
    <t xml:space="preserve">Worker de génération assistée par IA : ingestion en pending-ai (jamais de publication directe)</t>
  </si>
  <si>
    <t xml:space="preserve">API-JEUX-29</t>
  </si>
  <si>
    <t xml:space="preserve">Difficulté mesurée : recalcul du niveau observé par question</t>
  </si>
  <si>
    <t xml:space="preserve">API-JEUX-30</t>
  </si>
  <si>
    <t xml:space="preserve">Back-office : performance des questions et export (/admin/quiz-questions/performance)</t>
  </si>
  <si>
    <t xml:space="preserve">API-JEUX-31</t>
  </si>
  <si>
    <t xml:space="preserve">Back-office : planification du joueur mystère et du quiz mis en avant</t>
  </si>
  <si>
    <t xml:space="preserve">API-JEUX-02, API-JEUX-03</t>
  </si>
  <si>
    <t xml:space="preserve">API-JEUX-32</t>
  </si>
  <si>
    <t xml:space="preserve">Index MongoDB et caches Redis des modules jeux</t>
  </si>
  <si>
    <t xml:space="preserve">API-JEUX-18, API-JEUX-21</t>
  </si>
  <si>
    <t xml:space="preserve">API-JEUX-33</t>
  </si>
  <si>
    <t xml:space="preserve">RGPD : export, suppression et minimisation des données de jeu</t>
  </si>
  <si>
    <t xml:space="preserve">API-JEUX-21, API-JEUX-20</t>
  </si>
  <si>
    <t xml:space="preserve">API-JEUX-34</t>
  </si>
  <si>
    <t xml:space="preserve">Seed (barèmes, badges, questions de démo) et documentation Swagger/Markdown des jeux</t>
  </si>
  <si>
    <t xml:space="preserve">API-JEUX-35</t>
  </si>
  <si>
    <t xml:space="preserve">Tests unitaires et d'intégration des jeux (domaine, API, jobs)</t>
  </si>
  <si>
    <t xml:space="preserve">API-JEUX-07, API-JEUX-16, API-JEUX-17, API-JEUX-21, API-JEUX-24</t>
  </si>
  <si>
    <t xml:space="preserve">API-JEUX-36</t>
  </si>
  <si>
    <t xml:space="preserve">Tests de sécurité des jeux (fuite de solution, rejeu, rôles admin)</t>
  </si>
  <si>
    <t xml:space="preserve">API-JEUX-08, API-JEUX-27, API-JEUX-24</t>
  </si>
  <si>
    <t xml:space="preserve">API-JEUX-37</t>
  </si>
  <si>
    <t xml:space="preserve">Tests de charge k6 : soir de match (hub, défi du jour, quiz, classements)</t>
  </si>
  <si>
    <t xml:space="preserve">API-JEUX-32, API-JEUX-35</t>
  </si>
  <si>
    <t xml:space="preserve">API-NOTIF-01</t>
  </si>
  <si>
    <t xml:space="preserve">Étendre NotificationPreference, DeviceToken et NotificationLog (+ NotificationCampaign)</t>
  </si>
  <si>
    <t xml:space="preserve">API-NOTIF-02</t>
  </si>
  <si>
    <t xml:space="preserve">POST /notifications/devices — enregistrement du jeton d'appareil</t>
  </si>
  <si>
    <t xml:space="preserve">API-NOTIF-03</t>
  </si>
  <si>
    <t xml:space="preserve">Rotation, rafraîchissement et suppression des jetons d'appareil</t>
  </si>
  <si>
    <t xml:space="preserve">API-NOTIF-04</t>
  </si>
  <si>
    <t xml:space="preserve">GET/PATCH /notifications/preferences — préférences par catégorie</t>
  </si>
  <si>
    <t xml:space="preserve">API-NOTIF-05</t>
  </si>
  <si>
    <t xml:space="preserve">Logique des heures calmes (fenêtre de nuit, fuseau, exception live)</t>
  </si>
  <si>
    <t xml:space="preserve">API-NOTIF-06</t>
  </si>
  <si>
    <t xml:space="preserve">Conformité : consentement « notifications » et état de permission</t>
  </si>
  <si>
    <t xml:space="preserve">API-NOTIF-07</t>
  </si>
  <si>
    <t xml:space="preserve">Service d'envoi FCM (firebase-admin) et construction des messages</t>
  </si>
  <si>
    <t xml:space="preserve">API-NOTIF-08</t>
  </si>
  <si>
    <t xml:space="preserve">Worker BullMQ `notifications` : routage des jobs et orchestration</t>
  </si>
  <si>
    <t xml:space="preserve">API-NOTIF-07, API-NOTIF-05, API-NOTIF-06, API-NOTIF-04</t>
  </si>
  <si>
    <t xml:space="preserve">API-NOTIF-09</t>
  </si>
  <si>
    <t xml:space="preserve">Envoi par lots (500) avec limitation de débit FCM</t>
  </si>
  <si>
    <t xml:space="preserve">API-NOTIF-10</t>
  </si>
  <si>
    <t xml:space="preserve">Retry avec backoff exponentiel et dead-letter</t>
  </si>
  <si>
    <t xml:space="preserve">API-NOTIF-11</t>
  </si>
  <si>
    <t xml:space="preserve">Invalidation et purge des jetons d'appareil morts</t>
  </si>
  <si>
    <t xml:space="preserve">API-NOTIF-12</t>
  </si>
  <si>
    <t xml:space="preserve">Catalogue de modèles de notifications localisés (fr/en/es) et deep links</t>
  </si>
  <si>
    <t xml:space="preserve">API-NOTIF-13</t>
  </si>
  <si>
    <t xml:space="preserve">Déclencheur : rappel 1 h avant et coup d'envoi</t>
  </si>
  <si>
    <t xml:space="preserve">API-NOTIF-08, API-NOTIF-12</t>
  </si>
  <si>
    <t xml:space="preserve">API-NOTIF-14</t>
  </si>
  <si>
    <t xml:space="preserve">Déclencheurs live : mi-temps, score final, buts en direct</t>
  </si>
  <si>
    <t xml:space="preserve">API-NOTIF-15</t>
  </si>
  <si>
    <t xml:space="preserve">Déclencheur : nouveau défi du jour disponible</t>
  </si>
  <si>
    <t xml:space="preserve">API-NOTIF-16</t>
  </si>
  <si>
    <t xml:space="preserve">Déclencheur : série en danger (rappel avant minuit)</t>
  </si>
  <si>
    <t xml:space="preserve">API-NOTIF-08, API-NOTIF-12, API-NOTIF-05</t>
  </si>
  <si>
    <t xml:space="preserve">API-NOTIF-17</t>
  </si>
  <si>
    <t xml:space="preserve">Déclencheurs : badge débloqué et anniversaires / dates historiques</t>
  </si>
  <si>
    <t xml:space="preserve">API-NOTIF-18</t>
  </si>
  <si>
    <t xml:space="preserve">Déclencheur : activité des groupes communautaires rejoints</t>
  </si>
  <si>
    <t xml:space="preserve">API-NOTIF-19</t>
  </si>
  <si>
    <t xml:space="preserve">Déclencheur : notification de sanction de modération</t>
  </si>
  <si>
    <t xml:space="preserve">API-NOTIF-20</t>
  </si>
  <si>
    <t xml:space="preserve">GET /notifications — centre de notifications paginé</t>
  </si>
  <si>
    <t xml:space="preserve">API-NOTIF-21</t>
  </si>
  <si>
    <t xml:space="preserve">Lu / non lu, « Tout lire » et suppression des notifications</t>
  </si>
  <si>
    <t xml:space="preserve">API-NOTIF-22</t>
  </si>
  <si>
    <t xml:space="preserve">Campagnes manuelles : brouillon, contenu trilingue et aperçu</t>
  </si>
  <si>
    <t xml:space="preserve">API-NOTIF-01, API-NOTIF-12</t>
  </si>
  <si>
    <t xml:space="preserve">API-NOTIF-23</t>
  </si>
  <si>
    <t xml:space="preserve">Campagnes : segments d'audience et estimation du nombre de destinataires</t>
  </si>
  <si>
    <t xml:space="preserve">API-NOTIF-22, API-NOTIF-06</t>
  </si>
  <si>
    <t xml:space="preserve">API-NOTIF-24</t>
  </si>
  <si>
    <t xml:space="preserve">Campagnes : envoi immédiat, double confirmation « Tous » et rôle super-admin</t>
  </si>
  <si>
    <t xml:space="preserve">API-NOTIF-23, API-NOTIF-08, API-NOTIF-09</t>
  </si>
  <si>
    <t xml:space="preserve">API-NOTIF-25</t>
  </si>
  <si>
    <t xml:space="preserve">Campagnes : envoi différé à une date/heure</t>
  </si>
  <si>
    <t xml:space="preserve">API-NOTIF-26</t>
  </si>
  <si>
    <t xml:space="preserve">Campagnes : historique, statistiques et détail</t>
  </si>
  <si>
    <t xml:space="preserve">API-NOTIF-27</t>
  </si>
  <si>
    <t xml:space="preserve">Campagnes : limites, quotas et garde-fous anti-spam</t>
  </si>
  <si>
    <t xml:space="preserve">API-NOTIF-28</t>
  </si>
  <si>
    <t xml:space="preserve">Journaux d'envoi (NotificationLog), métriques et export RGPD</t>
  </si>
  <si>
    <t xml:space="preserve">API-NOTIF-29</t>
  </si>
  <si>
    <t xml:space="preserve">Tests unitaires et d'intégration du module notifications</t>
  </si>
  <si>
    <t xml:space="preserve">API-NOTIF-21, API-NOTIF-24, API-NOTIF-16, API-NOTIF-13, API-NOTIF-14, API-NOTIF-11, API-NOTIF-10, API-NOTIF-26, API-NOTIF-27, API-NOTIF-28</t>
  </si>
  <si>
    <t xml:space="preserve">API-NOTIF-30</t>
  </si>
  <si>
    <t xml:space="preserve">Tests de charge : fan-out de 100 000 notifications</t>
  </si>
  <si>
    <t xml:space="preserve">API-NOTIF-09, API-NOTIF-20</t>
  </si>
  <si>
    <t xml:space="preserve">API-NOTIF-31</t>
  </si>
  <si>
    <t xml:space="preserve">Documentation OpenAPI et guide d'intégration mobile/admin des notifications</t>
  </si>
  <si>
    <t xml:space="preserve">API-NOTIF-26, API-NOTIF-21, API-NOTIF-03</t>
  </si>
  <si>
    <t xml:space="preserve">API-IA-01</t>
  </si>
  <si>
    <t xml:space="preserve">Éclater ChatConversation en deux collections ChatConversation et ChatMessage</t>
  </si>
  <si>
    <t xml:space="preserve">API-IA-02</t>
  </si>
  <si>
    <t xml:space="preserve">Contrat typé des métadonnées de message : blocs, actions, sources, suggestions</t>
  </si>
  <si>
    <t xml:space="preserve">API-IA-03</t>
  </si>
  <si>
    <t xml:space="preserve">Compteurs d'usage IA par utilisateur et par jour (AiQuota + AiUsage)</t>
  </si>
  <si>
    <t xml:space="preserve">API-IA-04</t>
  </si>
  <si>
    <t xml:space="preserve">Journal des appels IA : tokens, latence et coût estimé (AiCallLog)</t>
  </si>
  <si>
    <t xml:space="preserve">API-IA-05</t>
  </si>
  <si>
    <t xml:space="preserve">Interface LanguageModelProvider et fabrique de fournisseurs de texte</t>
  </si>
  <si>
    <t xml:space="preserve">API-IA-06</t>
  </si>
  <si>
    <t xml:space="preserve">Fournisseur IA simulé déterministe pour développement et tests</t>
  </si>
  <si>
    <t xml:space="preserve">API-IA-07</t>
  </si>
  <si>
    <t xml:space="preserve">Bascule automatique vers un fournisseur secondaire et disjoncteur</t>
  </si>
  <si>
    <t xml:space="preserve">API-IA-05, API-IA-03</t>
  </si>
  <si>
    <t xml:space="preserve">API-IA-08</t>
  </si>
  <si>
    <t xml:space="preserve">Prompt système Barça AI versionné et garde-fous de périmètre</t>
  </si>
  <si>
    <t xml:space="preserve">API-IA-09</t>
  </si>
  <si>
    <t xml:space="preserve">Étapes 1 et 2 du pipeline : détection de langue FR/EN/ES et classification d'intention</t>
  </si>
  <si>
    <t xml:space="preserve">API-IA-10</t>
  </si>
  <si>
    <t xml:space="preserve">Étape 3 : récupération contrôlée du contexte (joueurs, matchs, historique, stats)</t>
  </si>
  <si>
    <t xml:space="preserve">API-IA-11</t>
  </si>
  <si>
    <t xml:space="preserve">Modération des messages entrants (message non traité)</t>
  </si>
  <si>
    <t xml:space="preserve">API-IA-01, API-IA-09</t>
  </si>
  <si>
    <t xml:space="preserve">API-IA-12</t>
  </si>
  <si>
    <t xml:space="preserve">Étape 6 : modération de la sortie du modèle et cohérence avec le périmètre</t>
  </si>
  <si>
    <t xml:space="preserve">API-IA-08, API-IA-11, API-IA-06</t>
  </si>
  <si>
    <t xml:space="preserve">API-IA-13</t>
  </si>
  <si>
    <t xml:space="preserve">Réponses de recadrage hors périmètre et « information introuvable »</t>
  </si>
  <si>
    <t xml:space="preserve">API-IA-10, API-IA-08</t>
  </si>
  <si>
    <t xml:space="preserve">API-IA-14</t>
  </si>
  <si>
    <t xml:space="preserve">Étape 7 : détection d'actions et blocs enrichis (carte joueur)</t>
  </si>
  <si>
    <t xml:space="preserve">API-IA-02, API-IA-10</t>
  </si>
  <si>
    <t xml:space="preserve">API-IA-15</t>
  </si>
  <si>
    <t xml:space="preserve">Use case SendMessageToAssistant : orchestration complète du pipeline en 8 étapes</t>
  </si>
  <si>
    <t xml:space="preserve">API-IA-11, API-IA-12, API-IA-14, API-IA-13, API-IA-07</t>
  </si>
  <si>
    <t xml:space="preserve">API-IA-16</t>
  </si>
  <si>
    <t xml:space="preserve">Endpoints de conversations : création, liste avec recherche, détail paginé, suppression</t>
  </si>
  <si>
    <t xml:space="preserve">API-IA-17</t>
  </si>
  <si>
    <t xml:space="preserve">POST /assistant/conversations/:id/messages (réponse JSON complète)</t>
  </si>
  <si>
    <t xml:space="preserve">API-IA-15, API-IA-03</t>
  </si>
  <si>
    <t xml:space="preserve">API-IA-18</t>
  </si>
  <si>
    <t xml:space="preserve">Streaming SSE des réponses de l'assistant (text/event-stream)</t>
  </si>
  <si>
    <t xml:space="preserve">API-IA-17, API-IA-12</t>
  </si>
  <si>
    <t xml:space="preserve">API-IA-19</t>
  </si>
  <si>
    <t xml:space="preserve">Quota quotidien de messages et exposition du solde (écran N-14)</t>
  </si>
  <si>
    <t xml:space="preserve">API-IA-03, API-IA-17</t>
  </si>
  <si>
    <t xml:space="preserve">API-IA-20</t>
  </si>
  <si>
    <t xml:space="preserve">Rate limiting spécifique à l'assistant et protection contre l'abus</t>
  </si>
  <si>
    <t xml:space="preserve">API-IA-21</t>
  </si>
  <si>
    <t xml:space="preserve">Contrat d'erreurs, indisponibilité et kill switch de l'assistant</t>
  </si>
  <si>
    <t xml:space="preserve">API-IA-22</t>
  </si>
  <si>
    <t xml:space="preserve">Feature flags et configuration publique : kill switch, streaming, wallpapers</t>
  </si>
  <si>
    <t xml:space="preserve">API-IA-23</t>
  </si>
  <si>
    <t xml:space="preserve">Configuration back-office des quotas IA (GET/PATCH /admin/config/ai-quotas)</t>
  </si>
  <si>
    <t xml:space="preserve">API-IA-24</t>
  </si>
  <si>
    <t xml:space="preserve">Endpoint de consommation IA (GET /admin/observability/ai-usage)</t>
  </si>
  <si>
    <t xml:space="preserve">API-IA-25</t>
  </si>
  <si>
    <t xml:space="preserve">Caches Redis de l'assistant : contexte, réponses fréquentes, noms de joueurs</t>
  </si>
  <si>
    <t xml:space="preserve">API-IA-26</t>
  </si>
  <si>
    <t xml:space="preserve">Résumés glissants de l'historique pour limiter les tokens</t>
  </si>
  <si>
    <t xml:space="preserve">API-IA-27</t>
  </si>
  <si>
    <t xml:space="preserve">Export RGPD des conversations de l'assistant</t>
  </si>
  <si>
    <t xml:space="preserve">API-IA-28</t>
  </si>
  <si>
    <t xml:space="preserve">Suppression à la demande, suppression de compte et rétention des conversations</t>
  </si>
  <si>
    <t xml:space="preserve">API-IA-16, API-IA-27</t>
  </si>
  <si>
    <t xml:space="preserve">API-IA-29</t>
  </si>
  <si>
    <t xml:space="preserve">Signalement d'une réponse de l'assistant (POST /assistant/messages/:id/report)</t>
  </si>
  <si>
    <t xml:space="preserve">API-IA-30</t>
  </si>
  <si>
    <t xml:space="preserve">Observabilité de l'assistant : métriques, traces et alertes de dérive</t>
  </si>
  <si>
    <t xml:space="preserve">API-IA-31</t>
  </si>
  <si>
    <t xml:space="preserve">Suite de non-régression des garde-fous et du prompt (jeu d'or)</t>
  </si>
  <si>
    <t xml:space="preserve">API-IA-15, API-IA-06</t>
  </si>
  <si>
    <t xml:space="preserve">API-IA-32</t>
  </si>
  <si>
    <t xml:space="preserve">Tests d'intégration et de contrat de l'API assistant</t>
  </si>
  <si>
    <t xml:space="preserve">API-IA-18, API-IA-16, API-IA-19</t>
  </si>
  <si>
    <t xml:space="preserve">API-IA-33</t>
  </si>
  <si>
    <t xml:space="preserve">Test de charge k6 du chat (JSON et SSE) avec fournisseur simulé</t>
  </si>
  <si>
    <t xml:space="preserve">API-IA-34</t>
  </si>
  <si>
    <t xml:space="preserve">Documentation OpenAPI et guide d'intégration de l'assistant</t>
  </si>
  <si>
    <t xml:space="preserve">API-IA-18, API-IA-16</t>
  </si>
  <si>
    <t xml:space="preserve">API-COMM-01</t>
  </si>
  <si>
    <t xml:space="preserve">Modèle de localisation approximative et de visibilité sur la carte (User)</t>
  </si>
  <si>
    <t xml:space="preserve">API-COMM-02</t>
  </si>
  <si>
    <t xml:space="preserve">Import du référentiel GeoCity (centres de villes) et script de seed</t>
  </si>
  <si>
    <t xml:space="preserve">API-COMM-03</t>
  </si>
  <si>
    <t xml:space="preserve">GeoService : conversion GPS vers ville la plus proche sans conservation des coordonnées</t>
  </si>
  <si>
    <t xml:space="preserve">API-COMM-04</t>
  </si>
  <si>
    <t xml:space="preserve">Endpoint de consentement à la géolocalisation (accord / révocation historisés)</t>
  </si>
  <si>
    <t xml:space="preserve">API-COMM-05</t>
  </si>
  <si>
    <t xml:space="preserve">Endpoint de définition de la zone : GPS approximatif ou saisie manuelle pays/ville</t>
  </si>
  <si>
    <t xml:space="preserve">API-COMM-03, API-COMM-04, API-COMM-02</t>
  </si>
  <si>
    <t xml:space="preserve">API-COMM-06</t>
  </si>
  <si>
    <t xml:space="preserve">Endpoint de choix de visibilité sur la carte (ville / pays / masqué)</t>
  </si>
  <si>
    <t xml:space="preserve">API-COMM-07</t>
  </si>
  <si>
    <t xml:space="preserve">Évolution de LocationAggregate : GeoJSON, niveaux et index 2dsphere</t>
  </si>
  <si>
    <t xml:space="preserve">API-COMM-08</t>
  </si>
  <si>
    <t xml:space="preserve">Job planifié de recalcul des agrégats de la carte (toutes les 10 minutes)</t>
  </si>
  <si>
    <t xml:space="preserve">API-COMM-07, API-COMM-06</t>
  </si>
  <si>
    <t xml:space="preserve">API-COMM-09</t>
  </si>
  <si>
    <t xml:space="preserve">GET /community/map/aggregates : compteurs par zone avec bbox, zoom et clusters</t>
  </si>
  <si>
    <t xml:space="preserve">API-COMM-10</t>
  </si>
  <si>
    <t xml:space="preserve">GET /community/map/summary : totaux mondiaux et classement des pays</t>
  </si>
  <si>
    <t xml:space="preserve">API-COMM-11</t>
  </si>
  <si>
    <t xml:space="preserve">GET /community/map/zones/:countryCode(/:cityId) : détail pays et ville</t>
  </si>
  <si>
    <t xml:space="preserve">API-COMM-12</t>
  </si>
  <si>
    <t xml:space="preserve">GET /community/map/search : recherche de pays, villes et groupes</t>
  </si>
  <si>
    <t xml:space="preserve">API-COMM-13</t>
  </si>
  <si>
    <t xml:space="preserve">GET /community/groups/nearby : groupes proches de ma zone (« Près de moi »)</t>
  </si>
  <si>
    <t xml:space="preserve">API-COMM-14</t>
  </si>
  <si>
    <t xml:space="preserve">GET /community/groups/search : recherche de groupes par pays, ville et texte</t>
  </si>
  <si>
    <t xml:space="preserve">API-COMM-15</t>
  </si>
  <si>
    <t xml:space="preserve">Évolution du modèle CommunityGroup, appartenances et index</t>
  </si>
  <si>
    <t xml:space="preserve">API-COMM-16</t>
  </si>
  <si>
    <t xml:space="preserve">POST /community/groups : création d'un groupe local avec validation</t>
  </si>
  <si>
    <t xml:space="preserve">API-COMM-17</t>
  </si>
  <si>
    <t xml:space="preserve">Gestion de ma demande de création : consultation, modification, annulation</t>
  </si>
  <si>
    <t xml:space="preserve">API-COMM-18</t>
  </si>
  <si>
    <t xml:space="preserve">Téléversement d'images (avatar de groupe et pièces jointes) avec nettoyage EXIF</t>
  </si>
  <si>
    <t xml:space="preserve">API-COMM-19</t>
  </si>
  <si>
    <t xml:space="preserve">GET /community/groups/:id : fiche d'un groupe (vue membre / non-membre)</t>
  </si>
  <si>
    <t xml:space="preserve">API-COMM-20</t>
  </si>
  <si>
    <t xml:space="preserve">Adhésion et départ : POST /join, DELETE /membership</t>
  </si>
  <si>
    <t xml:space="preserve">API-COMM-21</t>
  </si>
  <si>
    <t xml:space="preserve">Liste des membres, recherche et rôles (membre / modérateur de groupe)</t>
  </si>
  <si>
    <t xml:space="preserve">API-COMM-22</t>
  </si>
  <si>
    <t xml:space="preserve">Fil de discussion : GET/POST /community/groups/:id/posts (pagination par curseur)</t>
  </si>
  <si>
    <t xml:space="preserve">API-COMM-23</t>
  </si>
  <si>
    <t xml:space="preserve">Commentaires et likes sur les messages de groupe</t>
  </si>
  <si>
    <t xml:space="preserve">API-COMM-24</t>
  </si>
  <si>
    <t xml:space="preserve">Événements et watch parties : création, liste, détail (K-08 à K-10)</t>
  </si>
  <si>
    <t xml:space="preserve">API-COMM-25</t>
  </si>
  <si>
    <t xml:space="preserve">Participation aux événements (« Je participe ») et compteurs</t>
  </si>
  <si>
    <t xml:space="preserve">API-COMM-26</t>
  </si>
  <si>
    <t xml:space="preserve">Masquer un utilisateur (K-04 « Masquer cet utilisateur »)</t>
  </si>
  <si>
    <t xml:space="preserve">API-COMM-27</t>
  </si>
  <si>
    <t xml:space="preserve">Limites anti-spam communautaires (débit, quotas, ancienneté)</t>
  </si>
  <si>
    <t xml:space="preserve">API-COMM-28</t>
  </si>
  <si>
    <t xml:space="preserve">Notifications de groupe : validation, nouvel événement, rappels, activité</t>
  </si>
  <si>
    <t xml:space="preserve">API-COMM-24, API-COMM-16</t>
  </si>
  <si>
    <t xml:space="preserve">API-COMM-29</t>
  </si>
  <si>
    <t xml:space="preserve">RGPD : effacement, anonymisation et export des données communautaires</t>
  </si>
  <si>
    <t xml:space="preserve">API-COMM-22, API-COMM-21</t>
  </si>
  <si>
    <t xml:space="preserve">API-COMM-30</t>
  </si>
  <si>
    <t xml:space="preserve">Index, pagination et performance des requêtes communautaires</t>
  </si>
  <si>
    <t xml:space="preserve">API-COMM-09, API-COMM-22, API-COMM-14</t>
  </si>
  <si>
    <t xml:space="preserve">API-COMM-31</t>
  </si>
  <si>
    <t xml:space="preserve">Tests de sécurité : aucune position précise ne fuit, autorisations de groupe</t>
  </si>
  <si>
    <t xml:space="preserve">API-COMM-06, API-COMM-22, API-COMM-09</t>
  </si>
  <si>
    <t xml:space="preserve">API-COMM-32</t>
  </si>
  <si>
    <t xml:space="preserve">Tests d'intégration et e2e des parcours communautaires</t>
  </si>
  <si>
    <t xml:space="preserve">API-COMM-16, API-COMM-13, API-COMM-25, API-COMM-22</t>
  </si>
  <si>
    <t xml:space="preserve">API-COMM-33</t>
  </si>
  <si>
    <t xml:space="preserve">Documentation OpenAPI, codes d'erreur et contrat pour le mobile</t>
  </si>
  <si>
    <t xml:space="preserve">API-COMM-22, API-COMM-24, API-COMM-09</t>
  </si>
  <si>
    <t xml:space="preserve">API-MODER-01</t>
  </si>
  <si>
    <t xml:space="preserve">Durcir le modèle ModerationReport (types, doublons, snapshot, SLA)</t>
  </si>
  <si>
    <t xml:space="preserve">API-MODER-02</t>
  </si>
  <si>
    <t xml:space="preserve">Rendre ModerationAction et AuditLog réellement immuables</t>
  </si>
  <si>
    <t xml:space="preserve">API-MODER-03</t>
  </si>
  <si>
    <t xml:space="preserve">Modèle de sanctions et états de compte utilisateur (actif, suspendu, banni)</t>
  </si>
  <si>
    <t xml:space="preserve">API-MODER-04</t>
  </si>
  <si>
    <t xml:space="preserve">Middleware de restriction selon l'état de compte (A-09, A-10)</t>
  </si>
  <si>
    <t xml:space="preserve">API-MODER-05</t>
  </si>
  <si>
    <t xml:space="preserve">API de signalement d'un contenu ou d'un utilisateur</t>
  </si>
  <si>
    <t xml:space="preserve">API-MODER-01, API-MODER-04</t>
  </si>
  <si>
    <t xml:space="preserve">API-MODER-06</t>
  </si>
  <si>
    <t xml:space="preserve">Filtrage automatique : mots interdits et liens suspects</t>
  </si>
  <si>
    <t xml:space="preserve">API-MODER-07</t>
  </si>
  <si>
    <t xml:space="preserve">Détection de flood et de comportements répétitifs</t>
  </si>
  <si>
    <t xml:space="preserve">API-MODER-06, API-MODER-01</t>
  </si>
  <si>
    <t xml:space="preserve">API-MODER-08</t>
  </si>
  <si>
    <t xml:space="preserve">Service de gravité auto-évaluée indicative des signalements</t>
  </si>
  <si>
    <t xml:space="preserve">API-MODER-09</t>
  </si>
  <si>
    <t xml:space="preserve">GET /admin/moderation/reports : file de modération (tri, filtres, compteurs)</t>
  </si>
  <si>
    <t xml:space="preserve">API-MODER-01, API-MODER-08</t>
  </si>
  <si>
    <t xml:space="preserve">API-MODER-10</t>
  </si>
  <si>
    <t xml:space="preserve">GET /admin/moderation/reports/:id : détail, contexte et prise en charge</t>
  </si>
  <si>
    <t xml:space="preserve">API-MODER-09, API-MODER-02</t>
  </si>
  <si>
    <t xml:space="preserve">API-MODER-11</t>
  </si>
  <si>
    <t xml:space="preserve">Service de barème indicatif et calcul du rang de récidive</t>
  </si>
  <si>
    <t xml:space="preserve">API-MODER-12</t>
  </si>
  <si>
    <t xml:space="preserve">POST /admin/moderation/reports/:id/action : ignorer, masquer, avertir, suspendre, bannir</t>
  </si>
  <si>
    <t xml:space="preserve">API-MODER-10, API-MODER-11, API-MODER-04</t>
  </si>
  <si>
    <t xml:space="preserve">API-MODER-13</t>
  </si>
  <si>
    <t xml:space="preserve">Levée de sanction : fin de suspension et débannissement</t>
  </si>
  <si>
    <t xml:space="preserve">API-MODER-14</t>
  </si>
  <si>
    <t xml:space="preserve">GET /admin/moderation/users/:id/history : historique de modération par utilisateur</t>
  </si>
  <si>
    <t xml:space="preserve">API-MODER-15</t>
  </si>
  <si>
    <t xml:space="preserve">Back-office comptes : liste et fiche utilisateur avec actions de sanction directes</t>
  </si>
  <si>
    <t xml:space="preserve">API-MODER-16</t>
  </si>
  <si>
    <t xml:space="preserve">Back-office : validation et archivage des groupes locaux</t>
  </si>
  <si>
    <t xml:space="preserve">API-MODER-17</t>
  </si>
  <si>
    <t xml:space="preserve">Représentation des contenus masqués dans les fils (K-07)</t>
  </si>
  <si>
    <t xml:space="preserve">API-MODER-18</t>
  </si>
  <si>
    <t xml:space="preserve">GET /moderation/me : sanction active, motif public et charte (A-09, A-10)</t>
  </si>
  <si>
    <t xml:space="preserve">API-MODER-19</t>
  </si>
  <si>
    <t xml:space="preserve">Modèle et API de contestation d'une sanction (appel)</t>
  </si>
  <si>
    <t xml:space="preserve">API-MODER-18, API-MODER-12</t>
  </si>
  <si>
    <t xml:space="preserve">API-MODER-20</t>
  </si>
  <si>
    <t xml:space="preserve">Notifications utilisateur pour avertissement, suspension, bannissement et contestation</t>
  </si>
  <si>
    <t xml:space="preserve">API-MODER-21</t>
  </si>
  <si>
    <t xml:space="preserve">SLA de traitement : échéances, alertes et escalade</t>
  </si>
  <si>
    <t xml:space="preserve">API-MODER-22</t>
  </si>
  <si>
    <t xml:space="preserve">GET /admin/audit-logs : journal d'audit consultable (super-admin)</t>
  </si>
  <si>
    <t xml:space="preserve">API-MODER-23</t>
  </si>
  <si>
    <t xml:space="preserve">RBAC et durcissement des endpoints back-office de modération</t>
  </si>
  <si>
    <t xml:space="preserve">API-MODER-24</t>
  </si>
  <si>
    <t xml:space="preserve">Recherche globale (Ctrl+K) : utilisateurs, groupes et signalements</t>
  </si>
  <si>
    <t xml:space="preserve">API-MODER-25</t>
  </si>
  <si>
    <t xml:space="preserve">Modération a posteriori des wallpapers IA et filtrage des prompts</t>
  </si>
  <si>
    <t xml:space="preserve">API-MODER-06, API-MODER-12</t>
  </si>
  <si>
    <t xml:space="preserve">API-MODER-26</t>
  </si>
  <si>
    <t xml:space="preserve">Configuration de la modération (termes, seuils, SLA) par le super-admin</t>
  </si>
  <si>
    <t xml:space="preserve">API-MODER-06, API-MODER-21, API-MODER-23</t>
  </si>
  <si>
    <t xml:space="preserve">API-MODER-27</t>
  </si>
  <si>
    <t xml:space="preserve">Métriques Prometheus et indicateurs du tableau de bord modération</t>
  </si>
  <si>
    <t xml:space="preserve">API-MODER-12, API-MODER-21</t>
  </si>
  <si>
    <t xml:space="preserve">API-MODER-28</t>
  </si>
  <si>
    <t xml:space="preserve">Rétention RGPD des données de modération</t>
  </si>
  <si>
    <t xml:space="preserve">API-MODER-02, API-MODER-03</t>
  </si>
  <si>
    <t xml:space="preserve">API-MODER-29</t>
  </si>
  <si>
    <t xml:space="preserve">Index, pagination et performances des collections de modération</t>
  </si>
  <si>
    <t xml:space="preserve">API-MODER-09, API-MODER-14</t>
  </si>
  <si>
    <t xml:space="preserve">API-MODER-30</t>
  </si>
  <si>
    <t xml:space="preserve">Tests d'intégration et e2e du parcours de modération</t>
  </si>
  <si>
    <t xml:space="preserve">API-MODER-12, API-MODER-19, API-MODER-20, API-MODER-22</t>
  </si>
  <si>
    <t xml:space="preserve">API-MODER-31</t>
  </si>
  <si>
    <t xml:space="preserve">Tests de sécurité : XSS, IDOR, fuite d'identité, élévation de privilèges</t>
  </si>
  <si>
    <t xml:space="preserve">API-MODER-23, API-MODER-17</t>
  </si>
  <si>
    <t xml:space="preserve">API-MODER-32</t>
  </si>
  <si>
    <t xml:space="preserve">Documentation OpenAPI, charte et guide du modérateur</t>
  </si>
  <si>
    <t xml:space="preserve">API-MODER-12, API-MODER-19</t>
  </si>
  <si>
    <t xml:space="preserve">API-GOAT-01</t>
  </si>
  <si>
    <t xml:space="preserve">Modèles GoatVote et GoatDuel (clé de paire, unicité du vote par duel)</t>
  </si>
  <si>
    <t xml:space="preserve">API-GOAT-02</t>
  </si>
  <si>
    <t xml:space="preserve">Catalogue des critères de vote (global + critères optionnels)</t>
  </si>
  <si>
    <t xml:space="preserve">API-GOAT-03</t>
  </si>
  <si>
    <t xml:space="preserve">Calcul des statistiques croisées (totaux, buts par match, longévité)</t>
  </si>
  <si>
    <t xml:space="preserve">API-GOAT-04</t>
  </si>
  <si>
    <t xml:space="preserve">GET /goat/players : sélecteur de joueur (Tous, Légendes, Effectif actuel, recherche)</t>
  </si>
  <si>
    <t xml:space="preserve">API-GOAT-05</t>
  </si>
  <si>
    <t xml:space="preserve">GET /goat/duels/popular : duels populaires</t>
  </si>
  <si>
    <t xml:space="preserve">API-GOAT-06</t>
  </si>
  <si>
    <t xml:space="preserve">GET /players/compare?a=:id&amp;b=:id : statistiques croisées de deux joueurs</t>
  </si>
  <si>
    <t xml:space="preserve">API-GOAT-03, API-GOAT-01</t>
  </si>
  <si>
    <t xml:space="preserve">API-GOAT-07</t>
  </si>
  <si>
    <t xml:space="preserve">Profil de jeu (radar) et évolution des buts par saison</t>
  </si>
  <si>
    <t xml:space="preserve">API-GOAT-08</t>
  </si>
  <si>
    <t xml:space="preserve">POST /players/:id/vote-goat : voter pour un joueur dans un duel</t>
  </si>
  <si>
    <t xml:space="preserve">API-GOAT-01, API-GOAT-09, API-GOAT-12</t>
  </si>
  <si>
    <t xml:space="preserve">API-GOAT-09</t>
  </si>
  <si>
    <t xml:space="preserve">Règle « un changement de vote par semaine » (fenêtre glissante de 7 jours)</t>
  </si>
  <si>
    <t xml:space="preserve">API-GOAT-10</t>
  </si>
  <si>
    <t xml:space="preserve">GET /players/compare/votes : résultat de la communauté et mon vote</t>
  </si>
  <si>
    <t xml:space="preserve">API-GOAT-11</t>
  </si>
  <si>
    <t xml:space="preserve">Agrégats de votes : compteurs atomiques, Redis et réconciliation</t>
  </si>
  <si>
    <t xml:space="preserve">API-GOAT-12</t>
  </si>
  <si>
    <t xml:space="preserve">Anti-abus des votes : éligibilité, limites, bots, empreintes éphémères</t>
  </si>
  <si>
    <t xml:space="preserve">API-GOAT-13</t>
  </si>
  <si>
    <t xml:space="preserve">Détection d'anomalies de vote (pics, concentration, comptes liés)</t>
  </si>
  <si>
    <t xml:space="preserve">API-GOAT-12, API-GOAT-11</t>
  </si>
  <si>
    <t xml:space="preserve">API-GOAT-14</t>
  </si>
  <si>
    <t xml:space="preserve">Cache Redis du comparateur (1 h par paire) et index MongoDB</t>
  </si>
  <si>
    <t xml:space="preserve">API-GOAT-06, API-GOAT-08</t>
  </si>
  <si>
    <t xml:space="preserve">API-GOAT-15</t>
  </si>
  <si>
    <t xml:space="preserve">Back-office : tableau de bord GOAT (suivi des votes)</t>
  </si>
  <si>
    <t xml:space="preserve">API-GOAT-16</t>
  </si>
  <si>
    <t xml:space="preserve">Back-office : actions sur anomalies et duels (invalider, masquer, mettre en avant)</t>
  </si>
  <si>
    <t xml:space="preserve">API-GOAT-15, API-GOAT-13</t>
  </si>
  <si>
    <t xml:space="preserve">API-GOAT-17</t>
  </si>
  <si>
    <t xml:space="preserve">RGPD : votes GOAT dans l'export, suppression de compte et anonymat des agrégats</t>
  </si>
  <si>
    <t xml:space="preserve">API-GOAT-18</t>
  </si>
  <si>
    <t xml:space="preserve">Libellés et messages d'erreur localisés fr/en/es du comparateur GOAT</t>
  </si>
  <si>
    <t xml:space="preserve">API-GOAT-19</t>
  </si>
  <si>
    <t xml:space="preserve">Tests unitaires et d'intégration du module GOAT</t>
  </si>
  <si>
    <t xml:space="preserve">API-GOAT-06, API-GOAT-08, API-GOAT-05, API-GOAT-04, API-GOAT-10, API-GOAT-07</t>
  </si>
  <si>
    <t xml:space="preserve">API-GOAT-20</t>
  </si>
  <si>
    <t xml:space="preserve">Tests de sécurité du comparateur GOAT (abus, rôles, confidentialité)</t>
  </si>
  <si>
    <t xml:space="preserve">API-GOAT-12, API-GOAT-16</t>
  </si>
  <si>
    <t xml:space="preserve">API-GOAT-21</t>
  </si>
  <si>
    <t xml:space="preserve">Test de charge k6 du comparateur et des votes (duel viral)</t>
  </si>
  <si>
    <t xml:space="preserve">API-GOAT-14, API-GOAT-19</t>
  </si>
  <si>
    <t xml:space="preserve">API-GOAT-22</t>
  </si>
  <si>
    <t xml:space="preserve">Seed de démo, documentation Swagger/Markdown et métriques du module GOAT</t>
  </si>
  <si>
    <t xml:space="preserve">API-GOAT-23</t>
  </si>
  <si>
    <t xml:space="preserve">Votes par critères : POST du vote par critère et résultats par critère</t>
  </si>
  <si>
    <t xml:space="preserve">API-GOAT-08, API-GOAT-02</t>
  </si>
  <si>
    <t xml:space="preserve">API-GOAT-24</t>
  </si>
  <si>
    <t xml:space="preserve">GET /goat/votes/mine : mes votes et délais de modification</t>
  </si>
  <si>
    <t xml:space="preserve">API-GOAT-09, API-GOAT-08</t>
  </si>
  <si>
    <t xml:space="preserve">API-GOAT-25</t>
  </si>
  <si>
    <t xml:space="preserve">Validation Joi et contrat d'erreurs du module GOAT</t>
  </si>
  <si>
    <t xml:space="preserve">API-GOAT-26</t>
  </si>
  <si>
    <t xml:space="preserve">Évènements de vote et statistiques horaires (GoatHourlyStat)</t>
  </si>
  <si>
    <t xml:space="preserve">API-FANT-01</t>
  </si>
  <si>
    <t xml:space="preserve">Modèle Gameweek, génération des journées et endpoints de lecture</t>
  </si>
  <si>
    <t xml:space="preserve">API-FANT-02</t>
  </si>
  <si>
    <t xml:space="preserve">Durcir les modèles FantasyTeam et FantasyGameweekScore</t>
  </si>
  <si>
    <t xml:space="preserve">API-FANT-03</t>
  </si>
  <si>
    <t xml:space="preserve">Service des formations et règles de validation d'une composition</t>
  </si>
  <si>
    <t xml:space="preserve">API-FANT-04</t>
  </si>
  <si>
    <t xml:space="preserve">Endpoint des joueurs sélectionnables avec forme et points</t>
  </si>
  <si>
    <t xml:space="preserve">API-FANT-05</t>
  </si>
  <si>
    <t xml:space="preserve">GET /fantasy/team : consultation de l'équipe d'une journée</t>
  </si>
  <si>
    <t xml:space="preserve">API-FANT-02, API-FANT-01</t>
  </si>
  <si>
    <t xml:space="preserve">API-FANT-06</t>
  </si>
  <si>
    <t xml:space="preserve">PUT /fantasy/team : création/mise à jour du XI (409 verrouillé, 422 invalide)</t>
  </si>
  <si>
    <t xml:space="preserve">API-FANT-03, API-FANT-05, API-FANT-07</t>
  </si>
  <si>
    <t xml:space="preserve">API-FANT-07</t>
  </si>
  <si>
    <t xml:space="preserve">Verrouillage des compositions au coup d'envoi (garde serveur et job différé)</t>
  </si>
  <si>
    <t xml:space="preserve">API-FANT-08</t>
  </si>
  <si>
    <t xml:space="preserve">Barème ScoringRule versionné : modèle, seed CDC et endpoints</t>
  </si>
  <si>
    <t xml:space="preserve">API-FANT-09</t>
  </si>
  <si>
    <t xml:space="preserve">Événements de match enrichis et statistiques par joueur et par match</t>
  </si>
  <si>
    <t xml:space="preserve">API-FANT-10</t>
  </si>
  <si>
    <t xml:space="preserve">Moteur de scoring partagé : calcul des points d'un joueur depuis les statistiques</t>
  </si>
  <si>
    <t xml:space="preserve">API-FANT-08, API-FANT-09</t>
  </si>
  <si>
    <t xml:space="preserve">API-FANT-11</t>
  </si>
  <si>
    <t xml:space="preserve">Job BullMQ compute-fantasy-scores (provisoire en direct et final)</t>
  </si>
  <si>
    <t xml:space="preserve">API-FANT-10, API-FANT-07</t>
  </si>
  <si>
    <t xml:space="preserve">API-FANT-12</t>
  </si>
  <si>
    <t xml:space="preserve">Idempotence, correction de statistiques et reprise des calculs Fantasy</t>
  </si>
  <si>
    <t xml:space="preserve">API-FANT-13</t>
  </si>
  <si>
    <t xml:space="preserve">Points d'une journée et détail par joueur</t>
  </si>
  <si>
    <t xml:space="preserve">API-FANT-11, API-FANT-05</t>
  </si>
  <si>
    <t xml:space="preserve">API-FANT-14</t>
  </si>
  <si>
    <t xml:space="preserve">Classements matérialisés : FantasyStanding et sorted sets Redis</t>
  </si>
  <si>
    <t xml:space="preserve">API-FANT-15</t>
  </si>
  <si>
    <t xml:space="preserve">GET /fantasy/leaderboard : amis, mondial, journée et ligue</t>
  </si>
  <si>
    <t xml:space="preserve">API-FANT-16</t>
  </si>
  <si>
    <t xml:space="preserve">Modèle FantasyLeague : ligues privées et publiques, codes d'invitation</t>
  </si>
  <si>
    <t xml:space="preserve">API-FANT-17</t>
  </si>
  <si>
    <t xml:space="preserve">Créer une ligue et rejoindre avec un code (POST /fantasy/leagues, /join)</t>
  </si>
  <si>
    <t xml:space="preserve">API-FANT-18</t>
  </si>
  <si>
    <t xml:space="preserve">Gestion des ligues, ligues publiques et lien d'invitation</t>
  </si>
  <si>
    <t xml:space="preserve">API-FANT-19</t>
  </si>
  <si>
    <t xml:space="preserve">GET /fantasy/summary : agrégat de l'accueil Fantasy et de la carte dashboard</t>
  </si>
  <si>
    <t xml:space="preserve">API-FANT-15, API-FANT-05</t>
  </si>
  <si>
    <t xml:space="preserve">API-FANT-20</t>
  </si>
  <si>
    <t xml:space="preserve">Activation des modules Fantasy et Academy (403 MODULE_DISABLED) et « Me prévenir »</t>
  </si>
  <si>
    <t xml:space="preserve">API-FANT-21</t>
  </si>
  <si>
    <t xml:space="preserve">Sécurité et anti-triche Fantasy (horloge, accès, abus)</t>
  </si>
  <si>
    <t xml:space="preserve">API-FANT-06, API-FANT-15, API-FANT-17</t>
  </si>
  <si>
    <t xml:space="preserve">API-FANT-22</t>
  </si>
  <si>
    <t xml:space="preserve">RGPD Fantasy et Academy : export, suppression, anonymisation</t>
  </si>
  <si>
    <t xml:space="preserve">API-FANT-14, API-FANT-16</t>
  </si>
  <si>
    <t xml:space="preserve">API-FANT-23</t>
  </si>
  <si>
    <t xml:space="preserve">Index MongoDB, cache Redis et objectifs de performance Fantasy</t>
  </si>
  <si>
    <t xml:space="preserve">API-FANT-15, API-FANT-06</t>
  </si>
  <si>
    <t xml:space="preserve">API-FANT-24</t>
  </si>
  <si>
    <t xml:space="preserve">Suite de tests d'intégration et e2e Fantasy</t>
  </si>
  <si>
    <t xml:space="preserve">API-FANT-06, API-FANT-11, API-FANT-15, API-FANT-17</t>
  </si>
  <si>
    <t xml:space="preserve">API-PASS-01</t>
  </si>
  <si>
    <t xml:space="preserve">Durcir UserProgress : compteurs, niveaux, jour d'activité et indexation</t>
  </si>
  <si>
    <t xml:space="preserve">API-PASS-02</t>
  </si>
  <si>
    <t xml:space="preserve">Journal d'activité UserActivity (source de vérité des points et de l'historique)</t>
  </si>
  <si>
    <t xml:space="preserve">API-PASS-03</t>
  </si>
  <si>
    <t xml:space="preserve">Service recordActivity : point d'entrée unique d'attribution de points</t>
  </si>
  <si>
    <t xml:space="preserve">API-PASS-02, API-PASS-04</t>
  </si>
  <si>
    <t xml:space="preserve">API-PASS-04</t>
  </si>
  <si>
    <t xml:space="preserve">Table passport_point_rules : barème de points transverse (configurable)</t>
  </si>
  <si>
    <t xml:space="preserve">API-PASS-05</t>
  </si>
  <si>
    <t xml:space="preserve">XP et niveaux Passport (proposition à confirmer) distincts du niveau de quiz</t>
  </si>
  <si>
    <t xml:space="preserve">API-PASS-06</t>
  </si>
  <si>
    <t xml:space="preserve">Série d'activité : règles, fuseau, rupture et état « en péril »</t>
  </si>
  <si>
    <t xml:space="preserve">API-PASS-01, API-PASS-02</t>
  </si>
  <si>
    <t xml:space="preserve">API-PASS-07</t>
  </si>
  <si>
    <t xml:space="preserve">Modèle Badge enrichi : catégories, conditions déclaratives et paliers</t>
  </si>
  <si>
    <t xml:space="preserve">API-PASS-08</t>
  </si>
  <si>
    <t xml:space="preserve">Seed du catalogue de 24 badges (12 vus sur les maquettes, 12 à confirmer)</t>
  </si>
  <si>
    <t xml:space="preserve">API-PASS-09</t>
  </si>
  <si>
    <t xml:space="preserve">Moteur d'attribution des badges (événementiel, idempotent)</t>
  </si>
  <si>
    <t xml:space="preserve">API-PASS-07, API-PASS-10</t>
  </si>
  <si>
    <t xml:space="preserve">API-PASS-10</t>
  </si>
  <si>
    <t xml:space="preserve">Collection UserBadge : déblocages, progression et état « vu »</t>
  </si>
  <si>
    <t xml:space="preserve">API-PASS-11</t>
  </si>
  <si>
    <t xml:space="preserve">GET /users/me/progress : vue d'ensemble du Passport</t>
  </si>
  <si>
    <t xml:space="preserve">API-PASS-05, API-PASS-06, API-PASS-09</t>
  </si>
  <si>
    <t xml:space="preserve">API-PASS-12</t>
  </si>
  <si>
    <t xml:space="preserve">GET /badges : catalogue public localisé</t>
  </si>
  <si>
    <t xml:space="preserve">API-PASS-13</t>
  </si>
  <si>
    <t xml:space="preserve">GET /users/me/badges et /:code : états, progression et prochain palier</t>
  </si>
  <si>
    <t xml:space="preserve">API-PASS-09, API-PASS-12</t>
  </si>
  <si>
    <t xml:space="preserve">API-PASS-14</t>
  </si>
  <si>
    <t xml:space="preserve">Déblocages non vus : meta.newBadges, /unseen et /seen (modale « Nouveau badge ! »)</t>
  </si>
  <si>
    <t xml:space="preserve">API-PASS-15</t>
  </si>
  <si>
    <t xml:space="preserve">GET /users/me/stats : statistiques détaillées (Global, Quiz, Guess)</t>
  </si>
  <si>
    <t xml:space="preserve">API-PASS-16</t>
  </si>
  <si>
    <t xml:space="preserve">Agrégats hebdomadaires UserStatsWeekly maintenus par recordActivity</t>
  </si>
  <si>
    <t xml:space="preserve">API-PASS-17</t>
  </si>
  <si>
    <t xml:space="preserve">GET /users/me/activity/calendar : série et calendrier d'activité (P-10)</t>
  </si>
  <si>
    <t xml:space="preserve">API-PASS-18</t>
  </si>
  <si>
    <t xml:space="preserve">GET /users/me/activity : historique d'activité paginé</t>
  </si>
  <si>
    <t xml:space="preserve">API-PASS-19</t>
  </si>
  <si>
    <t xml:space="preserve">Charte des pseudos : filtrage, unicité insensible à la casse, disponibilité</t>
  </si>
  <si>
    <t xml:space="preserve">API-PASS-20</t>
  </si>
  <si>
    <t xml:space="preserve">Modification du profil Passport (P-07) : PATCH /users/me</t>
  </si>
  <si>
    <t xml:space="preserve">API-PASS-19, API-PASS-21</t>
  </si>
  <si>
    <t xml:space="preserve">API-PASS-21</t>
  </si>
  <si>
    <t xml:space="preserve">Catalogue d'avatars illustrés (Joueurs, Initiales, Couleurs)</t>
  </si>
  <si>
    <t xml:space="preserve">API-PASS-22</t>
  </si>
  <si>
    <t xml:space="preserve">Profil public d'un autre culé avec statistiques publiques</t>
  </si>
  <si>
    <t xml:space="preserve">API-PASS-23</t>
  </si>
  <si>
    <t xml:space="preserve">Partage du Passport et d'un badge (jeton public sans donnée personnelle)</t>
  </si>
  <si>
    <t xml:space="preserve">API-PASS-24</t>
  </si>
  <si>
    <t xml:space="preserve">Anti-fraude des points et des badges (plafonds, rafales, signaux)</t>
  </si>
  <si>
    <t xml:space="preserve">API-PASS-25</t>
  </si>
  <si>
    <t xml:space="preserve">Ajustements administratifs : points, révocation de badge, recalcul</t>
  </si>
  <si>
    <t xml:space="preserve">API-PASS-03, API-PASS-24</t>
  </si>
  <si>
    <t xml:space="preserve">API-PASS-26</t>
  </si>
  <si>
    <t xml:space="preserve">Job nocturne de réconciliation : totaux, séries et badges</t>
  </si>
  <si>
    <t xml:space="preserve">API-PASS-03, API-PASS-09</t>
  </si>
  <si>
    <t xml:space="preserve">API-PASS-27</t>
  </si>
  <si>
    <t xml:space="preserve">Stratégie de cache Redis et HTTP du Passport</t>
  </si>
  <si>
    <t xml:space="preserve">API-PASS-28</t>
  </si>
  <si>
    <t xml:space="preserve">Catalogue des événements d'activité émis par les modules (contrat inter-modules)</t>
  </si>
  <si>
    <t xml:space="preserve">API-PASS-03, API-PASS-08</t>
  </si>
  <si>
    <t xml:space="preserve">API-PASS-29</t>
  </si>
  <si>
    <t xml:space="preserve">RGPD du Passport : export, suppression, minimisation et visibilité</t>
  </si>
  <si>
    <t xml:space="preserve">API-PASS-02, API-PASS-23</t>
  </si>
  <si>
    <t xml:space="preserve">API-PASS-30</t>
  </si>
  <si>
    <t xml:space="preserve">Index MongoDB et budgets de performance du Passport</t>
  </si>
  <si>
    <t xml:space="preserve">API-PASS-02, API-PASS-10</t>
  </si>
  <si>
    <t xml:space="preserve">API-PASS-31</t>
  </si>
  <si>
    <t xml:space="preserve">Tests unitaires du moteur de points, de la série, des niveaux et des badges</t>
  </si>
  <si>
    <t xml:space="preserve">API-PASS-09, API-PASS-06, API-PASS-05</t>
  </si>
  <si>
    <t xml:space="preserve">API-PASS-32</t>
  </si>
  <si>
    <t xml:space="preserve">Tests d'intégration et e2e du Passport</t>
  </si>
  <si>
    <t xml:space="preserve">API-PASS-11, API-PASS-13, API-PASS-14, API-PASS-15, API-PASS-17, API-PASS-20, API-PASS-21, API-PASS-22</t>
  </si>
  <si>
    <t xml:space="preserve">API-PASS-33</t>
  </si>
  <si>
    <t xml:space="preserve">Documentation OpenAPI du Passport et de la gamification</t>
  </si>
  <si>
    <t xml:space="preserve">API-PLAT-20</t>
  </si>
  <si>
    <t xml:space="preserve">Exports CSV/Excel asynchrones et rapport hebdomadaire e-mail (WI-09)</t>
  </si>
  <si>
    <t xml:space="preserve">API-PLAT-29</t>
  </si>
  <si>
    <t xml:space="preserve">Scans DAST/SAST récurrents et plan de pen-test (OWASP API Top 10)</t>
  </si>
  <si>
    <t xml:space="preserve">API-FANT-25</t>
  </si>
  <si>
    <t xml:space="preserve">Durcir le modèle AcademyPlayer (un joueur par utilisateur, bilans, jalons)</t>
  </si>
  <si>
    <t xml:space="preserve">API-FANT-26</t>
  </si>
  <si>
    <t xml:space="preserve">Configuration des règles d'impact des décisions et note globale (paramétrable)</t>
  </si>
  <si>
    <t xml:space="preserve">API-FANT-27</t>
  </si>
  <si>
    <t xml:space="preserve">POST /academy/player : création du joueur virtuel (12 points bonus)</t>
  </si>
  <si>
    <t xml:space="preserve">API-FANT-25, API-FANT-26</t>
  </si>
  <si>
    <t xml:space="preserve">API-FANT-28</t>
  </si>
  <si>
    <t xml:space="preserve">GET /academy/player : état du joueur, semaine en cours et alertes</t>
  </si>
  <si>
    <t xml:space="preserve">API-FANT-29</t>
  </si>
  <si>
    <t xml:space="preserve">POST /academy/player/decision : décision hebdomadaire et prévisualisation des effets</t>
  </si>
  <si>
    <t xml:space="preserve">API-FANT-30</t>
  </si>
  <si>
    <t xml:space="preserve">Moteur ComputeAcademyProgression : application d'une semaine, bilan et promotions</t>
  </si>
  <si>
    <t xml:space="preserve">API-FANT-31</t>
  </si>
  <si>
    <t xml:space="preserve">Job hebdomadaire academy-weekly-tick (application des décisions, idempotent)</t>
  </si>
  <si>
    <t xml:space="preserve">API-FANT-30, API-FANT-29</t>
  </si>
  <si>
    <t xml:space="preserve">API-FANT-32</t>
  </si>
  <si>
    <t xml:space="preserve">Endpoints de bilan, historique des décisions, progression et jalons</t>
  </si>
  <si>
    <t xml:space="preserve">API-FANT-33</t>
  </si>
  <si>
    <t xml:space="preserve">Alimentation du Passport par Fantasy et La Masia (événements d'activité)</t>
  </si>
  <si>
    <t xml:space="preserve">API-FANT-11, API-FANT-30</t>
  </si>
  <si>
    <t xml:space="preserve">API-FANT-34</t>
  </si>
  <si>
    <t xml:space="preserve">Tests unitaires et d'intégration La Masia Academy</t>
  </si>
  <si>
    <t xml:space="preserve">API-FANT-32, API-FANT-31</t>
  </si>
  <si>
    <t xml:space="preserve">API-WALL-01</t>
  </si>
  <si>
    <t xml:space="preserve">Durcir le modèle GeneratedWallpaper (statuts, prompt structuré, stockage, modération)</t>
  </si>
  <si>
    <t xml:space="preserve">API-WALL-02</t>
  </si>
  <si>
    <t xml:space="preserve">Catalogue de styles, occasions et modèles de prompts (WallpaperStyle, PromptTemplate)</t>
  </si>
  <si>
    <t xml:space="preserve">API-WALL-03</t>
  </si>
  <si>
    <t xml:space="preserve">GET /wallpapers/options : joueurs, styles et occasions du formulaire</t>
  </si>
  <si>
    <t xml:space="preserve">API-WALL-04</t>
  </si>
  <si>
    <t xml:space="preserve">Construction du prompt final à partir des choix guidés</t>
  </si>
  <si>
    <t xml:space="preserve">API-WALL-05</t>
  </si>
  <si>
    <t xml:space="preserve">Droits d'image : aucun logo, écusson ni marque du club dans les prompts et les images</t>
  </si>
  <si>
    <t xml:space="preserve">API-WALL-06</t>
  </si>
  <si>
    <t xml:space="preserve">Modération du prompt avant génération (filtrage de contenu inapproprié)</t>
  </si>
  <si>
    <t xml:space="preserve">API-WALL-07</t>
  </si>
  <si>
    <t xml:space="preserve">POST /wallpapers/check : pré-vérification sans quota ni job (aperçu du prompt)</t>
  </si>
  <si>
    <t xml:space="preserve">API-WALL-06, API-WALL-04</t>
  </si>
  <si>
    <t xml:space="preserve">API-WALL-08</t>
  </si>
  <si>
    <t xml:space="preserve">Quota quotidien de générations et endpoint GET /wallpapers/quota</t>
  </si>
  <si>
    <t xml:space="preserve">API-WALL-09</t>
  </si>
  <si>
    <t xml:space="preserve">POST /wallpapers : demande de génération (202, idempotente)</t>
  </si>
  <si>
    <t xml:space="preserve">API-WALL-07, API-WALL-08</t>
  </si>
  <si>
    <t xml:space="preserve">API-WALL-10</t>
  </si>
  <si>
    <t xml:space="preserve">Interface ImageGenerationProvider, adaptateur et fournisseur d'images simulé</t>
  </si>
  <si>
    <t xml:space="preserve">API-WALL-11</t>
  </si>
  <si>
    <t xml:space="preserve">Worker BullMQ ai-generation : traitement des jobs generate-wallpaper</t>
  </si>
  <si>
    <t xml:space="preserve">API-WALL-10, API-WALL-09, API-WALL-01</t>
  </si>
  <si>
    <t xml:space="preserve">API-WALL-12</t>
  </si>
  <si>
    <t xml:space="preserve">Stockage objet des images (S3 compatible) et clés d'objets</t>
  </si>
  <si>
    <t xml:space="preserve">API-WALL-13</t>
  </si>
  <si>
    <t xml:space="preserve">URL signées, expiration et contrôle d'accès aux images</t>
  </si>
  <si>
    <t xml:space="preserve">API-WALL-12, API-WALL-01</t>
  </si>
  <si>
    <t xml:space="preserve">API-WALL-14</t>
  </si>
  <si>
    <t xml:space="preserve">Traitement d'image : conversion, redimensionnement et miniatures</t>
  </si>
  <si>
    <t xml:space="preserve">API-WALL-15</t>
  </si>
  <si>
    <t xml:space="preserve">Modération de l'image en sortie avant mise à disposition</t>
  </si>
  <si>
    <t xml:space="preserve">API-WALL-11, API-WALL-12</t>
  </si>
  <si>
    <t xml:space="preserve">API-WALL-16</t>
  </si>
  <si>
    <t xml:space="preserve">GET /wallpapers/:id : statut, progression et résultat</t>
  </si>
  <si>
    <t xml:space="preserve">API-WALL-11, API-WALL-13</t>
  </si>
  <si>
    <t xml:space="preserve">API-WALL-17</t>
  </si>
  <si>
    <t xml:space="preserve">Échecs de génération : classification, remboursement et réessai (écran M-13)</t>
  </si>
  <si>
    <t xml:space="preserve">API-WALL-11, API-WALL-08</t>
  </si>
  <si>
    <t xml:space="preserve">API-WALL-18</t>
  </si>
  <si>
    <t xml:space="preserve">GET /wallpapers : galerie personnelle paginée (tous / favoris)</t>
  </si>
  <si>
    <t xml:space="preserve">API-WALL-19</t>
  </si>
  <si>
    <t xml:space="preserve">Détail, favori et suppression d'un wallpaper (PATCH/DELETE /wallpapers/:id)</t>
  </si>
  <si>
    <t xml:space="preserve">API-WALL-20</t>
  </si>
  <si>
    <t xml:space="preserve">Téléchargement de l'image pour enregistrement ou application (écrans M-05, M-06, M-07)</t>
  </si>
  <si>
    <t xml:space="preserve">API-WALL-14, API-WALL-13</t>
  </si>
  <si>
    <t xml:space="preserve">API-WALL-21</t>
  </si>
  <si>
    <t xml:space="preserve">Notification push « wallpaper prêt » (Prévenez-moi quand c'est prêt)</t>
  </si>
  <si>
    <t xml:space="preserve">API-WALL-11, API-WALL-19</t>
  </si>
  <si>
    <t xml:space="preserve">API-WALL-22</t>
  </si>
  <si>
    <t xml:space="preserve">Kill switch du module wallpapers (module désactivé, écran M-14)</t>
  </si>
  <si>
    <t xml:space="preserve">API-WALL-23</t>
  </si>
  <si>
    <t xml:space="preserve">Rate limiting des routes wallpapers (en plus du quota quotidien)</t>
  </si>
  <si>
    <t xml:space="preserve">API-WALL-16, API-WALL-09</t>
  </si>
  <si>
    <t xml:space="preserve">API-WALL-24</t>
  </si>
  <si>
    <t xml:space="preserve">Signalement d'un wallpaper par l'utilisateur</t>
  </si>
  <si>
    <t xml:space="preserve">API-WALL-13, API-WALL-15</t>
  </si>
  <si>
    <t xml:space="preserve">API-WALL-25</t>
  </si>
  <si>
    <t xml:space="preserve">API back-office : bibliothèque de modération des wallpapers (contrôle a posteriori)</t>
  </si>
  <si>
    <t xml:space="preserve">API-WALL-26</t>
  </si>
  <si>
    <t xml:space="preserve">Journalisation et coûts des générations d'images (budget WH-04, WI-06)</t>
  </si>
  <si>
    <t xml:space="preserve">API-WALL-27</t>
  </si>
  <si>
    <t xml:space="preserve">Job de purge : suppressions différées, images rejetées et orphelins</t>
  </si>
  <si>
    <t xml:space="preserve">API-WALL-12, API-WALL-19</t>
  </si>
  <si>
    <t xml:space="preserve">API-WALL-28</t>
  </si>
  <si>
    <t xml:space="preserve">RGPD : export et suppression des wallpapers à la clôture de compte</t>
  </si>
  <si>
    <t xml:space="preserve">API-WALL-29</t>
  </si>
  <si>
    <t xml:space="preserve">Performance : cache HTTP, CDN et lecture de la galerie</t>
  </si>
  <si>
    <t xml:space="preserve">API-WALL-18, API-WALL-12</t>
  </si>
  <si>
    <t xml:space="preserve">API-WALL-30</t>
  </si>
  <si>
    <t xml:space="preserve">Tests d'intégration et de contrat de l'API wallpapers</t>
  </si>
  <si>
    <t xml:space="preserve">API-WALL-16, API-WALL-18, API-WALL-22, API-WALL-20</t>
  </si>
  <si>
    <t xml:space="preserve">API-WALL-31</t>
  </si>
  <si>
    <t xml:space="preserve">Documentation OpenAPI et guide d'intégration des wallpapers</t>
  </si>
  <si>
    <t xml:space="preserve">MOB-FND-01</t>
  </si>
  <si>
    <t xml:space="preserve">Trois flavors dev / staging / prod (points d'entrée, identifiants, icônes)</t>
  </si>
  <si>
    <t xml:space="preserve">MOB-FND-02</t>
  </si>
  <si>
    <t xml:space="preserve">AppConfig typé : environnement, URLs, clés de fonctionnalité</t>
  </si>
  <si>
    <t xml:space="preserve">MOB-FND-03</t>
  </si>
  <si>
    <t xml:space="preserve">Logger applicatif structuré avec masquage des données sensibles</t>
  </si>
  <si>
    <t xml:space="preserve">MOB-FND-04</t>
  </si>
  <si>
    <t xml:space="preserve">Gestion globale des erreurs non interceptées (zone, Flutter, plateforme, BLoC)</t>
  </si>
  <si>
    <t xml:space="preserve">MOB-FND-03, MOB-FND-02</t>
  </si>
  <si>
    <t xml:space="preserve">MOB-FND-05</t>
  </si>
  <si>
    <t xml:space="preserve">Hiérarchie d'exceptions métier et mapping vers Failure</t>
  </si>
  <si>
    <t xml:space="preserve">MOB-FND-06</t>
  </si>
  <si>
    <t xml:space="preserve">Stockage sécurisé des jetons (TokenStorage)</t>
  </si>
  <si>
    <t xml:space="preserve">MOB-FND-07</t>
  </si>
  <si>
    <t xml:space="preserve">AuthInterceptor : injection du Bearer et rejeu après refresh</t>
  </si>
  <si>
    <t xml:space="preserve">MOB-FND-06, MOB-FND-02</t>
  </si>
  <si>
    <t xml:space="preserve">MOB-FND-08</t>
  </si>
  <si>
    <t xml:space="preserve">LocaleInterceptor : en-tête Accept-Language</t>
  </si>
  <si>
    <t xml:space="preserve">MOB-FND-07, MOB-FND-24</t>
  </si>
  <si>
    <t xml:space="preserve">MOB-FND-09</t>
  </si>
  <si>
    <t xml:space="preserve">LoggingInterceptor + identifiant de corrélation (traceId)</t>
  </si>
  <si>
    <t xml:space="preserve">MOB-FND-08, MOB-FND-03</t>
  </si>
  <si>
    <t xml:space="preserve">MOB-FND-10</t>
  </si>
  <si>
    <t xml:space="preserve">RetryInterceptor : nouvelles tentatives avec backoff court</t>
  </si>
  <si>
    <t xml:space="preserve">MOB-FND-11</t>
  </si>
  <si>
    <t xml:space="preserve">ErrorMappingInterceptor : HTTP vers exceptions typées</t>
  </si>
  <si>
    <t xml:space="preserve">MOB-FND-10, MOB-FND-05</t>
  </si>
  <si>
    <t xml:space="preserve">MOB-FND-12</t>
  </si>
  <si>
    <t xml:space="preserve">Authenticator Chopper : refresh token à rotation sans course</t>
  </si>
  <si>
    <t xml:space="preserve">MOB-FND-06, MOB-FND-07, MOB-FND-11</t>
  </si>
  <si>
    <t xml:space="preserve">MOB-FND-13</t>
  </si>
  <si>
    <t xml:space="preserve">Convertisseur JSON de l'enveloppe API et des pages</t>
  </si>
  <si>
    <t xml:space="preserve">MOB-FND-14</t>
  </si>
  <si>
    <t xml:space="preserve">AuthBloc global : état de session et restauration au démarrage</t>
  </si>
  <si>
    <t xml:space="preserve">MOB-FND-12, MOB-FND-18</t>
  </si>
  <si>
    <t xml:space="preserve">MOB-FND-15</t>
  </si>
  <si>
    <t xml:space="preserve">go_router : gardes d'authentification et redirections</t>
  </si>
  <si>
    <t xml:space="preserve">MOB-FND-16</t>
  </si>
  <si>
    <t xml:space="preserve">ShellRoute à 5 onglets avec piles de navigation indépendantes</t>
  </si>
  <si>
    <t xml:space="preserve">ecran</t>
  </si>
  <si>
    <t xml:space="preserve">MOB-FND-17</t>
  </si>
  <si>
    <t xml:space="preserve">Deep links : liens universels, schémas, notifications et partage</t>
  </si>
  <si>
    <t xml:space="preserve">MOB-FND-15, MOB-FND-31</t>
  </si>
  <si>
    <t xml:space="preserve">MOB-FND-18</t>
  </si>
  <si>
    <t xml:space="preserve">Base Drift : AppDatabase et tables socle (cache, file d'actions, préférences)</t>
  </si>
  <si>
    <t xml:space="preserve">MOB-FND-19</t>
  </si>
  <si>
    <t xml:space="preserve">Migrations Drift versionnées et tests de schéma</t>
  </si>
  <si>
    <t xml:space="preserve">MOB-FND-20</t>
  </si>
  <si>
    <t xml:space="preserve">Politique de cache hors-ligne : cache-then-network, TTL et invalidation</t>
  </si>
  <si>
    <t xml:space="preserve">MOB-FND-18, MOB-FND-05</t>
  </si>
  <si>
    <t xml:space="preserve">MOB-FND-21</t>
  </si>
  <si>
    <t xml:space="preserve">ConnectivityCubit : statut réseau en continu</t>
  </si>
  <si>
    <t xml:space="preserve">MOB-FND-22</t>
  </si>
  <si>
    <t xml:space="preserve">File de synchronisation des actions hors-ligne (PendingActions)</t>
  </si>
  <si>
    <t xml:space="preserve">MOB-FND-18, MOB-FND-21, MOB-FND-10</t>
  </si>
  <si>
    <t xml:space="preserve">MOB-FND-23</t>
  </si>
  <si>
    <t xml:space="preserve">Socle i18n : conventions ARB, FR/EN/ES complets et contrôle CI des clés</t>
  </si>
  <si>
    <t xml:space="preserve">MOB-FND-24</t>
  </si>
  <si>
    <t xml:space="preserve">LocaleCubit : langue système, bascule manuelle persistée, synchronisation compte</t>
  </si>
  <si>
    <t xml:space="preserve">MOB-FND-18, MOB-FND-22</t>
  </si>
  <si>
    <t xml:space="preserve">MOB-FND-25</t>
  </si>
  <si>
    <t xml:space="preserve">ThemeCubit : système / clair / sombre persisté et synchronisé</t>
  </si>
  <si>
    <t xml:space="preserve">MOB-FND-26</t>
  </si>
  <si>
    <t xml:space="preserve">Gabarit des quatre états d'écran (chargement, contenu, vide, erreur)</t>
  </si>
  <si>
    <t xml:space="preserve">MOB-FND-27</t>
  </si>
  <si>
    <t xml:space="preserve">Séquence de démarrage (bootstrap) et splash vers accueil</t>
  </si>
  <si>
    <t xml:space="preserve">MOB-FND-02, MOB-FND-04, MOB-FND-14</t>
  </si>
  <si>
    <t xml:space="preserve">MOB-FND-28</t>
  </si>
  <si>
    <t xml:space="preserve">Cycle de vie : resynchronisation légère au retour au premier plan</t>
  </si>
  <si>
    <t xml:space="preserve">MOB-FND-20, MOB-FND-22</t>
  </si>
  <si>
    <t xml:space="preserve">MOB-FND-29</t>
  </si>
  <si>
    <t xml:space="preserve">Firebase Core : projets, options par flavor et fichiers de configuration</t>
  </si>
  <si>
    <t xml:space="preserve">MOB-FND-01, MOB-FND-02</t>
  </si>
  <si>
    <t xml:space="preserve">MOB-FND-30</t>
  </si>
  <si>
    <t xml:space="preserve">Crashlytics, Performance Monitoring et Analytics (avec consentement)</t>
  </si>
  <si>
    <t xml:space="preserve">MOB-FND-29, MOB-FND-04</t>
  </si>
  <si>
    <t xml:space="preserve">MOB-FND-31</t>
  </si>
  <si>
    <t xml:space="preserve">Firebase Messaging : jeton, topics, handlers foreground/background</t>
  </si>
  <si>
    <t xml:space="preserve">MOB-FND-29, MOB-FND-33, MOB-FND-17</t>
  </si>
  <si>
    <t xml:space="preserve">MOB-FND-32</t>
  </si>
  <si>
    <t xml:space="preserve">Notifications locales : canaux, icônes et affichage foreground</t>
  </si>
  <si>
    <t xml:space="preserve">MOB-FND-33</t>
  </si>
  <si>
    <t xml:space="preserve">Demande de permissions contextuelle avec écran de priming</t>
  </si>
  <si>
    <t xml:space="preserve">MOB-FND-34</t>
  </si>
  <si>
    <t xml:space="preserve">Télémétrie OpenTelemetry : spans HTTP et propagation de trace</t>
  </si>
  <si>
    <t xml:space="preserve">MOB-FND-09, MOB-FND-30</t>
  </si>
  <si>
    <t xml:space="preserve">MOB-FND-35</t>
  </si>
  <si>
    <t xml:space="preserve">Mise à jour forcée et recommandée de l'application</t>
  </si>
  <si>
    <t xml:space="preserve">MOB-FND-27, MOB-FND-15</t>
  </si>
  <si>
    <t xml:space="preserve">MOB-FND-36</t>
  </si>
  <si>
    <t xml:space="preserve">Socle d'accessibilité : texte dynamique, mouvement réduit, sémantique</t>
  </si>
  <si>
    <t xml:space="preserve">MOB-FND-37</t>
  </si>
  <si>
    <t xml:space="preserve">Budget de frames, démarrage et mesure du jank</t>
  </si>
  <si>
    <t xml:space="preserve">MOB-FND-27, MOB-FND-30</t>
  </si>
  <si>
    <t xml:space="preserve">MOB-FND-38</t>
  </si>
  <si>
    <t xml:space="preserve">Cache d'images distantes et placeholders</t>
  </si>
  <si>
    <t xml:space="preserve">MOB-FND-39</t>
  </si>
  <si>
    <t xml:space="preserve">Helpers de test : pumpApp, mocks, fakes et fixtures</t>
  </si>
  <si>
    <t xml:space="preserve">MOB-FND-40</t>
  </si>
  <si>
    <t xml:space="preserve">Infrastructure de golden tests (2 tailles × 2 thèmes × 3 langues)</t>
  </si>
  <si>
    <t xml:space="preserve">MOB-FND-41</t>
  </si>
  <si>
    <t xml:space="preserve">Tests d'intégration et E2E (integration_test + Patrol)</t>
  </si>
  <si>
    <t xml:space="preserve">MOB-FND-39, MOB-FND-16, MOB-FND-15</t>
  </si>
  <si>
    <t xml:space="preserve">MOB-FND-42</t>
  </si>
  <si>
    <t xml:space="preserve">CI : seuils de couverture par couche et contrôles qualité</t>
  </si>
  <si>
    <t xml:space="preserve">MOB-FND-39, MOB-FND-40</t>
  </si>
  <si>
    <t xml:space="preserve">MOB-FND-43</t>
  </si>
  <si>
    <t xml:space="preserve">CD : Fastlane (match/supply), signature et publication TestFlight / Play</t>
  </si>
  <si>
    <t xml:space="preserve">MOB-FND-01, MOB-FND-29</t>
  </si>
  <si>
    <t xml:space="preserve">MOB-FND-44</t>
  </si>
  <si>
    <t xml:space="preserve">Checklist de publication stores et conformité (App Privacy / Data safety)</t>
  </si>
  <si>
    <t xml:space="preserve">MOB-FND-45</t>
  </si>
  <si>
    <t xml:space="preserve">Durcissement sécurité : pinning optionnel, détection root, chiffrement base, capture d'écran</t>
  </si>
  <si>
    <t xml:space="preserve">MOB-FND-06, MOB-FND-19</t>
  </si>
  <si>
    <t xml:space="preserve">MOB-FND-46</t>
  </si>
  <si>
    <t xml:space="preserve">Règles de lint strictes : pas de valeur codée en dur, pas de texte en dur</t>
  </si>
  <si>
    <t xml:space="preserve">MOB-FND-47</t>
  </si>
  <si>
    <t xml:space="preserve">Documentation du socle et journal des décisions (ADR)</t>
  </si>
  <si>
    <t xml:space="preserve">MOB-ZA-01</t>
  </si>
  <si>
    <t xml:space="preserve">Tokens de couleur AppColors alignés sur le design system (clair/sombre)</t>
  </si>
  <si>
    <t xml:space="preserve">MOB-ZA-02</t>
  </si>
  <si>
    <t xml:space="preserve">Vérification automatisée des contrastes WCAG AA des couples texte/fond</t>
  </si>
  <si>
    <t xml:space="preserve">MOB-ZA-03</t>
  </si>
  <si>
    <t xml:space="preserve">Dégradé hero 135° grenat → marine et dégradés dérivés</t>
  </si>
  <si>
    <t xml:space="preserve">MOB-ZA-04</t>
  </si>
  <si>
    <t xml:space="preserve">Échelle typographique display/h1/h2/h3/bodyLarge/body/caption (ratio 1,25)</t>
  </si>
  <si>
    <t xml:space="preserve">MOB-ZA-05</t>
  </si>
  <si>
    <t xml:space="preserve">Polices embarquées Barlow Condensed et Inter (hors-ligne, sans requête réseau)</t>
  </si>
  <si>
    <t xml:space="preserve">MOB-ZA-06</t>
  </si>
  <si>
    <t xml:space="preserve">Échelle d'espacement AppSpacing (grille 4/8 px) conforme à la planche</t>
  </si>
  <si>
    <t xml:space="preserve">MOB-ZA-07</t>
  </si>
  <si>
    <t xml:space="preserve">Rayons (6/8/12/16/24/pilule) et élévations (ombres claires, bordures sombres)</t>
  </si>
  <si>
    <t xml:space="preserve">MOB-ZA-08</t>
  </si>
  <si>
    <t xml:space="preserve">ThemeExtension BarcaTheme et ThemeData complets clair/sombre</t>
  </si>
  <si>
    <t xml:space="preserve">MOB-ZA-01, MOB-ZA-04, MOB-ZA-06, MOB-ZA-07</t>
  </si>
  <si>
    <t xml:space="preserve">MOB-ZA-09</t>
  </si>
  <si>
    <t xml:space="preserve">Widgets BarcaLogo : emblème, wordmark, monochrome et tailles minimales</t>
  </si>
  <si>
    <t xml:space="preserve">MOB-ZA-10</t>
  </si>
  <si>
    <t xml:space="preserve">Icône d'application et bandeaux de flavor (prod, dev, staging)</t>
  </si>
  <si>
    <t xml:space="preserve">MOB-ZA-11</t>
  </si>
  <si>
    <t xml:space="preserve">Bibliothèque de 146 icônes originales (grille 24 px, trait 1,8 px)</t>
  </si>
  <si>
    <t xml:space="preserve">MOB-ZA-12</t>
  </si>
  <si>
    <t xml:space="preserve">Widget BarcaIcon : tailles, couleur, libellé sémantique</t>
  </si>
  <si>
    <t xml:space="preserve">MOB-ZA-13</t>
  </si>
  <si>
    <t xml:space="preserve">Widgetbook : catalogue des fondations (couleurs, typo, espacements, icônes, logo)</t>
  </si>
  <si>
    <t xml:space="preserve">MOB-ZA-14</t>
  </si>
  <si>
    <t xml:space="preserve">Golden tests des fondations (couleurs, typo, espacements, rayons, icônes, logo)</t>
  </si>
  <si>
    <t xml:space="preserve">MOB-ZA-08, MOB-ZA-11, MOB-ZA-09</t>
  </si>
  <si>
    <t xml:space="preserve">MOB-ZA-15</t>
  </si>
  <si>
    <t xml:space="preserve">Migration des widgets et écrans existants vers les nouveaux tokens</t>
  </si>
  <si>
    <t xml:space="preserve">MOB-ZA-08, MOB-ZA-06</t>
  </si>
  <si>
    <t xml:space="preserve">MOB-ZA-16</t>
  </si>
  <si>
    <t xml:space="preserve">Documentation des tokens et parité Flutter ↔ CSS admin</t>
  </si>
  <si>
    <t xml:space="preserve">MOB-ZB-01</t>
  </si>
  <si>
    <t xml:space="preserve">BarcaButton : 8 variantes, 5 hauteurs et 3 largeurs</t>
  </si>
  <si>
    <t xml:space="preserve">MOB-ZB-02</t>
  </si>
  <si>
    <t xml:space="preserve">BarcaButton : états repos, pressé, focus clavier, désactivé, chargement, succès</t>
  </si>
  <si>
    <t xml:space="preserve">MOB-ZB-03</t>
  </si>
  <si>
    <t xml:space="preserve">Boutons avec icône, icône seule, formes, connexion sociale et bouton IA flottant</t>
  </si>
  <si>
    <t xml:space="preserve">MOB-ZB-04</t>
  </si>
  <si>
    <t xml:space="preserve">BarcaTextField : tailles, libellé, aide et états</t>
  </si>
  <si>
    <t xml:space="preserve">MOB-ZB-05</t>
  </si>
  <si>
    <t xml:space="preserve">Types de champs : mot de passe, recherche, sélecteur, date/heure, code OTP, multiligne</t>
  </si>
  <si>
    <t xml:space="preserve">MOB-ZB-06</t>
  </si>
  <si>
    <t xml:space="preserve">Validation de champ sans friction : erreur à la sortie du champ, message précis</t>
  </si>
  <si>
    <t xml:space="preserve">MOB-ZB-07</t>
  </si>
  <si>
    <t xml:space="preserve">Interrupteur, case à cocher et radio</t>
  </si>
  <si>
    <t xml:space="preserve">MOB-ZB-08</t>
  </si>
  <si>
    <t xml:space="preserve">Contrôle segmenté, indicateur d'étapes et pagination par points</t>
  </si>
  <si>
    <t xml:space="preserve">MOB-ZB-09</t>
  </si>
  <si>
    <t xml:space="preserve">Curseur, compteur +/− et barres de progression</t>
  </si>
  <si>
    <t xml:space="preserve">MOB-ZB-10</t>
  </si>
  <si>
    <t xml:space="preserve">Chips : filtres, tailles et variantes</t>
  </si>
  <si>
    <t xml:space="preserve">MOB-ZB-11</t>
  </si>
  <si>
    <t xml:space="preserve">Tags de statut, compteurs et points de notification</t>
  </si>
  <si>
    <t xml:space="preserve">MOB-ZB-12</t>
  </si>
  <si>
    <t xml:space="preserve">Avatars, portraits illustrés et écussons génériques d'adversaires</t>
  </si>
  <si>
    <t xml:space="preserve">MOB-ZB-13</t>
  </si>
  <si>
    <t xml:space="preserve">Cartes : standard, à plat, sélectionnée, héros, navy, or et sémantiques</t>
  </si>
  <si>
    <t xml:space="preserve">MOB-ZB-14</t>
  </si>
  <si>
    <t xml:space="preserve">Lignes de liste, listes de réglages et grilles responsives</t>
  </si>
  <si>
    <t xml:space="preserve">MOB-ZB-13, MOB-ZB-07</t>
  </si>
  <si>
    <t xml:space="preserve">MOB-ZB-15</t>
  </si>
  <si>
    <t xml:space="preserve">Barre d'onglets inférieure à 5 entrées (piles indépendantes, pastille d'activité)</t>
  </si>
  <si>
    <t xml:space="preserve">MOB-ZB-16</t>
  </si>
  <si>
    <t xml:space="preserve">Rail de navigation tablette (96 px) et barre d'application</t>
  </si>
  <si>
    <t xml:space="preserve">MOB-ZB-17</t>
  </si>
  <si>
    <t xml:space="preserve">Bandeaux d'état : hors-ligne et connexion instable</t>
  </si>
  <si>
    <t xml:space="preserve">MOB-ZB-18</t>
  </si>
  <si>
    <t xml:space="preserve">Goldens et widgetbook des composants de base</t>
  </si>
  <si>
    <t xml:space="preserve">MOB-ZB-01, MOB-ZB-04, MOB-ZB-10, MOB-ZB-13, MOB-ZB-15</t>
  </si>
  <si>
    <t xml:space="preserve">MOB-ZC-01</t>
  </si>
  <si>
    <t xml:space="preserve">BarcaBottomSheet : feuille inférieure 24 px, panneau centré sur tablette</t>
  </si>
  <si>
    <t xml:space="preserve">MOB-ZC-02</t>
  </si>
  <si>
    <t xml:space="preserve">BarcaDialog : modale de confirmation (standard et destructive)</t>
  </si>
  <si>
    <t xml:space="preserve">MOB-ZC-03</t>
  </si>
  <si>
    <t xml:space="preserve">Modale de célébration (déblocage de badge) : hexagone, halo or, confettis</t>
  </si>
  <si>
    <t xml:space="preserve">MOB-ZC-04</t>
  </si>
  <si>
    <t xml:space="preserve">Service de toasts : succès, erreur, information, admin avec fermeture</t>
  </si>
  <si>
    <t xml:space="preserve">MOB-ZC-05</t>
  </si>
  <si>
    <t xml:space="preserve">Infobulle contextuelle et notification in-app (aperçu push)</t>
  </si>
  <si>
    <t xml:space="preserve">MOB-ZC-06</t>
  </si>
  <si>
    <t xml:space="preserve">BarcaLoadingIndicator : spinners, spinner de bouton et points « assistant »</t>
  </si>
  <si>
    <t xml:space="preserve">MOB-ZC-07</t>
  </si>
  <si>
    <t xml:space="preserve">Squelettes shimmer : carte, liste, tableau</t>
  </si>
  <si>
    <t xml:space="preserve">MOB-ZC-08</t>
  </si>
  <si>
    <t xml:space="preserve">Barres, anneaux et chargeur de marque (génération de wallpaper)</t>
  </si>
  <si>
    <t xml:space="preserve">MOB-ZC-09</t>
  </si>
  <si>
    <t xml:space="preserve">Tirer pour actualiser et chargement paginé</t>
  </si>
  <si>
    <t xml:space="preserve">MOB-ZC-10</t>
  </si>
  <si>
    <t xml:space="preserve">BarcaEmptyState : illustration légère, message et action</t>
  </si>
  <si>
    <t xml:space="preserve">MOB-ZC-11</t>
  </si>
  <si>
    <t xml:space="preserve">BarcaErrorState : erreur réseau, serveur, limite de débit</t>
  </si>
  <si>
    <t xml:space="preserve">MOB-ZC-12</t>
  </si>
  <si>
    <t xml:space="preserve">Mapping Failure → état d'écran (BarcaErrorState/BarcaEmptyState) et gabarit BlocBuilder</t>
  </si>
  <si>
    <t xml:space="preserve">MOB-ZC-10, MOB-ZC-11, MOB-ZC-07</t>
  </si>
  <si>
    <t xml:space="preserve">MOB-ZC-13</t>
  </si>
  <si>
    <t xml:space="preserve">États spéciaux : quiz terminé, accès retiré, bientôt disponible</t>
  </si>
  <si>
    <t xml:space="preserve">MOB-ZC-14</t>
  </si>
  <si>
    <t xml:space="preserve">Fondation de visualisation de données : bibliothèque, thème et légendes</t>
  </si>
  <si>
    <t xml:space="preserve">MOB-ZC-15</t>
  </si>
  <si>
    <t xml:space="preserve">Courbes (avec aire, comparées) et barres (comparatives : possession, tirs, corners)</t>
  </si>
  <si>
    <t xml:space="preserve">MOB-ZC-16</t>
  </si>
  <si>
    <t xml:space="preserve">Anneau segmenté, radar GOAT/Academy, carte de chaleur d'activité, mini-courbes</t>
  </si>
  <si>
    <t xml:space="preserve">MOB-ZC-17</t>
  </si>
  <si>
    <t xml:space="preserve">Goldens et widgetbook des retours et états</t>
  </si>
  <si>
    <t xml:space="preserve">MOB-ZC-01, MOB-ZC-04, MOB-ZC-07, MOB-ZC-10, MOB-ZC-15</t>
  </si>
  <si>
    <t xml:space="preserve">MOB-ZD-01</t>
  </si>
  <si>
    <t xml:space="preserve">Cellules d'indice et ligne de tentative de Guess the Player</t>
  </si>
  <si>
    <t xml:space="preserve">MOB-ZD-02</t>
  </si>
  <si>
    <t xml:space="preserve">Options de réponse du quiz : repos, sélectionnée, bonne, mauvaise, estompée</t>
  </si>
  <si>
    <t xml:space="preserve">MOB-ZD-03</t>
  </si>
  <si>
    <t xml:space="preserve">Chronomètre, paliers de difficulté et podium</t>
  </si>
  <si>
    <t xml:space="preserve">MOB-ZD-04</t>
  </si>
  <si>
    <t xml:space="preserve">Terrain Fantasy interactif : emplacements, formations et glisser-déposer</t>
  </si>
  <si>
    <t xml:space="preserve">MOB-ZD-05</t>
  </si>
  <si>
    <t xml:space="preserve">Marqueurs de carte : clusters, groupes locaux, ma zone floue, contrôles</t>
  </si>
  <si>
    <t xml:space="preserve">MOB-ZD-06</t>
  </si>
  <si>
    <t xml:space="preserve">Chat Barça AI : bulles, messages d'état et échec d'envoi</t>
  </si>
  <si>
    <t xml:space="preserve">MOB-ZD-07</t>
  </si>
  <si>
    <t xml:space="preserve">Ligne de match, cartes de match et frise chronologique</t>
  </si>
  <si>
    <t xml:space="preserve">MOB-ZD-08</t>
  </si>
  <si>
    <t xml:space="preserve">Correspondance des composants admin (ZD-03) et réutilisation côté mobile</t>
  </si>
  <si>
    <t xml:space="preserve">MOB-ZD-09</t>
  </si>
  <si>
    <t xml:space="preserve">Points de rupture et utilitaires responsive (téléphone, tablette)</t>
  </si>
  <si>
    <t xml:space="preserve">MOB-ZD-10</t>
  </si>
  <si>
    <t xml:space="preserve">Recomposition d'écrans : tableau de bord, carte et maître/détail</t>
  </si>
  <si>
    <t xml:space="preserve">MOB-ZD-11</t>
  </si>
  <si>
    <t xml:space="preserve">Cibles tactiles 44 × 44 et espacements minimaux</t>
  </si>
  <si>
    <t xml:space="preserve">MOB-ZD-12</t>
  </si>
  <si>
    <t xml:space="preserve">Anneau de focus, sémantique VoiceOver/TalkBack et couleur non exclusive</t>
  </si>
  <si>
    <t xml:space="preserve">MOB-ZD-13</t>
  </si>
  <si>
    <t xml:space="preserve">Tokens de mouvement AppMotion : durées, courbes et mouvement réduit</t>
  </si>
  <si>
    <t xml:space="preserve">MOB-ZD-14</t>
  </si>
  <si>
    <t xml:space="preserve">Micro-interactions clés : validation de quiz, badge, bulle IA, série</t>
  </si>
  <si>
    <t xml:space="preserve">MOB-ZE-01</t>
  </si>
  <si>
    <t xml:space="preserve">Moteur de chorégraphie : timeline en ms, Interval et décalages</t>
  </si>
  <si>
    <t xml:space="preserve">MOB-ZE-02</t>
  </si>
  <si>
    <t xml:space="preserve">Matrice haptique : retours tactiles par interaction</t>
  </si>
  <si>
    <t xml:space="preserve">MOB-ZE-03</t>
  </si>
  <si>
    <t xml:space="preserve">Changement d'onglet : capsule glissante et fondu-glissé à axe partagé</t>
  </si>
  <si>
    <t xml:space="preserve">MOB-ZE-04</t>
  </si>
  <si>
    <t xml:space="preserve">Transitions entre écrans : pile, modal plein écran, axe Z, fondu</t>
  </si>
  <si>
    <t xml:space="preserve">MOB-ZE-05</t>
  </si>
  <si>
    <t xml:space="preserve">Chorégraphie de l'accueil à la première ouverture (1 900 ms)</t>
  </si>
  <si>
    <t xml:space="preserve">MOB-ZE-01, MOB-ZE-06, MOB-ZE-07</t>
  </si>
  <si>
    <t xml:space="preserve">MOB-ZE-06</t>
  </si>
  <si>
    <t xml:space="preserve">Pulsation du compte à rebours du prochain match (700–1 200 ms)</t>
  </si>
  <si>
    <t xml:space="preserve">MOB-ZE-07</t>
  </si>
  <si>
    <t xml:space="preserve">Bulle IA : apparition, respiration et expansion vers la conversation</t>
  </si>
  <si>
    <t xml:space="preserve">MOB-ZE-08</t>
  </si>
  <si>
    <t xml:space="preserve">Chorégraphie de victoire à Guess the Player (2 600 ms)</t>
  </si>
  <si>
    <t xml:space="preserve">MOB-ZE-01, MOB-ZE-02</t>
  </si>
  <si>
    <t xml:space="preserve">MOB-ZE-09</t>
  </si>
  <si>
    <t xml:space="preserve">Chorégraphie de montée de niveau au quiz (2 200 ms)</t>
  </si>
  <si>
    <t xml:space="preserve">MOB-ZE-10</t>
  </si>
  <si>
    <t xml:space="preserve">Chorégraphie du splash vers l'accueil (1 600 ms)</t>
  </si>
  <si>
    <t xml:space="preserve">MOB-ZE-11</t>
  </si>
  <si>
    <t xml:space="preserve">Zone du pouce : CTA bas, actions secondaires et règles de placement</t>
  </si>
  <si>
    <t xml:space="preserve">ux</t>
  </si>
  <si>
    <t xml:space="preserve">MOB-ZE-12</t>
  </si>
  <si>
    <t xml:space="preserve">Gestes : swipe ligne, appui long, pincer/double appui, glisser-déposer, dictée</t>
  </si>
  <si>
    <t xml:space="preserve">MOB-ZE-13</t>
  </si>
  <si>
    <t xml:space="preserve">Saisie et clavier : CTA au-dessus du clavier, champ défilé, claviers adaptés</t>
  </si>
  <si>
    <t xml:space="preserve">MOB-ZE-14</t>
  </si>
  <si>
    <t xml:space="preserve">Texte dynamique jusqu'à 160 % sans coupure de mise en page</t>
  </si>
  <si>
    <t xml:space="preserve">MOB-ZE-15</t>
  </si>
  <si>
    <t xml:space="preserve">Lisibilité plein soleil et mode sombre OLED (#121218)</t>
  </si>
  <si>
    <t xml:space="preserve">MOB-ZE-16</t>
  </si>
  <si>
    <t xml:space="preserve">Prévention des erreurs : actions destructives en 3 étapes et annulation</t>
  </si>
  <si>
    <t xml:space="preserve">MOB-ZE-17</t>
  </si>
  <si>
    <t xml:space="preserve">Budget de performance des animations : 60 fps / 120 Hz et mouvement réduit</t>
  </si>
  <si>
    <t xml:space="preserve">MOB-ZE-05, MOB-ZE-08</t>
  </si>
  <si>
    <t xml:space="preserve">MOB-ZE-18</t>
  </si>
  <si>
    <t xml:space="preserve">Goldens d'images clés et tests de séquences d'animation</t>
  </si>
  <si>
    <t xml:space="preserve">MOB-ZE-01, MOB-ZE-03, MOB-ZE-05</t>
  </si>
  <si>
    <t xml:space="preserve">MOB-A-01</t>
  </si>
  <si>
    <t xml:space="preserve">Séquence de démarrage et décision de routage initiale</t>
  </si>
  <si>
    <t xml:space="preserve">MOB-A-02</t>
  </si>
  <si>
    <t xml:space="preserve">Écran Splash animé (logo, accroche, barre de chargement)</t>
  </si>
  <si>
    <t xml:space="preserve">MOB-A-03</t>
  </si>
  <si>
    <t xml:space="preserve">Service de connectivité et état réseau global</t>
  </si>
  <si>
    <t xml:space="preserve">MOB-A-04</t>
  </si>
  <si>
    <t xml:space="preserve">Écran « Pas de connexion » et bannière hors-ligne</t>
  </si>
  <si>
    <t xml:space="preserve">MOB-A-05</t>
  </si>
  <si>
    <t xml:space="preserve">Hiérarchie d'erreurs réseau et mapping HTTP → états système</t>
  </si>
  <si>
    <t xml:space="preserve">MOB-A-06</t>
  </si>
  <si>
    <t xml:space="preserve">Écran d'erreur serveur 5xx avec code d'incident</t>
  </si>
  <si>
    <t xml:space="preserve">MOB-A-07</t>
  </si>
  <si>
    <t xml:space="preserve">Écran « Doucement, champion ! » avec compte à rebours</t>
  </si>
  <si>
    <t xml:space="preserve">MOB-A-08</t>
  </si>
  <si>
    <t xml:space="preserve">Configuration distante : maintenance et version minimale</t>
  </si>
  <si>
    <t xml:space="preserve">MOB-A-09</t>
  </si>
  <si>
    <t xml:space="preserve">Écran Maintenance planifiée</t>
  </si>
  <si>
    <t xml:space="preserve">MOB-A-10</t>
  </si>
  <si>
    <t xml:space="preserve">Écran Mise à jour requise avec nouveautés</t>
  </si>
  <si>
    <t xml:space="preserve">MOB-A-11</t>
  </si>
  <si>
    <t xml:space="preserve">Détection de session expirée et garde de navigation</t>
  </si>
  <si>
    <t xml:space="preserve">MOB-A-12</t>
  </si>
  <si>
    <t xml:space="preserve">Écran Session expirée</t>
  </si>
  <si>
    <t xml:space="preserve">MOB-A-13</t>
  </si>
  <si>
    <t xml:space="preserve">État de restriction de compte (suspension / bannissement) côté client</t>
  </si>
  <si>
    <t xml:space="preserve">MOB-A-14</t>
  </si>
  <si>
    <t xml:space="preserve">Écran Compte suspendu</t>
  </si>
  <si>
    <t xml:space="preserve">MOB-A-15</t>
  </si>
  <si>
    <t xml:space="preserve">Écran Compte banni (Accès retiré)</t>
  </si>
  <si>
    <t xml:space="preserve">MOB-A-16</t>
  </si>
  <si>
    <t xml:space="preserve">Écran Synchronisation d'un nouvel appareil</t>
  </si>
  <si>
    <t xml:space="preserve">MOB-A-01, MOB-A-03</t>
  </si>
  <si>
    <t xml:space="preserve">MOB-A-17</t>
  </si>
  <si>
    <t xml:space="preserve">Observabilité des états système (Sentry et traceId)</t>
  </si>
  <si>
    <t xml:space="preserve">MOB-A-18</t>
  </si>
  <si>
    <t xml:space="preserve">Accessibilité et internationalisation des écrans système</t>
  </si>
  <si>
    <t xml:space="preserve">MOB-A-02, MOB-A-04, MOB-A-06, MOB-A-07, MOB-A-09, MOB-A-10, MOB-A-12, MOB-A-14, MOB-A-15, MOB-A-16</t>
  </si>
  <si>
    <t xml:space="preserve">MOB-A-19</t>
  </si>
  <si>
    <t xml:space="preserve">Tests golden et d'intégration des états système</t>
  </si>
  <si>
    <t xml:space="preserve">MOB-A-15, MOB-A-14, MOB-A-12, MOB-A-09, MOB-A-10, MOB-A-07, MOB-A-06, MOB-A-04, MOB-A-02, MOB-A-16</t>
  </si>
  <si>
    <t xml:space="preserve">MOB-B-01</t>
  </si>
  <si>
    <t xml:space="preserve">Parcours onboarding : routes, OnboardingCubit et reprise</t>
  </si>
  <si>
    <t xml:space="preserve">MOB-B-02</t>
  </si>
  <si>
    <t xml:space="preserve">Écran Choix de la langue (FR / EN / ES)</t>
  </si>
  <si>
    <t xml:space="preserve">MOB-B-03</t>
  </si>
  <si>
    <t xml:space="preserve">Carrousel d'introduction en 3 pages (structure et navigation)</t>
  </si>
  <si>
    <t xml:space="preserve">MOB-B-04</t>
  </si>
  <si>
    <t xml:space="preserve">Illustrations et micro-animations du carrousel</t>
  </si>
  <si>
    <t xml:space="preserve">MOB-B-05</t>
  </si>
  <si>
    <t xml:space="preserve">Écran Bienvenue : créer un compte ou se connecter</t>
  </si>
  <si>
    <t xml:space="preserve">MOB-B-06</t>
  </si>
  <si>
    <t xml:space="preserve">Couche données auth : modèles, service Chopper et repository</t>
  </si>
  <si>
    <t xml:space="preserve">MOB-B-07</t>
  </si>
  <si>
    <t xml:space="preserve">Stockage sécurisé des jetons et « Rester connecté »</t>
  </si>
  <si>
    <t xml:space="preserve">MOB-B-08</t>
  </si>
  <si>
    <t xml:space="preserve">AuthBloc global et garde de navigation</t>
  </si>
  <si>
    <t xml:space="preserve">MOB-B-06, MOB-B-07</t>
  </si>
  <si>
    <t xml:space="preserve">MOB-B-09</t>
  </si>
  <si>
    <t xml:space="preserve">Écran Inscription (pseudo, e-mail, mot de passe) — étape 1/4</t>
  </si>
  <si>
    <t xml:space="preserve">MOB-B-01, MOB-B-05</t>
  </si>
  <si>
    <t xml:space="preserve">MOB-B-10</t>
  </si>
  <si>
    <t xml:space="preserve">Validations de l'inscription et jauge de force du mot de passe</t>
  </si>
  <si>
    <t xml:space="preserve">MOB-B-11</t>
  </si>
  <si>
    <t xml:space="preserve">Écran Inscription — états d'erreur de validation</t>
  </si>
  <si>
    <t xml:space="preserve">MOB-B-12</t>
  </si>
  <si>
    <t xml:space="preserve">Écran Charte de la communauté et acceptations — étape 2/4</t>
  </si>
  <si>
    <t xml:space="preserve">MOB-B-09, MOB-B-06, MOB-B-13</t>
  </si>
  <si>
    <t xml:space="preserve">MOB-B-13</t>
  </si>
  <si>
    <t xml:space="preserve">Consentements RGPD historisés pendant l'onboarding</t>
  </si>
  <si>
    <t xml:space="preserve">MOB-B-14</t>
  </si>
  <si>
    <t xml:space="preserve">Écran Vérification de l'e-mail (code à 6 chiffres) — étape 3/4</t>
  </si>
  <si>
    <t xml:space="preserve">MOB-B-06, MOB-B-01</t>
  </si>
  <si>
    <t xml:space="preserve">MOB-B-15</t>
  </si>
  <si>
    <t xml:space="preserve">Écran E-mail vérifié (Adresse confirmée !)</t>
  </si>
  <si>
    <t xml:space="preserve">MOB-B-16</t>
  </si>
  <si>
    <t xml:space="preserve">Écran Pays et ville — « D'où supportes-tu ? » (1/3)</t>
  </si>
  <si>
    <t xml:space="preserve">MOB-B-01, MOB-B-06</t>
  </si>
  <si>
    <t xml:space="preserve">MOB-B-17</t>
  </si>
  <si>
    <t xml:space="preserve">Écran Recherche du pays avec liste filtrée</t>
  </si>
  <si>
    <t xml:space="preserve">MOB-B-18</t>
  </si>
  <si>
    <t xml:space="preserve">Écran Joueur préféré — grille 3×3 (2/3)</t>
  </si>
  <si>
    <t xml:space="preserve">MOB-B-19</t>
  </si>
  <si>
    <t xml:space="preserve">Écran Ancienneté de supporter — niveau de départ des quiz (3/3)</t>
  </si>
  <si>
    <t xml:space="preserve">MOB-B-20</t>
  </si>
  <si>
    <t xml:space="preserve">Écran Pré-permission notifications « Ne rate plus un match »</t>
  </si>
  <si>
    <t xml:space="preserve">MOB-B-21</t>
  </si>
  <si>
    <t xml:space="preserve">Écran Connexion</t>
  </si>
  <si>
    <t xml:space="preserve">MOB-B-08, MOB-B-07, MOB-B-05</t>
  </si>
  <si>
    <t xml:space="preserve">MOB-B-22</t>
  </si>
  <si>
    <t xml:space="preserve">Connexion — erreur d'identifiants, chargement et verrouillage progressif</t>
  </si>
  <si>
    <t xml:space="preserve">MOB-B-23</t>
  </si>
  <si>
    <t xml:space="preserve">Connexion et inscription sociales Apple et Google</t>
  </si>
  <si>
    <t xml:space="preserve">MOB-B-08, MOB-B-12</t>
  </si>
  <si>
    <t xml:space="preserve">MOB-B-24</t>
  </si>
  <si>
    <t xml:space="preserve">Écran Mot de passe oublié (1/3)</t>
  </si>
  <si>
    <t xml:space="preserve">MOB-B-06, MOB-B-21</t>
  </si>
  <si>
    <t xml:space="preserve">MOB-B-25</t>
  </si>
  <si>
    <t xml:space="preserve">Écran Nouveau mot de passe avec checklist</t>
  </si>
  <si>
    <t xml:space="preserve">MOB-B-10, MOB-B-24</t>
  </si>
  <si>
    <t xml:space="preserve">MOB-B-26</t>
  </si>
  <si>
    <t xml:space="preserve">Écran Mot de passe modifié</t>
  </si>
  <si>
    <t xml:space="preserve">MOB-B-27</t>
  </si>
  <si>
    <t xml:space="preserve">Durcissement sécurité des formulaires d'authentification</t>
  </si>
  <si>
    <t xml:space="preserve">MOB-B-09, MOB-B-21, MOB-B-25</t>
  </si>
  <si>
    <t xml:space="preserve">MOB-B-28</t>
  </si>
  <si>
    <t xml:space="preserve">Accessibilité et internationalisation du tunnel auth/onboarding</t>
  </si>
  <si>
    <t xml:space="preserve">MOB-B-26, MOB-B-02</t>
  </si>
  <si>
    <t xml:space="preserve">MOB-B-29</t>
  </si>
  <si>
    <t xml:space="preserve">Tests golden et d'intégration du parcours auth/onboarding</t>
  </si>
  <si>
    <t xml:space="preserve">MOB-B-26, MOB-B-23, MOB-B-27, MOB-B-19, MOB-B-20, MOB-B-17, MOB-B-22, MOB-B-11, MOB-B-04</t>
  </si>
  <si>
    <t xml:space="preserve">MOB-Q-01</t>
  </si>
  <si>
    <t xml:space="preserve">Gabarit de la feature settings / account et routes</t>
  </si>
  <si>
    <t xml:space="preserve">MOB-Q-02</t>
  </si>
  <si>
    <t xml:space="preserve">Modèles de données : profil, préférences, consentements, appareils</t>
  </si>
  <si>
    <t xml:space="preserve">MOB-Q-03</t>
  </si>
  <si>
    <t xml:space="preserve">Datasource Chopper du compte et des réglages</t>
  </si>
  <si>
    <t xml:space="preserve">MOB-Q-04</t>
  </si>
  <si>
    <t xml:space="preserve">Stockage local des préférences d'affichage</t>
  </si>
  <si>
    <t xml:space="preserve">MOB-Q-05</t>
  </si>
  <si>
    <t xml:space="preserve">SettingsCubit : état local immédiat et synchronisation compte</t>
  </si>
  <si>
    <t xml:space="preserve">MOB-Q-04, MOB-Q-03</t>
  </si>
  <si>
    <t xml:space="preserve">MOB-Q-06</t>
  </si>
  <si>
    <t xml:space="preserve">Écran Paramètres (liste groupée)</t>
  </si>
  <si>
    <t xml:space="preserve">MOB-Q-05, MOB-Q-01</t>
  </si>
  <si>
    <t xml:space="preserve">MOB-Q-07</t>
  </si>
  <si>
    <t xml:space="preserve">Écran Langue (Français, English, Español, suivre le système)</t>
  </si>
  <si>
    <t xml:space="preserve">MOB-Q-08</t>
  </si>
  <si>
    <t xml:space="preserve">Écran Thème (Auto, Clair, Sombre)</t>
  </si>
  <si>
    <t xml:space="preserve">MOB-Q-09</t>
  </si>
  <si>
    <t xml:space="preserve">Taille du texte et accessibilité</t>
  </si>
  <si>
    <t xml:space="preserve">MOB-Q-10</t>
  </si>
  <si>
    <t xml:space="preserve">Gestion des consentements : ConsentRepository et historique</t>
  </si>
  <si>
    <t xml:space="preserve">MOB-Q-03, MOB-Q-05</t>
  </si>
  <si>
    <t xml:space="preserve">MOB-Q-11</t>
  </si>
  <si>
    <t xml:space="preserve">Confidentialité et consentements</t>
  </si>
  <si>
    <t xml:space="preserve">MOB-Q-12</t>
  </si>
  <si>
    <t xml:space="preserve">Dialogue « Désactiver la localisation ? » (révocation)</t>
  </si>
  <si>
    <t xml:space="preserve">MOB-Q-13</t>
  </si>
  <si>
    <t xml:space="preserve">Réglage « Visibilité sur la carte » (masquée, pays, ville)</t>
  </si>
  <si>
    <t xml:space="preserve">MOB-Q-14</t>
  </si>
  <si>
    <t xml:space="preserve">Écran « Gérer mon compte »</t>
  </si>
  <si>
    <t xml:space="preserve">MOB-Q-15</t>
  </si>
  <si>
    <t xml:space="preserve">Validation et force du mot de passe</t>
  </si>
  <si>
    <t xml:space="preserve">MOB-Q-16</t>
  </si>
  <si>
    <t xml:space="preserve">Changer le mot de passe</t>
  </si>
  <si>
    <t xml:space="preserve">MOB-Q-15, MOB-Q-14</t>
  </si>
  <si>
    <t xml:space="preserve">MOB-Q-17</t>
  </si>
  <si>
    <t xml:space="preserve">Changer l'adresse e-mail (envoi du code de vérification)</t>
  </si>
  <si>
    <t xml:space="preserve">MOB-Q-14, MOB-Q-15</t>
  </si>
  <si>
    <t xml:space="preserve">MOB-Q-18</t>
  </si>
  <si>
    <t xml:space="preserve">Appareils connectés (liste, retrait, déconnexion globale)</t>
  </si>
  <si>
    <t xml:space="preserve">MOB-Q-19</t>
  </si>
  <si>
    <t xml:space="preserve">Exporter mes données (demande)</t>
  </si>
  <si>
    <t xml:space="preserve">MOB-Q-14, MOB-Q-03</t>
  </si>
  <si>
    <t xml:space="preserve">MOB-Q-20</t>
  </si>
  <si>
    <t xml:space="preserve">Export prêt (téléchargement et renvoi)</t>
  </si>
  <si>
    <t xml:space="preserve">MOB-Q-21</t>
  </si>
  <si>
    <t xml:space="preserve">Suppression du compte — étape 1/3 : conséquences</t>
  </si>
  <si>
    <t xml:space="preserve">MOB-Q-14, MOB-Q-19</t>
  </si>
  <si>
    <t xml:space="preserve">MOB-Q-22</t>
  </si>
  <si>
    <t xml:space="preserve">Suppression du compte — dernière confirmation (3/3)</t>
  </si>
  <si>
    <t xml:space="preserve">MOB-Q-21, MOB-Q-03</t>
  </si>
  <si>
    <t xml:space="preserve">MOB-Q-23</t>
  </si>
  <si>
    <t xml:space="preserve">Effacement local complet après suppression ou déconnexion globale</t>
  </si>
  <si>
    <t xml:space="preserve">MOB-Q-24</t>
  </si>
  <si>
    <t xml:space="preserve">Compte supprimé (écran de fin)</t>
  </si>
  <si>
    <t xml:space="preserve">MOB-Q-25</t>
  </si>
  <si>
    <t xml:space="preserve">Confirmation de déconnexion</t>
  </si>
  <si>
    <t xml:space="preserve">MOB-Q-23, MOB-Q-06</t>
  </si>
  <si>
    <t xml:space="preserve">MOB-Q-26</t>
  </si>
  <si>
    <t xml:space="preserve">À propos et mentions légales</t>
  </si>
  <si>
    <t xml:space="preserve">MOB-Q-27</t>
  </si>
  <si>
    <t xml:space="preserve">Aide et support (FAQ, contact, signalement de bug)</t>
  </si>
  <si>
    <t xml:space="preserve">MOB-Q-28</t>
  </si>
  <si>
    <t xml:space="preserve">Sécurité des actions sensibles du compte</t>
  </si>
  <si>
    <t xml:space="preserve">MOB-Q-29</t>
  </si>
  <si>
    <t xml:space="preserve">Accessibilité des écrans de paramètres et de compte</t>
  </si>
  <si>
    <t xml:space="preserve">MOB-Q-06, MOB-Q-22</t>
  </si>
  <si>
    <t xml:space="preserve">MOB-Q-30</t>
  </si>
  <si>
    <t xml:space="preserve">Internationalisation FR/EN/ES des paramètres et du compte</t>
  </si>
  <si>
    <t xml:space="preserve">MOB-Q-31</t>
  </si>
  <si>
    <t xml:space="preserve">Tests d'intégration et golden de Paramètres et compte</t>
  </si>
  <si>
    <t xml:space="preserve">MOB-Q-27, MOB-Q-26, MOB-Q-25, MOB-Q-24, MOB-Q-20, MOB-Q-18, MOB-Q-17, MOB-Q-16, MOB-Q-12, MOB-Q-09, MOB-Q-08, MOB-Q-07</t>
  </si>
  <si>
    <t xml:space="preserve">MOB-C-01</t>
  </si>
  <si>
    <t xml:space="preserve">Gabarit de la feature dashboard et routes d'accueil</t>
  </si>
  <si>
    <t xml:space="preserve">MOB-C-02</t>
  </si>
  <si>
    <t xml:space="preserve">Modèles de données du dashboard (JSON ↔ entités)</t>
  </si>
  <si>
    <t xml:space="preserve">MOB-C-03</t>
  </si>
  <si>
    <t xml:space="preserve">Datasource distante du dashboard (Chopper)</t>
  </si>
  <si>
    <t xml:space="preserve">MOB-C-04</t>
  </si>
  <si>
    <t xml:space="preserve">Cache local Drift du dashboard (cache-then-network)</t>
  </si>
  <si>
    <t xml:space="preserve">MOB-C-05</t>
  </si>
  <si>
    <t xml:space="preserve">Repository et use cases du dashboard</t>
  </si>
  <si>
    <t xml:space="preserve">MOB-C-02, MOB-C-03, MOB-C-04</t>
  </si>
  <si>
    <t xml:space="preserve">MOB-C-06</t>
  </si>
  <si>
    <t xml:space="preserve">DashboardBloc : chargement parallèle et états par carte</t>
  </si>
  <si>
    <t xml:space="preserve">MOB-C-07</t>
  </si>
  <si>
    <t xml:space="preserve">Écran dashboard : en-tête, défilement et assemblage</t>
  </si>
  <si>
    <t xml:space="preserve">MOB-C-06, MOB-C-01</t>
  </si>
  <si>
    <t xml:space="preserve">MOB-C-08</t>
  </si>
  <si>
    <t xml:space="preserve">Carte « Prochain match » avec compte à rebours</t>
  </si>
  <si>
    <t xml:space="preserve">MOB-C-07, MOB-C-09</t>
  </si>
  <si>
    <t xml:space="preserve">MOB-C-09</t>
  </si>
  <si>
    <t xml:space="preserve">Compte à rebours et formatage fuseau horaire</t>
  </si>
  <si>
    <t xml:space="preserve">MOB-C-10</t>
  </si>
  <si>
    <t xml:space="preserve">Carte du match en direct (score et « Suivre le live »)</t>
  </si>
  <si>
    <t xml:space="preserve">MOB-C-11</t>
  </si>
  <si>
    <t xml:space="preserve">Carte « Pas de match programmé »</t>
  </si>
  <si>
    <t xml:space="preserve">MOB-C-12</t>
  </si>
  <si>
    <t xml:space="preserve">Double carte « Jeu du jour » : Guess the Player et Quiz</t>
  </si>
  <si>
    <t xml:space="preserve">MOB-C-13</t>
  </si>
  <si>
    <t xml:space="preserve">Carte « Aujourd'hui dans l'histoire »</t>
  </si>
  <si>
    <t xml:space="preserve">MOB-C-14</t>
  </si>
  <si>
    <t xml:space="preserve">Carte « Streak » : série et semaine</t>
  </si>
  <si>
    <t xml:space="preserve">MOB-C-15</t>
  </si>
  <si>
    <t xml:space="preserve">Série en danger : bandeau « Il te reste 3 h 12 »</t>
  </si>
  <si>
    <t xml:space="preserve">MOB-C-14, MOB-C-09</t>
  </si>
  <si>
    <t xml:space="preserve">MOB-C-16</t>
  </si>
  <si>
    <t xml:space="preserve">Carte « Ton XI Fantasy » avec classement amis</t>
  </si>
  <si>
    <t xml:space="preserve">MOB-C-17</t>
  </si>
  <si>
    <t xml:space="preserve">Squelette de chargement du dashboard</t>
  </si>
  <si>
    <t xml:space="preserve">MOB-C-18</t>
  </si>
  <si>
    <t xml:space="preserve">Mode hors-ligne : bandeau et données en cache</t>
  </si>
  <si>
    <t xml:space="preserve">MOB-C-06, MOB-C-04</t>
  </si>
  <si>
    <t xml:space="preserve">MOB-C-19</t>
  </si>
  <si>
    <t xml:space="preserve">Erreur partielle d'une carte avec « Réessayer »</t>
  </si>
  <si>
    <t xml:space="preserve">MOB-C-20</t>
  </si>
  <si>
    <t xml:space="preserve">Pull-to-refresh global du dashboard</t>
  </si>
  <si>
    <t xml:space="preserve">MOB-C-06, MOB-C-07</t>
  </si>
  <si>
    <t xml:space="preserve">MOB-C-21</t>
  </si>
  <si>
    <t xml:space="preserve">Écran détail du prochain match</t>
  </si>
  <si>
    <t xml:space="preserve">MOB-C-08, MOB-C-09</t>
  </si>
  <si>
    <t xml:space="preserve">MOB-C-22</t>
  </si>
  <si>
    <t xml:space="preserve">Ajouter le match à l'agenda et activer le rappel</t>
  </si>
  <si>
    <t xml:space="preserve">MOB-C-23</t>
  </si>
  <si>
    <t xml:space="preserve">Détail « Dans l'histoire » : anecdote complète et actions</t>
  </si>
  <si>
    <t xml:space="preserve">MOB-C-24</t>
  </si>
  <si>
    <t xml:space="preserve">Resynchronisation au retour au premier plan et minuit</t>
  </si>
  <si>
    <t xml:space="preserve">MOB-C-25</t>
  </si>
  <si>
    <t xml:space="preserve">Localisation FR/EN/ES du dashboard</t>
  </si>
  <si>
    <t xml:space="preserve">MOB-C-26</t>
  </si>
  <si>
    <t xml:space="preserve">Accessibilité du dashboard (lecteurs d'écran, texte, contrastes)</t>
  </si>
  <si>
    <t xml:space="preserve">MOB-C-16, MOB-C-14, MOB-C-12, MOB-C-13, MOB-C-08</t>
  </si>
  <si>
    <t xml:space="preserve">MOB-C-27</t>
  </si>
  <si>
    <t xml:space="preserve">Tests d'intégration et golden du dashboard</t>
  </si>
  <si>
    <t xml:space="preserve">MOB-C-21, MOB-C-23, MOB-C-18, MOB-C-19, MOB-C-17, MOB-C-20, MOB-C-10, MOB-C-11, MOB-C-15</t>
  </si>
  <si>
    <t xml:space="preserve">MOB-F-01</t>
  </si>
  <si>
    <t xml:space="preserve">Modèles de données de l'historique (frise, match, joueur)</t>
  </si>
  <si>
    <t xml:space="preserve">MOB-F-02</t>
  </si>
  <si>
    <t xml:space="preserve">Datasource Chopper de l'historique et des fiches</t>
  </si>
  <si>
    <t xml:space="preserve">MOB-F-03</t>
  </si>
  <si>
    <t xml:space="preserve">Repositories et use cases de l'historique</t>
  </si>
  <si>
    <t xml:space="preserve">MOB-F-04</t>
  </si>
  <si>
    <t xml:space="preserve">Cache Drift des matchs historiques et fiches joueurs consultés</t>
  </si>
  <si>
    <t xml:space="preserve">MOB-F-05</t>
  </si>
  <si>
    <t xml:space="preserve">HistoryTimelineBloc : sélection, filtres, pagination</t>
  </si>
  <si>
    <t xml:space="preserve">MOB-F-06</t>
  </si>
  <si>
    <t xml:space="preserve">Écran Historique : frise par décennie (état normal)</t>
  </si>
  <si>
    <t xml:space="preserve">MOB-F-07</t>
  </si>
  <si>
    <t xml:space="preserve">Frise : défilement long, en-têtes collants et pagination infinie</t>
  </si>
  <si>
    <t xml:space="preserve">MOB-F-08</t>
  </si>
  <si>
    <t xml:space="preserve">Feuille de filtres de la frise (Décennie / Saison / Date, compétition, adversaire)</t>
  </si>
  <si>
    <t xml:space="preserve">MOB-F-05, MOB-F-09</t>
  </si>
  <si>
    <t xml:space="preserve">MOB-F-09</t>
  </si>
  <si>
    <t xml:space="preserve">Règles de validation et de cohérence des filtres historiques</t>
  </si>
  <si>
    <t xml:space="preserve">MOB-F-10</t>
  </si>
  <si>
    <t xml:space="preserve">Recherche par date précise : 'Le 15 octobre à travers les saisons'</t>
  </si>
  <si>
    <t xml:space="preserve">MOB-F-11</t>
  </si>
  <si>
    <t xml:space="preserve">Frise : squelettes de chargement (shimmer)</t>
  </si>
  <si>
    <t xml:space="preserve">MOB-F-12</t>
  </si>
  <si>
    <t xml:space="preserve">Frise : état vide 'Aucun événement trouvé' et erreur réseau</t>
  </si>
  <si>
    <t xml:space="preserve">MOB-F-13</t>
  </si>
  <si>
    <t xml:space="preserve">HistoricalMatchBloc : chargement du détail et onglets</t>
  </si>
  <si>
    <t xml:space="preserve">MOB-F-14</t>
  </si>
  <si>
    <t xml:space="preserve">Match historique : en-tête et onglet Résumé (buteurs, statistiques)</t>
  </si>
  <si>
    <t xml:space="preserve">MOB-F-15</t>
  </si>
  <si>
    <t xml:space="preserve">Match historique : onglet Compos (XI, formation, entraîneur)</t>
  </si>
  <si>
    <t xml:space="preserve">MOB-F-16</t>
  </si>
  <si>
    <t xml:space="preserve">Match historique : onglet Événements (chronologie du match)</t>
  </si>
  <si>
    <t xml:space="preserve">MOB-F-17</t>
  </si>
  <si>
    <t xml:space="preserve">Match historique : onglet Contexte et classement de l'époque</t>
  </si>
  <si>
    <t xml:space="preserve">MOB-F-18</t>
  </si>
  <si>
    <t xml:space="preserve">Match indisponible hors-ligne et match introuvable</t>
  </si>
  <si>
    <t xml:space="preserve">MOB-F-19</t>
  </si>
  <si>
    <t xml:space="preserve">Partager un match et le mettre en favori (local)</t>
  </si>
  <si>
    <t xml:space="preserve">MOB-F-14, MOB-F-04</t>
  </si>
  <si>
    <t xml:space="preserve">MOB-F-20</t>
  </si>
  <si>
    <t xml:space="preserve">PlayerProfileBloc : chargement de la fiche et des onglets</t>
  </si>
  <si>
    <t xml:space="preserve">MOB-F-21</t>
  </si>
  <si>
    <t xml:space="preserve">Fiche joueur : en-tête et onglet Aperçu</t>
  </si>
  <si>
    <t xml:space="preserve">MOB-F-22</t>
  </si>
  <si>
    <t xml:space="preserve">Fiche joueur : onglet Statistiques par saison</t>
  </si>
  <si>
    <t xml:space="preserve">MOB-F-23</t>
  </si>
  <si>
    <t xml:space="preserve">Fiche joueur : onglet Biographie (texte éditorial original)</t>
  </si>
  <si>
    <t xml:space="preserve">MOB-F-24</t>
  </si>
  <si>
    <t xml:space="preserve">Navigation de l'onglet Historique et liens profonds</t>
  </si>
  <si>
    <t xml:space="preserve">MOB-F-06, MOB-F-14</t>
  </si>
  <si>
    <t xml:space="preserve">MOB-F-25</t>
  </si>
  <si>
    <t xml:space="preserve">Internationalisation FR/EN/ES du module Historique</t>
  </si>
  <si>
    <t xml:space="preserve">MOB-F-26</t>
  </si>
  <si>
    <t xml:space="preserve">Accessibilité du module Historique</t>
  </si>
  <si>
    <t xml:space="preserve">MOB-F-06, MOB-F-14, MOB-F-21</t>
  </si>
  <si>
    <t xml:space="preserve">MOB-F-27</t>
  </si>
  <si>
    <t xml:space="preserve">Tests d'intégration et de non-régression visuelle du module Historique</t>
  </si>
  <si>
    <t xml:space="preserve">MOB-F-05, MOB-F-13, MOB-F-20</t>
  </si>
  <si>
    <t xml:space="preserve">MOB-L-01</t>
  </si>
  <si>
    <t xml:space="preserve">Modèles de données du calendrier et de l'export</t>
  </si>
  <si>
    <t xml:space="preserve">MOB-L-02</t>
  </si>
  <si>
    <t xml:space="preserve">Datasource Chopper du calendrier (matchs, URL d'abonnement, export .ics)</t>
  </si>
  <si>
    <t xml:space="preserve">MOB-L-03</t>
  </si>
  <si>
    <t xml:space="preserve">Repository et use cases du calendrier</t>
  </si>
  <si>
    <t xml:space="preserve">MOB-L-02, MOB-L-04</t>
  </si>
  <si>
    <t xml:space="preserve">MOB-L-04</t>
  </si>
  <si>
    <t xml:space="preserve">Cache Drift des matchs à venir</t>
  </si>
  <si>
    <t xml:space="preserve">MOB-L-05</t>
  </si>
  <si>
    <t xml:space="preserve">CalendarBloc : liste, filtres, vue, sélection de match</t>
  </si>
  <si>
    <t xml:space="preserve">MOB-L-06</t>
  </si>
  <si>
    <t xml:space="preserve">Liste des matchs à venir (cartes par mois)</t>
  </si>
  <si>
    <t xml:space="preserve">MOB-L-05, MOB-L-07</t>
  </si>
  <si>
    <t xml:space="preserve">MOB-L-07</t>
  </si>
  <si>
    <t xml:space="preserve">Badge 'Exporté / Non inclus' selon les filtres d'export</t>
  </si>
  <si>
    <t xml:space="preserve">MOB-L-05, MOB-L-14</t>
  </si>
  <si>
    <t xml:space="preserve">MOB-L-08</t>
  </si>
  <si>
    <t xml:space="preserve">Vue mensuelle du calendrier</t>
  </si>
  <si>
    <t xml:space="preserve">MOB-L-05, MOB-L-06</t>
  </si>
  <si>
    <t xml:space="preserve">MOB-L-09</t>
  </si>
  <si>
    <t xml:space="preserve">Liste du calendrier : squelettes de chargement</t>
  </si>
  <si>
    <t xml:space="preserve">MOB-L-10</t>
  </si>
  <si>
    <t xml:space="preserve">Liste du calendrier : état vide et erreurs</t>
  </si>
  <si>
    <t xml:space="preserve">MOB-L-11</t>
  </si>
  <si>
    <t xml:space="preserve">Affichage des horaires dans le fuseau de l'utilisateur</t>
  </si>
  <si>
    <t xml:space="preserve">MOB-L-12</t>
  </si>
  <si>
    <t xml:space="preserve">Détail d'un match programmé</t>
  </si>
  <si>
    <t xml:space="preserve">MOB-L-05, MOB-L-11</t>
  </si>
  <si>
    <t xml:space="preserve">MOB-L-13</t>
  </si>
  <si>
    <t xml:space="preserve">Match reporté : bannière 'Horaire modifié' et comparaison avant/après</t>
  </si>
  <si>
    <t xml:space="preserve">MOB-L-14</t>
  </si>
  <si>
    <t xml:space="preserve">Persistance des préférences d'export et d'abonnement</t>
  </si>
  <si>
    <t xml:space="preserve">MOB-L-15</t>
  </si>
  <si>
    <t xml:space="preserve">Écran 'Ajouter à mon agenda' : choix S'abonner / Télécharger</t>
  </si>
  <si>
    <t xml:space="preserve">MOB-L-16</t>
  </si>
  <si>
    <t xml:space="preserve">Feuille 'Compétitions à exporter' et compteur de matchs</t>
  </si>
  <si>
    <t xml:space="preserve">MOB-L-17</t>
  </si>
  <si>
    <t xml:space="preserve">Abonnement webcal : récupération de l'URL et feuille de confirmation</t>
  </si>
  <si>
    <t xml:space="preserve">MOB-L-18</t>
  </si>
  <si>
    <t xml:space="preserve">Échec d'ouverture du lien webcal : repli .ics et copie du lien</t>
  </si>
  <si>
    <t xml:space="preserve">MOB-L-19</t>
  </si>
  <si>
    <t xml:space="preserve">Téléchargement du fichier .ics et confirmation</t>
  </si>
  <si>
    <t xml:space="preserve">MOB-L-20</t>
  </si>
  <si>
    <t xml:space="preserve">Écran de pré-permission : accès à l'agenda de l'appareil</t>
  </si>
  <si>
    <t xml:space="preserve">MOB-L-21</t>
  </si>
  <si>
    <t xml:space="preserve">Autorisation refusée : repli .ics et accès aux réglages</t>
  </si>
  <si>
    <t xml:space="preserve">MOB-L-20, MOB-L-19</t>
  </si>
  <si>
    <t xml:space="preserve">MOB-L-22</t>
  </si>
  <si>
    <t xml:space="preserve">Ajout direct d'un match à l'agenda natif (device_calendar)</t>
  </si>
  <si>
    <t xml:space="preserve">MOB-L-20, MOB-L-11, MOB-L-14</t>
  </si>
  <si>
    <t xml:space="preserve">MOB-L-23</t>
  </si>
  <si>
    <t xml:space="preserve">Feuille 'Ajouter un match à l'agenda' (rappel, agenda, .ics)</t>
  </si>
  <si>
    <t xml:space="preserve">MOB-L-22, MOB-L-06</t>
  </si>
  <si>
    <t xml:space="preserve">MOB-L-24</t>
  </si>
  <si>
    <t xml:space="preserve">Rappels configurables</t>
  </si>
  <si>
    <t xml:space="preserve">MOB-L-14, MOB-L-11</t>
  </si>
  <si>
    <t xml:space="preserve">MOB-L-25</t>
  </si>
  <si>
    <t xml:space="preserve">Configuration native iOS/Android pour agenda et webcal</t>
  </si>
  <si>
    <t xml:space="preserve">MOB-L-26</t>
  </si>
  <si>
    <t xml:space="preserve">Sécurité et confidentialité du jeton d'abonnement</t>
  </si>
  <si>
    <t xml:space="preserve">MOB-L-27</t>
  </si>
  <si>
    <t xml:space="preserve">Routes et liens profonds du calendrier</t>
  </si>
  <si>
    <t xml:space="preserve">MOB-L-28</t>
  </si>
  <si>
    <t xml:space="preserve">Internationalisation et accessibilité du module Calendrier</t>
  </si>
  <si>
    <t xml:space="preserve">MOB-L-06, MOB-L-15</t>
  </si>
  <si>
    <t xml:space="preserve">MOB-L-29</t>
  </si>
  <si>
    <t xml:space="preserve">Tests du module Calendrier : domaine, Bloc, goldens et parcours d'export</t>
  </si>
  <si>
    <t xml:space="preserve">MOB-L-05, MOB-L-17, MOB-L-22</t>
  </si>
  <si>
    <t xml:space="preserve">MOB-D-01</t>
  </si>
  <si>
    <t xml:space="preserve">Gabarit des features games / guess_the_player et routes du hub</t>
  </si>
  <si>
    <t xml:space="preserve">MOB-D-02</t>
  </si>
  <si>
    <t xml:space="preserve">Modèles de données Guess the Player (freezed + json_serializable)</t>
  </si>
  <si>
    <t xml:space="preserve">MOB-D-03</t>
  </si>
  <si>
    <t xml:space="preserve">Datasource Chopper Guess the Player (today, attempt, history)</t>
  </si>
  <si>
    <t xml:space="preserve">MOB-D-04</t>
  </si>
  <si>
    <t xml:space="preserve">Cache Drift du défi du jour et file d'attente des tentatives</t>
  </si>
  <si>
    <t xml:space="preserve">MOB-D-05</t>
  </si>
  <si>
    <t xml:space="preserve">Repository et cas d'usage Guess the Player</t>
  </si>
  <si>
    <t xml:space="preserve">MOB-D-03, MOB-D-04</t>
  </si>
  <si>
    <t xml:space="preserve">MOB-D-06</t>
  </si>
  <si>
    <t xml:space="preserve">GuessThePlayerBloc : machine à états d'une partie</t>
  </si>
  <si>
    <t xml:space="preserve">MOB-D-07</t>
  </si>
  <si>
    <t xml:space="preserve">Statut agrégé du hub des jeux (défi du jour, quiz, niveau, historique)</t>
  </si>
  <si>
    <t xml:space="preserve">MOB-D-08</t>
  </si>
  <si>
    <t xml:space="preserve">Écran Hub des jeux</t>
  </si>
  <si>
    <t xml:space="preserve">MOB-D-07, MOB-D-01</t>
  </si>
  <si>
    <t xml:space="preserve">MOB-D-09</t>
  </si>
  <si>
    <t xml:space="preserve">Feuille « Comment jouer ? » (règles du jeu)</t>
  </si>
  <si>
    <t xml:space="preserve">MOB-D-10</t>
  </si>
  <si>
    <t xml:space="preserve">Plateau de jeu : en-tête, grille 6 x 5 et légende (début de partie)</t>
  </si>
  <si>
    <t xml:space="preserve">MOB-D-06, MOB-D-09</t>
  </si>
  <si>
    <t xml:space="preserve">MOB-D-11</t>
  </si>
  <si>
    <t xml:space="preserve">Animation de révélation des indices (retournement séquentiel)</t>
  </si>
  <si>
    <t xml:space="preserve">MOB-D-12</t>
  </si>
  <si>
    <t xml:space="preserve">Recherche de joueur avec suggestions (autocomplétion)</t>
  </si>
  <si>
    <t xml:space="preserve">MOB-D-13</t>
  </si>
  <si>
    <t xml:space="preserve">Validation et soumission d'une tentative</t>
  </si>
  <si>
    <t xml:space="preserve">MOB-D-06, MOB-D-12</t>
  </si>
  <si>
    <t xml:space="preserve">MOB-D-14</t>
  </si>
  <si>
    <t xml:space="preserve">État « dernier essai » et jauge de tentatives restantes</t>
  </si>
  <si>
    <t xml:space="preserve">MOB-D-15</t>
  </si>
  <si>
    <t xml:space="preserve">Points, série (streak) et maintien de la série</t>
  </si>
  <si>
    <t xml:space="preserve">MOB-D-16</t>
  </si>
  <si>
    <t xml:space="preserve">Écran de résultat — victoire</t>
  </si>
  <si>
    <t xml:space="preserve">MOB-D-15, MOB-D-10</t>
  </si>
  <si>
    <t xml:space="preserve">MOB-D-17</t>
  </si>
  <si>
    <t xml:space="preserve">Écran de résultat — défaite avec révélation</t>
  </si>
  <si>
    <t xml:space="preserve">MOB-D-18</t>
  </si>
  <si>
    <t xml:space="preserve">Génération de l'image de résultat et du texte de partage</t>
  </si>
  <si>
    <t xml:space="preserve">MOB-D-19</t>
  </si>
  <si>
    <t xml:space="preserve">Feuille de partage (WhatsApp, Instagram, Copier, Image)</t>
  </si>
  <si>
    <t xml:space="preserve">MOB-D-20</t>
  </si>
  <si>
    <t xml:space="preserve">Écran « Déjà joué » avec compte à rebours vers le prochain défi</t>
  </si>
  <si>
    <t xml:space="preserve">MOB-D-07, MOB-D-16</t>
  </si>
  <si>
    <t xml:space="preserve">MOB-D-21</t>
  </si>
  <si>
    <t xml:space="preserve">Changement de jour (minuit) et fuseau de référence du défi</t>
  </si>
  <si>
    <t xml:space="preserve">MOB-D-22</t>
  </si>
  <si>
    <t xml:space="preserve">Hors-ligne : tentative en attente et bandeau « connexion perdue »</t>
  </si>
  <si>
    <t xml:space="preserve">MOB-D-04, MOB-D-06, MOB-D-10</t>
  </si>
  <si>
    <t xml:space="preserve">MOB-D-23</t>
  </si>
  <si>
    <t xml:space="preserve">Calcul et chargement des statistiques personnelles</t>
  </si>
  <si>
    <t xml:space="preserve">MOB-D-24</t>
  </si>
  <si>
    <t xml:space="preserve">Écran Historique et statistiques du jeu</t>
  </si>
  <si>
    <t xml:space="preserve">MOB-D-25</t>
  </si>
  <si>
    <t xml:space="preserve">Sécurité du jeu : aucune fuite de la solution côté client</t>
  </si>
  <si>
    <t xml:space="preserve">MOB-D-02, MOB-D-18</t>
  </si>
  <si>
    <t xml:space="preserve">MOB-D-26</t>
  </si>
  <si>
    <t xml:space="preserve">Accessibilité du plateau (couleurs + formes + lecteur d'écran)</t>
  </si>
  <si>
    <t xml:space="preserve">MOB-D-27</t>
  </si>
  <si>
    <t xml:space="preserve">Performance de l'autocomplétion et des images joueurs</t>
  </si>
  <si>
    <t xml:space="preserve">MOB-D-28</t>
  </si>
  <si>
    <t xml:space="preserve">Événements analytics du jeu Guess the Player</t>
  </si>
  <si>
    <t xml:space="preserve">MOB-D-29</t>
  </si>
  <si>
    <t xml:space="preserve">Internationalisation FR/EN/ES du hub et de Guess the Player</t>
  </si>
  <si>
    <t xml:space="preserve">MOB-D-30</t>
  </si>
  <si>
    <t xml:space="preserve">Tests d'intégration et golden du parcours Guess the Player</t>
  </si>
  <si>
    <t xml:space="preserve">MOB-D-10, MOB-D-16, MOB-D-17, MOB-D-20, MOB-D-22, MOB-D-24</t>
  </si>
  <si>
    <t xml:space="preserve">MOB-E-01</t>
  </si>
  <si>
    <t xml:space="preserve">Gabarit de la feature quiz et routes</t>
  </si>
  <si>
    <t xml:space="preserve">MOB-E-02</t>
  </si>
  <si>
    <t xml:space="preserve">Modèles de données du quiz (freezed + json_serializable)</t>
  </si>
  <si>
    <t xml:space="preserve">MOB-E-03</t>
  </si>
  <si>
    <t xml:space="preserve">Datasource Chopper du quiz (daily, practice, answer, leaderboard)</t>
  </si>
  <si>
    <t xml:space="preserve">MOB-E-04</t>
  </si>
  <si>
    <t xml:space="preserve">Persistance Drift : quiz du jour, session en cours et réponses en attente</t>
  </si>
  <si>
    <t xml:space="preserve">MOB-E-05</t>
  </si>
  <si>
    <t xml:space="preserve">Repository et cas d'usage du quiz</t>
  </si>
  <si>
    <t xml:space="preserve">MOB-E-03, MOB-E-04</t>
  </si>
  <si>
    <t xml:space="preserve">MOB-E-06</t>
  </si>
  <si>
    <t xml:space="preserve">QuizSessionBloc : déroulé d'une session (jour et entraînement)</t>
  </si>
  <si>
    <t xml:space="preserve">MOB-E-07</t>
  </si>
  <si>
    <t xml:space="preserve">Minuteur de question robuste (30 s)</t>
  </si>
  <si>
    <t xml:space="preserve">MOB-E-08</t>
  </si>
  <si>
    <t xml:space="preserve">Points de session et progression vers le palier suivant</t>
  </si>
  <si>
    <t xml:space="preserve">MOB-E-09</t>
  </si>
  <si>
    <t xml:space="preserve">Écran Hub du quiz (niveau, quiz du jour, paliers)</t>
  </si>
  <si>
    <t xml:space="preserve">MOB-E-08, MOB-E-01</t>
  </si>
  <si>
    <t xml:space="preserve">MOB-E-10</t>
  </si>
  <si>
    <t xml:space="preserve">Quiz du jour — introduction</t>
  </si>
  <si>
    <t xml:space="preserve">MOB-E-11</t>
  </si>
  <si>
    <t xml:space="preserve">Chargement des questions</t>
  </si>
  <si>
    <t xml:space="preserve">MOB-E-12</t>
  </si>
  <si>
    <t xml:space="preserve">Quiz du jour déjà joué</t>
  </si>
  <si>
    <t xml:space="preserve">MOB-E-09, MOB-E-08</t>
  </si>
  <si>
    <t xml:space="preserve">MOB-E-13</t>
  </si>
  <si>
    <t xml:space="preserve">Écran Question (composant partagé jour / entraînement)</t>
  </si>
  <si>
    <t xml:space="preserve">MOB-E-06, MOB-E-07</t>
  </si>
  <si>
    <t xml:space="preserve">MOB-E-14</t>
  </si>
  <si>
    <t xml:space="preserve">État « réponse sélectionnée » (avant validation)</t>
  </si>
  <si>
    <t xml:space="preserve">MOB-E-15</t>
  </si>
  <si>
    <t xml:space="preserve">État « temps presque écoulé »</t>
  </si>
  <si>
    <t xml:space="preserve">MOB-E-07, MOB-E-13</t>
  </si>
  <si>
    <t xml:space="preserve">MOB-E-16</t>
  </si>
  <si>
    <t xml:space="preserve">Bonne réponse et explication</t>
  </si>
  <si>
    <t xml:space="preserve">MOB-E-17</t>
  </si>
  <si>
    <t xml:space="preserve">Mauvaise réponse, temps écoulé et explication</t>
  </si>
  <si>
    <t xml:space="preserve">MOB-E-18</t>
  </si>
  <si>
    <t xml:space="preserve">Animation de transition entre questions</t>
  </si>
  <si>
    <t xml:space="preserve">MOB-E-19</t>
  </si>
  <si>
    <t xml:space="preserve">Écran Résultat de la session</t>
  </si>
  <si>
    <t xml:space="preserve">MOB-E-08, MOB-E-17</t>
  </si>
  <si>
    <t xml:space="preserve">MOB-E-20</t>
  </si>
  <si>
    <t xml:space="preserve">Revoir les explications de la session</t>
  </si>
  <si>
    <t xml:space="preserve">MOB-E-21</t>
  </si>
  <si>
    <t xml:space="preserve">Modale « Niveau supérieur ! »</t>
  </si>
  <si>
    <t xml:space="preserve">MOB-E-22</t>
  </si>
  <si>
    <t xml:space="preserve">Modale « On ajuste le tir » (retour au palier inférieur)</t>
  </si>
  <si>
    <t xml:space="preserve">MOB-E-23</t>
  </si>
  <si>
    <t xml:space="preserve">Entraînement libre — configuration</t>
  </si>
  <si>
    <t xml:space="preserve">MOB-E-24</t>
  </si>
  <si>
    <t xml:space="preserve">Règles de l'entraînement libre : sans impact et illimité</t>
  </si>
  <si>
    <t xml:space="preserve">MOB-E-23, MOB-E-19</t>
  </si>
  <si>
    <t xml:space="preserve">MOB-E-25</t>
  </si>
  <si>
    <t xml:space="preserve">QuizLeaderboardCubit : classements monde / amis / périodes</t>
  </si>
  <si>
    <t xml:space="preserve">MOB-E-26</t>
  </si>
  <si>
    <t xml:space="preserve">Classement mondial (podium + liste)</t>
  </si>
  <si>
    <t xml:space="preserve">MOB-E-27</t>
  </si>
  <si>
    <t xml:space="preserve">Classement entre amis (ligue privée)</t>
  </si>
  <si>
    <t xml:space="preserve">MOB-E-25, MOB-E-26</t>
  </si>
  <si>
    <t xml:space="preserve">MOB-E-28</t>
  </si>
  <si>
    <t xml:space="preserve">Inviter des amis (code et lien)</t>
  </si>
  <si>
    <t xml:space="preserve">MOB-E-29</t>
  </si>
  <si>
    <t xml:space="preserve">Rejoindre une ligue avec un code</t>
  </si>
  <si>
    <t xml:space="preserve">MOB-E-30</t>
  </si>
  <si>
    <t xml:space="preserve">Reprise de session et perte de réseau pendant le quiz</t>
  </si>
  <si>
    <t xml:space="preserve">MOB-E-06, MOB-E-04</t>
  </si>
  <si>
    <t xml:space="preserve">MOB-E-31</t>
  </si>
  <si>
    <t xml:space="preserve">Sécurité du quiz : pas de bonne réponse côté client, intégrité du score</t>
  </si>
  <si>
    <t xml:space="preserve">MOB-E-32</t>
  </si>
  <si>
    <t xml:space="preserve">Accessibilité du quiz (lecteur d'écran, minuteur, contrastes)</t>
  </si>
  <si>
    <t xml:space="preserve">MOB-E-13, MOB-E-17</t>
  </si>
  <si>
    <t xml:space="preserve">MOB-E-33</t>
  </si>
  <si>
    <t xml:space="preserve">Internationalisation FR/EN/ES du quiz et des classements</t>
  </si>
  <si>
    <t xml:space="preserve">MOB-E-34</t>
  </si>
  <si>
    <t xml:space="preserve">Tests d'intégration et golden du quiz</t>
  </si>
  <si>
    <t xml:space="preserve">MOB-E-19, MOB-E-22, MOB-E-23, MOB-E-27, MOB-E-29, MOB-E-12</t>
  </si>
  <si>
    <t xml:space="preserve">MOB-N-01</t>
  </si>
  <si>
    <t xml:space="preserve">Modèles et entités du chat (conversation, message, bloc, action, source)</t>
  </si>
  <si>
    <t xml:space="preserve">MOB-N-02</t>
  </si>
  <si>
    <t xml:space="preserve">Datasource Chopper, repository et use cases de l'assistant</t>
  </si>
  <si>
    <t xml:space="preserve">MOB-N-03</t>
  </si>
  <si>
    <t xml:space="preserve">Client SSE pour la réponse en streaming (machine à écrire)</t>
  </si>
  <si>
    <t xml:space="preserve">MOB-N-04</t>
  </si>
  <si>
    <t xml:space="preserve">Cache Drift des conversations et file des messages en attente</t>
  </si>
  <si>
    <t xml:space="preserve">MOB-N-05</t>
  </si>
  <si>
    <t xml:space="preserve">AssistantChatBloc : envoi, streaming, erreurs, quota, file hors-ligne</t>
  </si>
  <si>
    <t xml:space="preserve">MOB-N-02, MOB-N-03, MOB-N-04</t>
  </si>
  <si>
    <t xml:space="preserve">MOB-N-06</t>
  </si>
  <si>
    <t xml:space="preserve">Bulle flottante AssistantFab et message de découverte</t>
  </si>
  <si>
    <t xml:space="preserve">MOB-N-07</t>
  </si>
  <si>
    <t xml:space="preserve">Bottom sheet de chat et état « nouvelle conversation »</t>
  </si>
  <si>
    <t xml:space="preserve">MOB-N-05, MOB-N-06</t>
  </si>
  <si>
    <t xml:space="preserve">MOB-N-08</t>
  </si>
  <si>
    <t xml:space="preserve">Zone de saisie : envoi, pause, limites et brouillon</t>
  </si>
  <si>
    <t xml:space="preserve">MOB-N-09</t>
  </si>
  <si>
    <t xml:space="preserve">Fil de messages : bulles utilisateur/assistant et rendu texte riche</t>
  </si>
  <si>
    <t xml:space="preserve">MOB-N-10</t>
  </si>
  <si>
    <t xml:space="preserve">Réponse sourcée : puces de sources et suggestion de suite (N-03)</t>
  </si>
  <si>
    <t xml:space="preserve">MOB-N-11</t>
  </si>
  <si>
    <t xml:space="preserve">Réponse en cours : effet machine à écrire, curseur et arrêt (N-04)</t>
  </si>
  <si>
    <t xml:space="preserve">MOB-N-09, MOB-N-03, MOB-N-08</t>
  </si>
  <si>
    <t xml:space="preserve">MOB-N-12</t>
  </si>
  <si>
    <t xml:space="preserve">Boutons d'action dans les réponses et routeur d'actions (N-05)</t>
  </si>
  <si>
    <t xml:space="preserve">MOB-N-09, MOB-N-01</t>
  </si>
  <si>
    <t xml:space="preserve">MOB-N-13</t>
  </si>
  <si>
    <t xml:space="preserve">Carte joueur dans une réponse (N-06)</t>
  </si>
  <si>
    <t xml:space="preserve">MOB-N-14</t>
  </si>
  <si>
    <t xml:space="preserve">Réponses en anglais et en espagnol : puces de langue et de données (N-07, N-08)</t>
  </si>
  <si>
    <t xml:space="preserve">MOB-N-15</t>
  </si>
  <si>
    <t xml:space="preserve">Question hors périmètre : recadrage courtois et suggestions (N-09)</t>
  </si>
  <si>
    <t xml:space="preserve">MOB-N-09, MOB-N-12</t>
  </si>
  <si>
    <t xml:space="preserve">MOB-N-16</t>
  </si>
  <si>
    <t xml:space="preserve">Message bloqué par la modération (N-10)</t>
  </si>
  <si>
    <t xml:space="preserve">MOB-N-17</t>
  </si>
  <si>
    <t xml:space="preserve">Information introuvable : transparence et alternative (N-11)</t>
  </si>
  <si>
    <t xml:space="preserve">MOB-N-18</t>
  </si>
  <si>
    <t xml:space="preserve">Erreur d'envoi : état « Échec de l'envoi · Réessayer » (N-12)</t>
  </si>
  <si>
    <t xml:space="preserve">MOB-N-05, MOB-N-09</t>
  </si>
  <si>
    <t xml:space="preserve">MOB-N-19</t>
  </si>
  <si>
    <t xml:space="preserve">État hors-ligne : envoi impossible et message conservé (N-13)</t>
  </si>
  <si>
    <t xml:space="preserve">MOB-N-05, MOB-N-04</t>
  </si>
  <si>
    <t xml:space="preserve">MOB-N-20</t>
  </si>
  <si>
    <t xml:space="preserve">Quota quotidien de messages atteint (N-14)</t>
  </si>
  <si>
    <t xml:space="preserve">MOB-N-05, MOB-N-08</t>
  </si>
  <si>
    <t xml:space="preserve">MOB-N-21</t>
  </si>
  <si>
    <t xml:space="preserve">Écran Historique des conversations (N-15)</t>
  </si>
  <si>
    <t xml:space="preserve">MOB-N-02, MOB-N-04</t>
  </si>
  <si>
    <t xml:space="preserve">MOB-N-22</t>
  </si>
  <si>
    <t xml:space="preserve">Recherche dans l'historique des conversations</t>
  </si>
  <si>
    <t xml:space="preserve">MOB-N-23</t>
  </si>
  <si>
    <t xml:space="preserve">Reprise d'une conversation et synchronisation multi-appareils</t>
  </si>
  <si>
    <t xml:space="preserve">MOB-N-05, MOB-N-21</t>
  </si>
  <si>
    <t xml:space="preserve">MOB-N-24</t>
  </si>
  <si>
    <t xml:space="preserve">Sécurité du rendu : sorties du modèle, injections et données personnelles</t>
  </si>
  <si>
    <t xml:space="preserve">MOB-N-25</t>
  </si>
  <si>
    <t xml:space="preserve">Tests de contrat des garde-fous du prompt système (fixtures)</t>
  </si>
  <si>
    <t xml:space="preserve">MOB-N-15, MOB-N-16, MOB-N-17, MOB-N-14, MOB-N-20</t>
  </si>
  <si>
    <t xml:space="preserve">MOB-N-26</t>
  </si>
  <si>
    <t xml:space="preserve">Cycle de vie : arrière-plan, reprise et notifications de réponse</t>
  </si>
  <si>
    <t xml:space="preserve">MOB-N-27</t>
  </si>
  <si>
    <t xml:space="preserve">Internationalisation de l'assistant (ARB fr/en/es, Accept-Language, dates)</t>
  </si>
  <si>
    <t xml:space="preserve">MOB-N-28</t>
  </si>
  <si>
    <t xml:space="preserve">Accessibilité du chat : lecteurs d'écran, texte agrandi, mouvement réduit</t>
  </si>
  <si>
    <t xml:space="preserve">MOB-N-11, MOB-N-20, MOB-N-21</t>
  </si>
  <si>
    <t xml:space="preserve">MOB-N-29</t>
  </si>
  <si>
    <t xml:space="preserve">Performance du fil de chat et de l'historique</t>
  </si>
  <si>
    <t xml:space="preserve">MOB-N-11, MOB-N-21</t>
  </si>
  <si>
    <t xml:space="preserve">MOB-N-30</t>
  </si>
  <si>
    <t xml:space="preserve">Analytics anonymes de l'assistant (usage et qualité)</t>
  </si>
  <si>
    <t xml:space="preserve">MOB-N-31</t>
  </si>
  <si>
    <t xml:space="preserve">Tests d'intégration et golden du parcours Assistant</t>
  </si>
  <si>
    <t xml:space="preserve">MOB-N-05, MOB-N-06, MOB-N-07, MOB-N-11, MOB-N-10, MOB-N-12, MOB-N-13, MOB-N-14, MOB-N-15, MOB-N-16, MOB-N-17, MOB-N-18, MOB-N-19, MOB-N-20, MOB-N-21</t>
  </si>
  <si>
    <t xml:space="preserve">MOB-O-01</t>
  </si>
  <si>
    <t xml:space="preserve">Gabarit de la feature notifications et routes</t>
  </si>
  <si>
    <t xml:space="preserve">MOB-O-02</t>
  </si>
  <si>
    <t xml:space="preserve">Modèles de données : préférences, notification, jeton d'appareil</t>
  </si>
  <si>
    <t xml:space="preserve">MOB-O-03</t>
  </si>
  <si>
    <t xml:space="preserve">Datasource Chopper des notifications (préférences, boîte de réception, jetons)</t>
  </si>
  <si>
    <t xml:space="preserve">MOB-O-04</t>
  </si>
  <si>
    <t xml:space="preserve">Cache Drift de la boîte de réception et des préférences</t>
  </si>
  <si>
    <t xml:space="preserve">MOB-O-05</t>
  </si>
  <si>
    <t xml:space="preserve">Repository et cas d'usage des notifications</t>
  </si>
  <si>
    <t xml:space="preserve">MOB-O-03, MOB-O-04</t>
  </si>
  <si>
    <t xml:space="preserve">MOB-O-06</t>
  </si>
  <si>
    <t xml:space="preserve">NotificationPreferencesCubit : mises à jour optimistes et synchronisation</t>
  </si>
  <si>
    <t xml:space="preserve">MOB-O-07</t>
  </si>
  <si>
    <t xml:space="preserve">Centre de préférences de notification</t>
  </si>
  <si>
    <t xml:space="preserve">MOB-O-08</t>
  </si>
  <si>
    <t xml:space="preserve">Détail — rappels de match</t>
  </si>
  <si>
    <t xml:space="preserve">MOB-O-09</t>
  </si>
  <si>
    <t xml:space="preserve">Détail — série en danger (activation et heure du rappel)</t>
  </si>
  <si>
    <t xml:space="preserve">MOB-O-10</t>
  </si>
  <si>
    <t xml:space="preserve">Heures calmes (plage horaire et jours)</t>
  </si>
  <si>
    <t xml:space="preserve">MOB-O-11</t>
  </si>
  <si>
    <t xml:space="preserve">Règles des heures calmes, fuseau horaire et exceptions live</t>
  </si>
  <si>
    <t xml:space="preserve">MOB-O-12</t>
  </si>
  <si>
    <t xml:space="preserve">Enregistrement et renouvellement du jeton FCM</t>
  </si>
  <si>
    <t xml:space="preserve">MOB-O-13</t>
  </si>
  <si>
    <t xml:space="preserve">Permission de notifications : écran d'explication (priming) et demande contextuelle</t>
  </si>
  <si>
    <t xml:space="preserve">MOB-O-14</t>
  </si>
  <si>
    <t xml:space="preserve">État « Notifications désactivées » et réactivation</t>
  </si>
  <si>
    <t xml:space="preserve">MOB-O-13, MOB-O-07</t>
  </si>
  <si>
    <t xml:space="preserve">MOB-O-15</t>
  </si>
  <si>
    <t xml:space="preserve">NotificationInboxCubit : liste, filtres, pagination, lecture</t>
  </si>
  <si>
    <t xml:space="preserve">MOB-O-16</t>
  </si>
  <si>
    <t xml:space="preserve">Boîte de réception des notifications</t>
  </si>
  <si>
    <t xml:space="preserve">MOB-O-15, MOB-O-18</t>
  </si>
  <si>
    <t xml:space="preserve">MOB-O-17</t>
  </si>
  <si>
    <t xml:space="preserve">Boîte de réception vide</t>
  </si>
  <si>
    <t xml:space="preserve">MOB-O-18</t>
  </si>
  <si>
    <t xml:space="preserve">Routage des notifications par deep link (premier plan, arrière-plan, app fermée)</t>
  </si>
  <si>
    <t xml:space="preserve">MOB-O-19</t>
  </si>
  <si>
    <t xml:space="preserve">Réception FCM : premier plan, arrière-plan, app fermée et canaux Android</t>
  </si>
  <si>
    <t xml:space="preserve">MOB-O-12, MOB-O-18</t>
  </si>
  <si>
    <t xml:space="preserve">MOB-O-20</t>
  </si>
  <si>
    <t xml:space="preserve">Notification système : rappel de match (écran verrouillé)</t>
  </si>
  <si>
    <t xml:space="preserve">MOB-O-19, MOB-O-11</t>
  </si>
  <si>
    <t xml:space="preserve">MOB-O-21</t>
  </si>
  <si>
    <t xml:space="preserve">Notifications système : série, anniversaire, communauté, résultat final</t>
  </si>
  <si>
    <t xml:space="preserve">MOB-O-22</t>
  </si>
  <si>
    <t xml:space="preserve">Bannière de notification dans l'application (premier plan)</t>
  </si>
  <si>
    <t xml:space="preserve">MOB-O-23</t>
  </si>
  <si>
    <t xml:space="preserve">Compteur de non-lus : cloche du dashboard et badge d'icône</t>
  </si>
  <si>
    <t xml:space="preserve">MOB-O-24</t>
  </si>
  <si>
    <t xml:space="preserve">Consentement aux notifications push (RGPD) et révocation</t>
  </si>
  <si>
    <t xml:space="preserve">MOB-O-12, MOB-O-06</t>
  </si>
  <si>
    <t xml:space="preserve">MOB-O-25</t>
  </si>
  <si>
    <t xml:space="preserve">Sécurité des notifications : contenu, deep links et confidentialité écran verrouillé</t>
  </si>
  <si>
    <t xml:space="preserve">MOB-O-26</t>
  </si>
  <si>
    <t xml:space="preserve">Accessibilité des préférences et de la boîte de réception</t>
  </si>
  <si>
    <t xml:space="preserve">MOB-O-16, MOB-O-10</t>
  </si>
  <si>
    <t xml:space="preserve">MOB-O-27</t>
  </si>
  <si>
    <t xml:space="preserve">Internationalisation FR/EN/ES des notifications</t>
  </si>
  <si>
    <t xml:space="preserve">MOB-O-28</t>
  </si>
  <si>
    <t xml:space="preserve">Tests d'intégration et golden des notifications</t>
  </si>
  <si>
    <t xml:space="preserve">MOB-O-16, MOB-O-17, MOB-O-14, MOB-O-22, MOB-O-21, MOB-O-09, MOB-O-08</t>
  </si>
  <si>
    <t xml:space="preserve">MOB-G-01</t>
  </si>
  <si>
    <t xml:space="preserve">Modèles de données du comparateur GOAT</t>
  </si>
  <si>
    <t xml:space="preserve">MOB-G-02</t>
  </si>
  <si>
    <t xml:space="preserve">Datasource Chopper du comparateur GOAT (compare, vote, duels populaires)</t>
  </si>
  <si>
    <t xml:space="preserve">MOB-G-03</t>
  </si>
  <si>
    <t xml:space="preserve">Repository et use cases GOAT (comparer, voter, joueurs, duels)</t>
  </si>
  <si>
    <t xml:space="preserve">MOB-G-04</t>
  </si>
  <si>
    <t xml:space="preserve">GoatComparatorBloc : sélection, résultat, vote</t>
  </si>
  <si>
    <t xml:space="preserve">MOB-G-05</t>
  </si>
  <si>
    <t xml:space="preserve">Comparateur GOAT : sélection vide et duels populaires</t>
  </si>
  <si>
    <t xml:space="preserve">MOB-G-06</t>
  </si>
  <si>
    <t xml:space="preserve">Comparateur GOAT : un joueur choisi</t>
  </si>
  <si>
    <t xml:space="preserve">MOB-G-07</t>
  </si>
  <si>
    <t xml:space="preserve">Sélecteur de joueur (recherche, filtres Tous / Légendes / Effectif actuel)</t>
  </si>
  <si>
    <t xml:space="preserve">MOB-G-08</t>
  </si>
  <si>
    <t xml:space="preserve">Validations de la sélection et gestion des cas limites du duel</t>
  </si>
  <si>
    <t xml:space="preserve">MOB-G-09</t>
  </si>
  <si>
    <t xml:space="preserve">Résultat : statistiques croisées et invitation à voter</t>
  </si>
  <si>
    <t xml:space="preserve">MOB-G-10</t>
  </si>
  <si>
    <t xml:space="preserve">Résultat : profil radar et évolution des buts par saison</t>
  </si>
  <si>
    <t xml:space="preserve">MOB-G-11</t>
  </si>
  <si>
    <t xml:space="preserve">Vote GOAT : envoi, mise à jour optimiste et règle hebdomadaire</t>
  </si>
  <si>
    <t xml:space="preserve">MOB-G-04, MOB-G-09</t>
  </si>
  <si>
    <t xml:space="preserve">MOB-G-12</t>
  </si>
  <si>
    <t xml:space="preserve">Vote enregistré : résultat de la communauté et toast</t>
  </si>
  <si>
    <t xml:space="preserve">MOB-G-13</t>
  </si>
  <si>
    <t xml:space="preserve">Vote déjà effectué : modal d'erreur 409</t>
  </si>
  <si>
    <t xml:space="preserve">MOB-G-14</t>
  </si>
  <si>
    <t xml:space="preserve">Partage du duel GOAT</t>
  </si>
  <si>
    <t xml:space="preserve">MOB-G-15</t>
  </si>
  <si>
    <t xml:space="preserve">États d'erreur et hors-ligne du comparateur</t>
  </si>
  <si>
    <t xml:space="preserve">MOB-G-16</t>
  </si>
  <si>
    <t xml:space="preserve">Internationalisation et accessibilité du comparateur GOAT</t>
  </si>
  <si>
    <t xml:space="preserve">MOB-G-09, MOB-G-05</t>
  </si>
  <si>
    <t xml:space="preserve">MOB-G-17</t>
  </si>
  <si>
    <t xml:space="preserve">Tests du module GOAT : domaine, Bloc, goldens et parcours</t>
  </si>
  <si>
    <t xml:space="preserve">MOB-G-04, MOB-G-11</t>
  </si>
  <si>
    <t xml:space="preserve">MOB-H-01</t>
  </si>
  <si>
    <t xml:space="preserve">Entités et modèles JSON Fantasy (équipe, sélection, journée, score)</t>
  </si>
  <si>
    <t xml:space="preserve">MOB-H-02</t>
  </si>
  <si>
    <t xml:space="preserve">Service Chopper FantasyApi et gestion d'erreurs (409, 422, 403)</t>
  </si>
  <si>
    <t xml:space="preserve">MOB-H-03</t>
  </si>
  <si>
    <t xml:space="preserve">Repository Fantasy avec cache Drift (cache-then-network)</t>
  </si>
  <si>
    <t xml:space="preserve">MOB-H-04</t>
  </si>
  <si>
    <t xml:space="preserve">Cas d'usage Fantasy (get/save équipe, classement, barème)</t>
  </si>
  <si>
    <t xml:space="preserve">MOB-H-05</t>
  </si>
  <si>
    <t xml:space="preserve">Règles des formations et affectation des postes</t>
  </si>
  <si>
    <t xml:space="preserve">MOB-H-06</t>
  </si>
  <si>
    <t xml:space="preserve">FantasyTeamBloc : événements, états et transitions</t>
  </si>
  <si>
    <t xml:space="preserve">MOB-H-04, MOB-H-05</t>
  </si>
  <si>
    <t xml:space="preserve">MOB-H-07</t>
  </si>
  <si>
    <t xml:space="preserve">Coque Fantasy : en-tête, onglets Mon équipe / Classement / Règles et route</t>
  </si>
  <si>
    <t xml:space="preserve">MOB-H-08</t>
  </si>
  <si>
    <t xml:space="preserve">Compte à rebours de fermeture des compositions et verrouillage</t>
  </si>
  <si>
    <t xml:space="preserve">MOB-H-09</t>
  </si>
  <si>
    <t xml:space="preserve">Accueil Fantasy : carte 'Compose ton XI', ma saison et dernières journées</t>
  </si>
  <si>
    <t xml:space="preserve">MOB-H-07, MOB-H-08, MOB-H-03</t>
  </si>
  <si>
    <t xml:space="preserve">MOB-H-10</t>
  </si>
  <si>
    <t xml:space="preserve">Widget terrain interactif (pelouse, joueurs, capitaine)</t>
  </si>
  <si>
    <t xml:space="preserve">MOB-H-11</t>
  </si>
  <si>
    <t xml:space="preserve">Drag &amp; drop et échange de joueurs sur le terrain</t>
  </si>
  <si>
    <t xml:space="preserve">MOB-H-10, MOB-H-06</t>
  </si>
  <si>
    <t xml:space="preserve">MOB-H-12</t>
  </si>
  <si>
    <t xml:space="preserve">Composition à compléter : compteur 7/11 et slots vides</t>
  </si>
  <si>
    <t xml:space="preserve">MOB-H-13</t>
  </si>
  <si>
    <t xml:space="preserve">Feuille de choix de la formation</t>
  </si>
  <si>
    <t xml:space="preserve">MOB-H-05, MOB-H-10</t>
  </si>
  <si>
    <t xml:space="preserve">MOB-H-14</t>
  </si>
  <si>
    <t xml:space="preserve">Feuille de sélection d'un joueur par poste</t>
  </si>
  <si>
    <t xml:space="preserve">MOB-H-15, MOB-H-06</t>
  </si>
  <si>
    <t xml:space="preserve">MOB-H-15</t>
  </si>
  <si>
    <t xml:space="preserve">Recherche et filtres de la liste de joueurs (Milieux / Tous / Forme)</t>
  </si>
  <si>
    <t xml:space="preserve">MOB-H-16</t>
  </si>
  <si>
    <t xml:space="preserve">Choix du capitaine (feuille et badge C)</t>
  </si>
  <si>
    <t xml:space="preserve">MOB-H-17</t>
  </si>
  <si>
    <t xml:space="preserve">Modale de confirmation de la composition</t>
  </si>
  <si>
    <t xml:space="preserve">MOB-H-06, MOB-H-16</t>
  </si>
  <si>
    <t xml:space="preserve">MOB-H-18</t>
  </si>
  <si>
    <t xml:space="preserve">Retour de succès : composition enregistrée (toast)</t>
  </si>
  <si>
    <t xml:space="preserve">MOB-H-19</t>
  </si>
  <si>
    <t xml:space="preserve">Composition verrouillée : erreur 409 et points en direct</t>
  </si>
  <si>
    <t xml:space="preserve">MOB-H-06, MOB-H-08</t>
  </si>
  <si>
    <t xml:space="preserve">MOB-H-20</t>
  </si>
  <si>
    <t xml:space="preserve">Résultat de la journée : points par joueur</t>
  </si>
  <si>
    <t xml:space="preserve">MOB-H-21</t>
  </si>
  <si>
    <t xml:space="preserve">Détail des points d'un joueur (feuille)</t>
  </si>
  <si>
    <t xml:space="preserve">MOB-H-20, MOB-H-24</t>
  </si>
  <si>
    <t xml:space="preserve">MOB-H-22</t>
  </si>
  <si>
    <t xml:space="preserve">Classement entre amis avec ligne 'Toi'</t>
  </si>
  <si>
    <t xml:space="preserve">MOB-H-03, MOB-H-25</t>
  </si>
  <si>
    <t xml:space="preserve">MOB-H-23</t>
  </si>
  <si>
    <t xml:space="preserve">Classement mondial et filtre 'Cette journée'</t>
  </si>
  <si>
    <t xml:space="preserve">MOB-H-24</t>
  </si>
  <si>
    <t xml:space="preserve">Écran Règles : barème des points et capitaine</t>
  </si>
  <si>
    <t xml:space="preserve">MOB-H-25</t>
  </si>
  <si>
    <t xml:space="preserve">Ligues entre amis : création, code et rejoindre</t>
  </si>
  <si>
    <t xml:space="preserve">MOB-H-26</t>
  </si>
  <si>
    <t xml:space="preserve">Feuille 'Ligue entre amis' (créer ou rejoindre)</t>
  </si>
  <si>
    <t xml:space="preserve">MOB-H-27</t>
  </si>
  <si>
    <t xml:space="preserve">État vide : pas encore d'équipe</t>
  </si>
  <si>
    <t xml:space="preserve">MOB-H-06, MOB-H-07</t>
  </si>
  <si>
    <t xml:space="preserve">MOB-H-28</t>
  </si>
  <si>
    <t xml:space="preserve">État module désactivé (Bientôt disponible)</t>
  </si>
  <si>
    <t xml:space="preserve">MOB-H-29</t>
  </si>
  <si>
    <t xml:space="preserve">Brouillon de composition et reprise hors-ligne</t>
  </si>
  <si>
    <t xml:space="preserve">MOB-H-03, MOB-H-06</t>
  </si>
  <si>
    <t xml:space="preserve">MOB-H-30</t>
  </si>
  <si>
    <t xml:space="preserve">Carte FantasyPreviewCard du dashboard et navigation</t>
  </si>
  <si>
    <t xml:space="preserve">MOB-H-31</t>
  </si>
  <si>
    <t xml:space="preserve">Animations et transitions du Fantasy</t>
  </si>
  <si>
    <t xml:space="preserve">MOB-H-10, MOB-H-20</t>
  </si>
  <si>
    <t xml:space="preserve">MOB-H-32</t>
  </si>
  <si>
    <t xml:space="preserve">Accessibilité du module Fantasy</t>
  </si>
  <si>
    <t xml:space="preserve">MOB-H-10, MOB-H-22</t>
  </si>
  <si>
    <t xml:space="preserve">MOB-H-33</t>
  </si>
  <si>
    <t xml:space="preserve">Internationalisation FR/EN/ES du Fantasy</t>
  </si>
  <si>
    <t xml:space="preserve">MOB-H-34</t>
  </si>
  <si>
    <t xml:space="preserve">Tests widgets et golden du Fantasy (clair/sombre)</t>
  </si>
  <si>
    <t xml:space="preserve">MOB-H-09, MOB-H-10, MOB-H-20, MOB-H-22</t>
  </si>
  <si>
    <t xml:space="preserve">MOB-H-35</t>
  </si>
  <si>
    <t xml:space="preserve">Test d'intégration : composer, confirmer, verrouiller</t>
  </si>
  <si>
    <t xml:space="preserve">MOB-H-17, MOB-H-19, MOB-H-29</t>
  </si>
  <si>
    <t xml:space="preserve">MOB-J-01</t>
  </si>
  <si>
    <t xml:space="preserve">Modèles et entités domaine de la carte communautaire</t>
  </si>
  <si>
    <t xml:space="preserve">MOB-J-02</t>
  </si>
  <si>
    <t xml:space="preserve">Datasource Chopper et repository des agrégats de carte</t>
  </si>
  <si>
    <t xml:space="preserve">MOB-J-03</t>
  </si>
  <si>
    <t xml:space="preserve">Use case de recherche pays / ville et suggestions</t>
  </si>
  <si>
    <t xml:space="preserve">MOB-J-04</t>
  </si>
  <si>
    <t xml:space="preserve">CommunityMapBloc : événements, états et transitions</t>
  </si>
  <si>
    <t xml:space="preserve">MOB-J-02, MOB-J-05</t>
  </si>
  <si>
    <t xml:space="preserve">MOB-J-05</t>
  </si>
  <si>
    <t xml:space="preserve">Cache local Drift des agrégats et mode dégradé hors-ligne</t>
  </si>
  <si>
    <t xml:space="preserve">MOB-J-06</t>
  </si>
  <si>
    <t xml:space="preserve">Écran Carte du monde (onglet Communauté)</t>
  </si>
  <si>
    <t xml:space="preserve">MOB-J-04, MOB-J-07, MOB-J-09</t>
  </si>
  <si>
    <t xml:space="preserve">MOB-J-07</t>
  </si>
  <si>
    <t xml:space="preserve">Rendu des clusters, groupes et zone de l'utilisateur sur la carte</t>
  </si>
  <si>
    <t xml:space="preserve">MOB-J-08</t>
  </si>
  <si>
    <t xml:space="preserve">Granularité par zoom, déplacement de caméra et requêtes d'agrégats</t>
  </si>
  <si>
    <t xml:space="preserve">MOB-J-09</t>
  </si>
  <si>
    <t xml:space="preserve">Filtres de la carte : Tous, Groupes, Watch parties, Près de moi</t>
  </si>
  <si>
    <t xml:space="preserve">MOB-J-10</t>
  </si>
  <si>
    <t xml:space="preserve">Zoom pays : feuille « Cameroun · 1 240 culés » et groupes locaux</t>
  </si>
  <si>
    <t xml:space="preserve">MOB-J-04, MOB-J-07</t>
  </si>
  <si>
    <t xml:space="preserve">MOB-J-11</t>
  </si>
  <si>
    <t xml:space="preserve">Zoom ville : « Autour de toi » et bandeau Zone approximative</t>
  </si>
  <si>
    <t xml:space="preserve">MOB-J-12</t>
  </si>
  <si>
    <t xml:space="preserve">Écran de recherche d'un pays ou d'une ville</t>
  </si>
  <si>
    <t xml:space="preserve">MOB-J-13</t>
  </si>
  <si>
    <t xml:space="preserve">Résultats pour un pays : synthèse Culés / Groupes / Événements</t>
  </si>
  <si>
    <t xml:space="preserve">MOB-J-14</t>
  </si>
  <si>
    <t xml:space="preserve">Service de permission de localisation approximative et géocodage inverse local</t>
  </si>
  <si>
    <t xml:space="preserve">MOB-J-15</t>
  </si>
  <si>
    <t xml:space="preserve">État « Localisation non activée » avec les deux alternatives</t>
  </si>
  <si>
    <t xml:space="preserve">MOB-J-16</t>
  </si>
  <si>
    <t xml:space="preserve">Écran de consentement à la géolocalisation (priming)</t>
  </si>
  <si>
    <t xml:space="preserve">MOB-J-14, MOB-J-17</t>
  </si>
  <si>
    <t xml:space="preserve">MOB-J-17</t>
  </si>
  <si>
    <t xml:space="preserve">Enregistrement et révocation du consentement géolocalisation (historisé)</t>
  </si>
  <si>
    <t xml:space="preserve">MOB-J-18</t>
  </si>
  <si>
    <t xml:space="preserve">Saisie manuelle du pays et de la ville</t>
  </si>
  <si>
    <t xml:space="preserve">MOB-J-19</t>
  </si>
  <si>
    <t xml:space="preserve">Datasource de zone et de visibilité de l'utilisateur</t>
  </si>
  <si>
    <t xml:space="preserve">MOB-J-20</t>
  </si>
  <si>
    <t xml:space="preserve">Réglage de la visibilité sur la carte</t>
  </si>
  <si>
    <t xml:space="preserve">MOB-J-19, MOB-J-17</t>
  </si>
  <si>
    <t xml:space="preserve">MOB-J-21</t>
  </si>
  <si>
    <t xml:space="preserve">Carte — état de chargement « Chargement de la zone… »</t>
  </si>
  <si>
    <t xml:space="preserve">MOB-J-22</t>
  </si>
  <si>
    <t xml:space="preserve">Carte — erreur réseau « Carte indisponible »</t>
  </si>
  <si>
    <t xml:space="preserve">MOB-J-23</t>
  </si>
  <si>
    <t xml:space="preserve">Accessibilité de la carte : alternative liste, lecteur d'écran, gestes</t>
  </si>
  <si>
    <t xml:space="preserve">MOB-J-06, MOB-J-10, MOB-J-11</t>
  </si>
  <si>
    <t xml:space="preserve">MOB-J-24</t>
  </si>
  <si>
    <t xml:space="preserve">Routes et deep links de la carte et des zones</t>
  </si>
  <si>
    <t xml:space="preserve">MOB-J-25</t>
  </si>
  <si>
    <t xml:space="preserve">Événements analytics de la carte (sans donnée de localisation)</t>
  </si>
  <si>
    <t xml:space="preserve">MOB-J-26</t>
  </si>
  <si>
    <t xml:space="preserve">Tests d'intégration et golden de bout en bout de la carte</t>
  </si>
  <si>
    <t xml:space="preserve">MOB-J-06, MOB-J-10, MOB-J-11, MOB-J-12, MOB-J-13, MOB-J-15, MOB-J-16, MOB-J-18, MOB-J-20, MOB-J-21, MOB-J-22</t>
  </si>
  <si>
    <t xml:space="preserve">MOB-J-27</t>
  </si>
  <si>
    <t xml:space="preserve">Internationalisation FR/EN/ES de la carte communautaire</t>
  </si>
  <si>
    <t xml:space="preserve">MOB-K-01</t>
  </si>
  <si>
    <t xml:space="preserve">Modèles et entités des groupes, messages, événements et membres</t>
  </si>
  <si>
    <t xml:space="preserve">MOB-K-02</t>
  </si>
  <si>
    <t xml:space="preserve">Datasource et repository : détail, recherche, adhésion et départ</t>
  </si>
  <si>
    <t xml:space="preserve">MOB-K-03</t>
  </si>
  <si>
    <t xml:space="preserve">Datasource et repository du fil : lecture paginée et publication</t>
  </si>
  <si>
    <t xml:space="preserve">MOB-K-04</t>
  </si>
  <si>
    <t xml:space="preserve">Datasource et repository des événements (watch parties)</t>
  </si>
  <si>
    <t xml:space="preserve">MOB-K-05</t>
  </si>
  <si>
    <t xml:space="preserve">Datasource et use case de signalement (POST /community/reports)</t>
  </si>
  <si>
    <t xml:space="preserve">MOB-K-06</t>
  </si>
  <si>
    <t xml:space="preserve">GroupDetailBloc : chargement, adhésion et onglets</t>
  </si>
  <si>
    <t xml:space="preserve">MOB-K-07</t>
  </si>
  <si>
    <t xml:space="preserve">GroupFeedBloc : pagination, publication optimiste, signalement local</t>
  </si>
  <si>
    <t xml:space="preserve">MOB-K-03, MOB-K-15</t>
  </si>
  <si>
    <t xml:space="preserve">MOB-K-08</t>
  </si>
  <si>
    <t xml:space="preserve">Fiche groupe pour un non-membre</t>
  </si>
  <si>
    <t xml:space="preserve">MOB-K-09</t>
  </si>
  <si>
    <t xml:space="preserve">Fil de discussion du groupe (membre)</t>
  </si>
  <si>
    <t xml:space="preserve">MOB-K-07, MOB-K-08</t>
  </si>
  <si>
    <t xml:space="preserve">MOB-K-10</t>
  </si>
  <si>
    <t xml:space="preserve">Feuille de rédaction d'un message</t>
  </si>
  <si>
    <t xml:space="preserve">MOB-K-11</t>
  </si>
  <si>
    <t xml:space="preserve">Règles de validation et filtrage préventif côté client des messages</t>
  </si>
  <si>
    <t xml:space="preserve">MOB-K-12</t>
  </si>
  <si>
    <t xml:space="preserve">Menu d'options d'un message</t>
  </si>
  <si>
    <t xml:space="preserve">MOB-K-13</t>
  </si>
  <si>
    <t xml:space="preserve">Choix du motif de signalement</t>
  </si>
  <si>
    <t xml:space="preserve">MOB-K-12, MOB-K-05</t>
  </si>
  <si>
    <t xml:space="preserve">MOB-K-14</t>
  </si>
  <si>
    <t xml:space="preserve">Confirmation « Merci ! » du signalement</t>
  </si>
  <si>
    <t xml:space="preserve">MOB-K-13, MOB-K-15</t>
  </si>
  <si>
    <t xml:space="preserve">MOB-K-15</t>
  </si>
  <si>
    <t xml:space="preserve">Masquage local d'un utilisateur (liste de masqués)</t>
  </si>
  <si>
    <t xml:space="preserve">MOB-K-16</t>
  </si>
  <si>
    <t xml:space="preserve">Message masqué par la modération</t>
  </si>
  <si>
    <t xml:space="preserve">MOB-K-17</t>
  </si>
  <si>
    <t xml:space="preserve">Onglet Événements du groupe</t>
  </si>
  <si>
    <t xml:space="preserve">MOB-K-04, MOB-K-08</t>
  </si>
  <si>
    <t xml:space="preserve">MOB-K-18</t>
  </si>
  <si>
    <t xml:space="preserve">Détail d'un événement et participation</t>
  </si>
  <si>
    <t xml:space="preserve">MOB-K-19</t>
  </si>
  <si>
    <t xml:space="preserve">Création d'une watch party</t>
  </si>
  <si>
    <t xml:space="preserve">MOB-K-20</t>
  </si>
  <si>
    <t xml:space="preserve">Liste des membres avec recherche</t>
  </si>
  <si>
    <t xml:space="preserve">MOB-K-06, MOB-K-15</t>
  </si>
  <si>
    <t xml:space="preserve">MOB-K-21</t>
  </si>
  <si>
    <t xml:space="preserve">Quitter le groupe (confirmation)</t>
  </si>
  <si>
    <t xml:space="preserve">MOB-K-22</t>
  </si>
  <si>
    <t xml:space="preserve">Bienvenue dans le groupe : toast et premier accueil</t>
  </si>
  <si>
    <t xml:space="preserve">MOB-K-06, MOB-K-09</t>
  </si>
  <si>
    <t xml:space="preserve">MOB-K-23</t>
  </si>
  <si>
    <t xml:space="preserve">Formulaire de création de groupe local</t>
  </si>
  <si>
    <t xml:space="preserve">MOB-K-24</t>
  </si>
  <si>
    <t xml:space="preserve">Datasource de création, modification et annulation de demande de groupe</t>
  </si>
  <si>
    <t xml:space="preserve">MOB-K-25</t>
  </si>
  <si>
    <t xml:space="preserve">Groupe en attente de validation</t>
  </si>
  <si>
    <t xml:space="preserve">MOB-K-26</t>
  </si>
  <si>
    <t xml:space="preserve">Aucun groupe local ici : état vide et élargissement de la recherche</t>
  </si>
  <si>
    <t xml:space="preserve">MOB-K-27</t>
  </si>
  <si>
    <t xml:space="preserve">Gestion client des sanctions : utilisateur suspendu/banni, contenu rejeté</t>
  </si>
  <si>
    <t xml:space="preserve">MOB-K-28</t>
  </si>
  <si>
    <t xml:space="preserve">États hors-ligne et rafraîchissement des groupes</t>
  </si>
  <si>
    <t xml:space="preserve">MOB-K-29</t>
  </si>
  <si>
    <t xml:space="preserve">Abonnement aux notifications d'un groupe rejoint</t>
  </si>
  <si>
    <t xml:space="preserve">MOB-K-30</t>
  </si>
  <si>
    <t xml:space="preserve">Accessibilité et i18n du module groupes</t>
  </si>
  <si>
    <t xml:space="preserve">MOB-K-09, MOB-K-10, MOB-K-20</t>
  </si>
  <si>
    <t xml:space="preserve">MOB-K-31</t>
  </si>
  <si>
    <t xml:space="preserve">Tests d'intégration et goldens du module groupes locaux</t>
  </si>
  <si>
    <t xml:space="preserve">MOB-K-08, MOB-K-09, MOB-K-10, MOB-K-12, MOB-K-13, MOB-K-14, MOB-K-16, MOB-K-17, MOB-K-18, MOB-K-19, MOB-K-20, MOB-K-21, MOB-K-22, MOB-K-23, MOB-K-25, MOB-K-26</t>
  </si>
  <si>
    <t xml:space="preserve">MOB-P-01</t>
  </si>
  <si>
    <t xml:space="preserve">Entités et modèles JSON Passport (progression, badge, profil public)</t>
  </si>
  <si>
    <t xml:space="preserve">MOB-P-02</t>
  </si>
  <si>
    <t xml:space="preserve">Service Chopper, repository et cache Passport</t>
  </si>
  <si>
    <t xml:space="preserve">MOB-P-03</t>
  </si>
  <si>
    <t xml:space="preserve">Cas d'usage Passport</t>
  </si>
  <si>
    <t xml:space="preserve">MOB-P-04</t>
  </si>
  <si>
    <t xml:space="preserve">ProfileBloc : états et transitions</t>
  </si>
  <si>
    <t xml:space="preserve">MOB-P-05</t>
  </si>
  <si>
    <t xml:space="preserve">Culé Passport : carte profil, prochains badges, derniers badges</t>
  </si>
  <si>
    <t xml:space="preserve">MOB-P-06</t>
  </si>
  <si>
    <t xml:space="preserve">Niveau Culé, points totaux et règles de progression affichées</t>
  </si>
  <si>
    <t xml:space="preserve">MOB-P-07</t>
  </si>
  <si>
    <t xml:space="preserve">Statistiques détaillées : Global, Quiz, Guess</t>
  </si>
  <si>
    <t xml:space="preserve">MOB-P-04, MOB-P-06</t>
  </si>
  <si>
    <t xml:space="preserve">MOB-P-08</t>
  </si>
  <si>
    <t xml:space="preserve">Grille de badges et filtres</t>
  </si>
  <si>
    <t xml:space="preserve">MOB-P-09</t>
  </si>
  <si>
    <t xml:space="preserve">Catalogue des badges : codes, catégories et conditions</t>
  </si>
  <si>
    <t xml:space="preserve">MOB-P-10</t>
  </si>
  <si>
    <t xml:space="preserve">Badge débloqué : détail et partage</t>
  </si>
  <si>
    <t xml:space="preserve">MOB-P-11</t>
  </si>
  <si>
    <t xml:space="preserve">Badge verrouillé : progression et action</t>
  </si>
  <si>
    <t xml:space="preserve">MOB-P-08, MOB-P-09</t>
  </si>
  <si>
    <t xml:space="preserve">MOB-P-12</t>
  </si>
  <si>
    <t xml:space="preserve">Modale 'Nouveau badge !' et file de déblocages</t>
  </si>
  <si>
    <t xml:space="preserve">MOB-P-09, MOB-P-04</t>
  </si>
  <si>
    <t xml:space="preserve">MOB-P-13</t>
  </si>
  <si>
    <t xml:space="preserve">Modifier le profil : formulaire et enregistrement</t>
  </si>
  <si>
    <t xml:space="preserve">MOB-P-04, MOB-P-03</t>
  </si>
  <si>
    <t xml:space="preserve">MOB-P-14</t>
  </si>
  <si>
    <t xml:space="preserve">Validation du pseudo : charte et erreurs serveur</t>
  </si>
  <si>
    <t xml:space="preserve">MOB-P-15</t>
  </si>
  <si>
    <t xml:space="preserve">Choix de l'avatar : Joueurs, Initiales, Couleurs</t>
  </si>
  <si>
    <t xml:space="preserve">MOB-P-16</t>
  </si>
  <si>
    <t xml:space="preserve">Ma série : compteur et calendrier d'activité</t>
  </si>
  <si>
    <t xml:space="preserve">MOB-P-17</t>
  </si>
  <si>
    <t xml:space="preserve">Profil d'un autre culé et actions Défier/Signaler</t>
  </si>
  <si>
    <t xml:space="preserve">MOB-P-18</t>
  </si>
  <si>
    <t xml:space="preserve">Partage du Passport et des badges</t>
  </si>
  <si>
    <t xml:space="preserve">MOB-P-19</t>
  </si>
  <si>
    <t xml:space="preserve">Confidentialité du profil public (minimisation)</t>
  </si>
  <si>
    <t xml:space="preserve">MOB-P-13, MOB-P-17</t>
  </si>
  <si>
    <t xml:space="preserve">MOB-P-20</t>
  </si>
  <si>
    <t xml:space="preserve">Accessibilité et i18n FR/EN/ES du Passport</t>
  </si>
  <si>
    <t xml:space="preserve">MOB-P-08, MOB-P-16</t>
  </si>
  <si>
    <t xml:space="preserve">MOB-P-21</t>
  </si>
  <si>
    <t xml:space="preserve">Tests Passport : widgets, goldens et intégration</t>
  </si>
  <si>
    <t xml:space="preserve">MOB-P-05, MOB-P-14, MOB-P-12</t>
  </si>
  <si>
    <t xml:space="preserve">MOB-I-01</t>
  </si>
  <si>
    <t xml:space="preserve">Entités et modèles JSON La Masia (joueur, attributs, décision, bilan)</t>
  </si>
  <si>
    <t xml:space="preserve">MOB-I-02</t>
  </si>
  <si>
    <t xml:space="preserve">Service Chopper AcademyApi, repository et cache Drift</t>
  </si>
  <si>
    <t xml:space="preserve">MOB-I-03</t>
  </si>
  <si>
    <t xml:space="preserve">Cas d'usage Academy (créer, décider, lire, bilan, progression)</t>
  </si>
  <si>
    <t xml:space="preserve">MOB-I-04</t>
  </si>
  <si>
    <t xml:space="preserve">AcademyPlayerBloc : états et transitions</t>
  </si>
  <si>
    <t xml:space="preserve">MOB-I-05</t>
  </si>
  <si>
    <t xml:space="preserve">Règles d'impact des décisions et prévisualisation des effets</t>
  </si>
  <si>
    <t xml:space="preserve">MOB-I-06</t>
  </si>
  <si>
    <t xml:space="preserve">Présentation de l'académie (onboarding)</t>
  </si>
  <si>
    <t xml:space="preserve">MOB-I-07</t>
  </si>
  <si>
    <t xml:space="preserve">Création 1/3 : identité et poste</t>
  </si>
  <si>
    <t xml:space="preserve">MOB-I-04, MOB-I-03</t>
  </si>
  <si>
    <t xml:space="preserve">MOB-I-08</t>
  </si>
  <si>
    <t xml:space="preserve">Création 2/3 : répartition des 12 points bonus</t>
  </si>
  <si>
    <t xml:space="preserve">MOB-I-09</t>
  </si>
  <si>
    <t xml:space="preserve">Création 3/3 : confirmation et premier objectif</t>
  </si>
  <si>
    <t xml:space="preserve">MOB-I-10</t>
  </si>
  <si>
    <t xml:space="preserve">Assistant de création : progression, brouillon et retour</t>
  </si>
  <si>
    <t xml:space="preserve">MOB-I-11</t>
  </si>
  <si>
    <t xml:space="preserve">Accueil du joueur : carte, forme/fatigue, semaine et attributs</t>
  </si>
  <si>
    <t xml:space="preserve">MOB-I-04, MOB-I-05</t>
  </si>
  <si>
    <t xml:space="preserve">MOB-I-12</t>
  </si>
  <si>
    <t xml:space="preserve">Décision hebdomadaire : cinq cartes de choix</t>
  </si>
  <si>
    <t xml:space="preserve">MOB-I-05, MOB-I-04</t>
  </si>
  <si>
    <t xml:space="preserve">MOB-I-13</t>
  </si>
  <si>
    <t xml:space="preserve">Modale de confirmation de la décision</t>
  </si>
  <si>
    <t xml:space="preserve">MOB-I-14</t>
  </si>
  <si>
    <t xml:space="preserve">Bilan de la semaine : évolution des attributs et conseil</t>
  </si>
  <si>
    <t xml:space="preserve">MOB-I-15</t>
  </si>
  <si>
    <t xml:space="preserve">Progression : courbe de note globale et radar des attributs</t>
  </si>
  <si>
    <t xml:space="preserve">MOB-I-03, MOB-I-01</t>
  </si>
  <si>
    <t xml:space="preserve">MOB-I-16</t>
  </si>
  <si>
    <t xml:space="preserve">Historique des décisions</t>
  </si>
  <si>
    <t xml:space="preserve">MOB-I-17</t>
  </si>
  <si>
    <t xml:space="preserve">Alerte fatigue élevée (82 %) et risque de blessure</t>
  </si>
  <si>
    <t xml:space="preserve">MOB-I-18</t>
  </si>
  <si>
    <t xml:space="preserve">Jalon : promotion Juvenil B et badge</t>
  </si>
  <si>
    <t xml:space="preserve">MOB-I-19</t>
  </si>
  <si>
    <t xml:space="preserve">Module Academy désactivé</t>
  </si>
  <si>
    <t xml:space="preserve">MOB-I-20</t>
  </si>
  <si>
    <t xml:space="preserve">Alimentation du Culé Passport par les réussites Academy</t>
  </si>
  <si>
    <t xml:space="preserve">MOB-I-21</t>
  </si>
  <si>
    <t xml:space="preserve">Accessibilité et i18n FR/EN/ES de l'Academy</t>
  </si>
  <si>
    <t xml:space="preserve">MOB-I-11, MOB-I-15</t>
  </si>
  <si>
    <t xml:space="preserve">MOB-I-22</t>
  </si>
  <si>
    <t xml:space="preserve">Tests Academy : widgets, goldens et intégration</t>
  </si>
  <si>
    <t xml:space="preserve">MOB-I-18, MOB-I-15, MOB-I-16, MOB-I-09</t>
  </si>
  <si>
    <t xml:space="preserve">MOB-M-01</t>
  </si>
  <si>
    <t xml:space="preserve">Modèles et entités Wallpaper (statuts PENDING/GENERATING/READY/REJECTED)</t>
  </si>
  <si>
    <t xml:space="preserve">MOB-M-02</t>
  </si>
  <si>
    <t xml:space="preserve">Datasource Chopper, repository et use cases des wallpapers</t>
  </si>
  <si>
    <t xml:space="preserve">MOB-M-03</t>
  </si>
  <si>
    <t xml:space="preserve">Cache Drift de la galerie et des brouillons de formulaire</t>
  </si>
  <si>
    <t xml:space="preserve">MOB-M-04</t>
  </si>
  <si>
    <t xml:space="preserve">État du formulaire guidé (WallpaperFormCubit) et validations</t>
  </si>
  <si>
    <t xml:space="preserve">MOB-M-02, MOB-M-03</t>
  </si>
  <si>
    <t xml:space="preserve">MOB-M-05</t>
  </si>
  <si>
    <t xml:space="preserve">Écran Générateur — formulaire guidé (WallpaperGeneratorScreen)</t>
  </si>
  <si>
    <t xml:space="preserve">MOB-M-06</t>
  </si>
  <si>
    <t xml:space="preserve">Sélecteur « Autre » : recherche d'un joueur ou saisie d'un thème</t>
  </si>
  <si>
    <t xml:space="preserve">MOB-M-07</t>
  </si>
  <si>
    <t xml:space="preserve">Écran Aperçu du prompt — « Vérifie ta demande » (étape 3/3)</t>
  </si>
  <si>
    <t xml:space="preserve">MOB-M-08</t>
  </si>
  <si>
    <t xml:space="preserve">État « Demande refusée » par la modération (formulaire)</t>
  </si>
  <si>
    <t xml:space="preserve">MOB-M-09</t>
  </si>
  <si>
    <t xml:space="preserve">WallpaperGenerationBloc : suivi asynchrone par polling et reprise</t>
  </si>
  <si>
    <t xml:space="preserve">MOB-M-10</t>
  </si>
  <si>
    <t xml:space="preserve">Écran Génération en cours (WallpaperGenerationProgressScreen)</t>
  </si>
  <si>
    <t xml:space="preserve">MOB-M-11</t>
  </si>
  <si>
    <t xml:space="preserve">Notification push « wallpaper prêt » et deep link</t>
  </si>
  <si>
    <t xml:space="preserve">MOB-M-12</t>
  </si>
  <si>
    <t xml:space="preserve">Écran Wallpaper prêt (résultat)</t>
  </si>
  <si>
    <t xml:space="preserve">MOB-M-13</t>
  </si>
  <si>
    <t xml:space="preserve">Sheet « Utiliser ce wallpaper » (appliquer, enregistrer, partager)</t>
  </si>
  <si>
    <t xml:space="preserve">MOB-M-14</t>
  </si>
  <si>
    <t xml:space="preserve">Appliquer le wallpaper (écran d'accueil / verrouillé) sur Android</t>
  </si>
  <si>
    <t xml:space="preserve">MOB-M-15</t>
  </si>
  <si>
    <t xml:space="preserve">Enregistrer dans la pellicule (iOS et Android) avec gestion des permissions</t>
  </si>
  <si>
    <t xml:space="preserve">MOB-M-16</t>
  </si>
  <si>
    <t xml:space="preserve">Modale « Accès aux photos requis »</t>
  </si>
  <si>
    <t xml:space="preserve">MOB-M-17</t>
  </si>
  <si>
    <t xml:space="preserve">Écran Ma galerie (grille, onglets Tous / Favoris)</t>
  </si>
  <si>
    <t xml:space="preserve">MOB-M-18</t>
  </si>
  <si>
    <t xml:space="preserve">Favoris : marquer/démarquer un wallpaper (optimiste)</t>
  </si>
  <si>
    <t xml:space="preserve">MOB-M-19</t>
  </si>
  <si>
    <t xml:space="preserve">État Galerie vide</t>
  </si>
  <si>
    <t xml:space="preserve">MOB-M-20</t>
  </si>
  <si>
    <t xml:space="preserve">Écran Détail d'un wallpaper</t>
  </si>
  <si>
    <t xml:space="preserve">MOB-M-17, MOB-M-18</t>
  </si>
  <si>
    <t xml:space="preserve">MOB-M-21</t>
  </si>
  <si>
    <t xml:space="preserve">Sheet de partage (WhatsApp, Instagram, Facebook, Lien, Image)</t>
  </si>
  <si>
    <t xml:space="preserve">MOB-M-22</t>
  </si>
  <si>
    <t xml:space="preserve">Quota quotidien : compteur, rafraîchissement et décompte jusqu'au reset</t>
  </si>
  <si>
    <t xml:space="preserve">MOB-M-23</t>
  </si>
  <si>
    <t xml:space="preserve">État Quota quotidien atteint</t>
  </si>
  <si>
    <t xml:space="preserve">MOB-M-24</t>
  </si>
  <si>
    <t xml:space="preserve">État Échec de la génération</t>
  </si>
  <si>
    <t xml:space="preserve">MOB-M-09, MOB-M-22</t>
  </si>
  <si>
    <t xml:space="preserve">MOB-M-25</t>
  </si>
  <si>
    <t xml:space="preserve">État Module désactivé (kill switch)</t>
  </si>
  <si>
    <t xml:space="preserve">MOB-M-26</t>
  </si>
  <si>
    <t xml:space="preserve">Routes go_router et points d'entrée du module</t>
  </si>
  <si>
    <t xml:space="preserve">MOB-M-27</t>
  </si>
  <si>
    <t xml:space="preserve">Performance : chargement des images, mémoire et cache disque</t>
  </si>
  <si>
    <t xml:space="preserve">MOB-M-28</t>
  </si>
  <si>
    <t xml:space="preserve">Confidentialité des wallpapers : prompts, URL et inclusion à l'export/suppression</t>
  </si>
  <si>
    <t xml:space="preserve">MOB-M-29</t>
  </si>
  <si>
    <t xml:space="preserve">Analytics du module (entonnoir de génération)</t>
  </si>
  <si>
    <t xml:space="preserve">MOB-M-30</t>
  </si>
  <si>
    <t xml:space="preserve">Tests d'intégration et golden du parcours Wallpapers</t>
  </si>
  <si>
    <t xml:space="preserve">MOB-M-05, MOB-M-07, MOB-M-08, MOB-M-10, MOB-M-12, MOB-M-13, MOB-M-16, MOB-M-17, MOB-M-19, MOB-M-20, MOB-M-21, MOB-M-23, MOB-M-24, MOB-M-25</t>
  </si>
  <si>
    <t xml:space="preserve">MOB-M-31</t>
  </si>
  <si>
    <t xml:space="preserve">Accessibilité et i18n FR/EN/ES du module</t>
  </si>
  <si>
    <t xml:space="preserve">ADM-FND-01</t>
  </si>
  <si>
    <t xml:space="preserve">Configuration par environnement validée au démarrage (VITE_*)</t>
  </si>
  <si>
    <t xml:space="preserve">ADM-FND-02</t>
  </si>
  <si>
    <t xml:space="preserve">Architecture en couches api/hooks/components/pages et règles ESLint de frontières</t>
  </si>
  <si>
    <t xml:space="preserve">ADM-FND-03</t>
  </si>
  <si>
    <t xml:space="preserve">Table de routes unique, chargement paresseux par module et redirections post-connexion</t>
  </si>
  <si>
    <t xml:space="preserve">ADM-FND-04</t>
  </si>
  <si>
    <t xml:space="preserve">Client HTTP : enveloppe API, corrélation traceId, annulation et délais</t>
  </si>
  <si>
    <t xml:space="preserve">ADM-FND-05</t>
  </si>
  <si>
    <t xml:space="preserve">QueryClient : fabrique de clés, staleTime par type de donnée et invalidations</t>
  </si>
  <si>
    <t xml:space="preserve">ADM-FND-06</t>
  </si>
  <si>
    <t xml:space="preserve">Types TypeScript générés depuis le contrat OpenAPI de l'API</t>
  </si>
  <si>
    <t xml:space="preserve">ADM-FND-07</t>
  </si>
  <si>
    <t xml:space="preserve">Frontières d'erreur par route, reprise après échec de chargement de chunk et erreurs non capturées</t>
  </si>
  <si>
    <t xml:space="preserve">ADM-FND-08</t>
  </si>
  <si>
    <t xml:space="preserve">Shell responsive tablette : sidebar rétractable, zone de contenu et tables à défilement contrôlé</t>
  </si>
  <si>
    <t xml:space="preserve">ADM-FND-09</t>
  </si>
  <si>
    <t xml:space="preserve">Fournisseur de thème clair/sombre/système sans flash et compatible CSP</t>
  </si>
  <si>
    <t xml:space="preserve">ADM-FND-10</t>
  </si>
  <si>
    <t xml:space="preserve">Préférences d'interface persistées par administrateur (densité, filtres, raccourcis, sidebar)</t>
  </si>
  <si>
    <t xml:space="preserve">ADM-FND-11</t>
  </si>
  <si>
    <t xml:space="preserve">Catalogue de textes FR figé : constantes centralisées et garde-fous de lint</t>
  </si>
  <si>
    <t xml:space="preserve">ADM-FND-12</t>
  </si>
  <si>
    <t xml:space="preserve">Formats français (nombres, dates, pourcentages) et messages Zod en français</t>
  </si>
  <si>
    <t xml:space="preserve">ADM-FND-13</t>
  </si>
  <si>
    <t xml:space="preserve">Export CSV : générateur RFC 4180, hook useExport et neutralisation des formules</t>
  </si>
  <si>
    <t xml:space="preserve">ADM-FND-14</t>
  </si>
  <si>
    <t xml:space="preserve">Export Excel (.xlsx) : génération paresseuse, feuilles formatées et limites</t>
  </si>
  <si>
    <t xml:space="preserve">ADM-FND-15</t>
  </si>
  <si>
    <t xml:space="preserve">Export PDF : rapports imprimables avec en-tête, tableaux et police Unicode</t>
  </si>
  <si>
    <t xml:space="preserve">ADM-FND-16</t>
  </si>
  <si>
    <t xml:space="preserve">Socle d'upload : primitive de dépôt, validations binaires, file d'envoi et empreinte</t>
  </si>
  <si>
    <t xml:space="preserve">ADM-FND-17</t>
  </si>
  <si>
    <t xml:space="preserve">Vitest : couverture par couche (seuils du CDC), setup partagé et conventions de test</t>
  </si>
  <si>
    <t xml:space="preserve">ADM-FND-18</t>
  </si>
  <si>
    <t xml:space="preserve">Playwright : fixtures d'authentification par rôle, données de test et projets d'exécution</t>
  </si>
  <si>
    <t xml:space="preserve">ADM-FND-19</t>
  </si>
  <si>
    <t xml:space="preserve">Accessibilité automatisée en CI : axe, parcours clavier et politique d'exceptions</t>
  </si>
  <si>
    <t xml:space="preserve">ADM-FND-20</t>
  </si>
  <si>
    <t xml:space="preserve">Pipeline CI : jobs bloquants, e2e sur dev, budgets et vérifications transverses</t>
  </si>
  <si>
    <t xml:space="preserve">ADM-FND-21</t>
  </si>
  <si>
    <t xml:space="preserve">Déploiement continu : staging sur dev, production sur main avec validation manuelle et smoke tests</t>
  </si>
  <si>
    <t xml:space="preserve">ADM-FND-22</t>
  </si>
  <si>
    <t xml:space="preserve">Image Docker et nginx : en-têtes sur chaque location, cache, limites d'envoi et sondes</t>
  </si>
  <si>
    <t xml:space="preserve">ADM-FND-23</t>
  </si>
  <si>
    <t xml:space="preserve">CSP stricte, déploiement en Report-Only et en-têtes d'isolation</t>
  </si>
  <si>
    <t xml:space="preserve">ADM-FND-24</t>
  </si>
  <si>
    <t xml:space="preserve">Journaux front structurés, remontée des erreurs et événements d'usage internes</t>
  </si>
  <si>
    <t xml:space="preserve">ADM-FND-25</t>
  </si>
  <si>
    <t xml:space="preserve">Performance : budgets de bundle, découpage par route, chargement différé et Web Vitals</t>
  </si>
  <si>
    <t xml:space="preserve">ADM-ADS-01</t>
  </si>
  <si>
    <t xml:space="preserve">Tokens de couleur clair/sombre alignés sur la planche Palette</t>
  </si>
  <si>
    <t xml:space="preserve">ADM-ADS-02</t>
  </si>
  <si>
    <t xml:space="preserve">Typographie Barlow Condensed + Inter et échelle modulaire</t>
  </si>
  <si>
    <t xml:space="preserve">ADM-ADS-03</t>
  </si>
  <si>
    <t xml:space="preserve">Espacements 4/8 px, rayons et ombres</t>
  </si>
  <si>
    <t xml:space="preserve">ADM-ADS-04</t>
  </si>
  <si>
    <t xml:space="preserve">Identité visuelle : wordmark, emblème, favicon et badge d'environnement</t>
  </si>
  <si>
    <t xml:space="preserve">ADM-ADS-05</t>
  </si>
  <si>
    <t xml:space="preserve">Jeu d'icônes 24 px, trait 1,8 px (146 icônes)</t>
  </si>
  <si>
    <t xml:space="preserve">ADM-ADS-06</t>
  </si>
  <si>
    <t xml:space="preserve">Composant Button : 8 variantes, 5 tailles, états, icône et formes</t>
  </si>
  <si>
    <t xml:space="preserve">ADM-ADS-01, ADM-ADS-05</t>
  </si>
  <si>
    <t xml:space="preserve">ADM-ADS-07</t>
  </si>
  <si>
    <t xml:space="preserve">Composant Input/Textarea : 3 tailles, 6 états, types de champs</t>
  </si>
  <si>
    <t xml:space="preserve">ADM-ADS-08</t>
  </si>
  <si>
    <t xml:space="preserve">Select et Combobox (Radix) avec recherche et sélection multiple</t>
  </si>
  <si>
    <t xml:space="preserve">ADM-ADS-09</t>
  </si>
  <si>
    <t xml:space="preserve">Switch, case à cocher, radio, curseur, compteur et puces</t>
  </si>
  <si>
    <t xml:space="preserve">ADM-ADS-10</t>
  </si>
  <si>
    <t xml:space="preserve">Onglets (Radix Tabs) et contrôle segmenté</t>
  </si>
  <si>
    <t xml:space="preserve">ADM-ADS-01, ADM-ADS-30</t>
  </si>
  <si>
    <t xml:space="preserve">ADM-ADS-11</t>
  </si>
  <si>
    <t xml:space="preserve">Indicateur d'étapes (stepper) et pagination par étapes</t>
  </si>
  <si>
    <t xml:space="preserve">ADM-ADS-06, ADM-ADS-07</t>
  </si>
  <si>
    <t xml:space="preserve">ADM-ADS-12</t>
  </si>
  <si>
    <t xml:space="preserve">Badges, tags de statut et StatusBadge métier</t>
  </si>
  <si>
    <t xml:space="preserve">ADM-ADS-13</t>
  </si>
  <si>
    <t xml:space="preserve">Avatar à initiales et groupes d'avatars</t>
  </si>
  <si>
    <t xml:space="preserve">ADM-ADS-14</t>
  </si>
  <si>
    <t xml:space="preserve">Cartes : standard, à plat, sélectionnée, héros, sémantiques et KPI</t>
  </si>
  <si>
    <t xml:space="preserve">ADM-ADS-01, ADM-ADS-03</t>
  </si>
  <si>
    <t xml:space="preserve">ADM-ADS-15</t>
  </si>
  <si>
    <t xml:space="preserve">Navigation admin : sidebar 256 px, en-tête, fil d'Ariane, rail tablette</t>
  </si>
  <si>
    <t xml:space="preserve">ADM-ADS-12, ADM-ADS-03, ADM-ADS-05</t>
  </si>
  <si>
    <t xml:space="preserve">ADM-ADS-16</t>
  </si>
  <si>
    <t xml:space="preserve">Dialog, drawer/sheet et ConfirmDialog (Radix)</t>
  </si>
  <si>
    <t xml:space="preserve">ADM-ADS-06, ADM-ADS-07, ADM-ADS-30</t>
  </si>
  <si>
    <t xml:space="preserve">ADM-ADS-17</t>
  </si>
  <si>
    <t xml:space="preserve">Toasts (sonner) : succès, erreur, information, action</t>
  </si>
  <si>
    <t xml:space="preserve">ADM-ADS-18</t>
  </si>
  <si>
    <t xml:space="preserve">Tooltip, popover et infobulles</t>
  </si>
  <si>
    <t xml:space="preserve">ADM-ADS-19</t>
  </si>
  <si>
    <t xml:space="preserve">Spinner, skeleton shimmer et progression</t>
  </si>
  <si>
    <t xml:space="preserve">ADM-ADS-20</t>
  </si>
  <si>
    <t xml:space="preserve">EmptyState et ErrorState (réseau, serveur, accès, bientôt disponible)</t>
  </si>
  <si>
    <t xml:space="preserve">ADM-ADS-06, ADM-ADS-14</t>
  </si>
  <si>
    <t xml:space="preserve">ADM-ADS-21</t>
  </si>
  <si>
    <t xml:space="preserve">Bannières d'alerte (information, succès, avertissement, erreur) et bandeaux d'état</t>
  </si>
  <si>
    <t xml:space="preserve">ADM-ADS-22</t>
  </si>
  <si>
    <t xml:space="preserve">Graphiques Recharts aux couleurs de marque</t>
  </si>
  <si>
    <t xml:space="preserve">ADM-ADS-01, ADM-ADS-14</t>
  </si>
  <si>
    <t xml:space="preserve">ADM-ADS-23</t>
  </si>
  <si>
    <t xml:space="preserve">DataTable : tri serveur, pagination, filtres URL, sélection, mode dense</t>
  </si>
  <si>
    <t xml:space="preserve">ADM-ADS-12, ADM-ADS-20, ADM-ADS-19, ADM-ADS-09</t>
  </si>
  <si>
    <t xml:space="preserve">ADM-ADS-24</t>
  </si>
  <si>
    <t xml:space="preserve">TrilingualTextEditor : onglets FR/EN/ES avec complétion</t>
  </si>
  <si>
    <t xml:space="preserve">ADM-ADS-10, ADM-ADS-07</t>
  </si>
  <si>
    <t xml:space="preserve">ADM-ADS-25</t>
  </si>
  <si>
    <t xml:space="preserve">MediaUploader : glisser-déposer, validation et aperçu</t>
  </si>
  <si>
    <t xml:space="preserve">ADM-ADS-06, ADM-ADS-19</t>
  </si>
  <si>
    <t xml:space="preserve">ADM-ADS-26</t>
  </si>
  <si>
    <t xml:space="preserve">ModerationActionMenu : actions Ignorer, Masquer, Avertir, Suspendre, Bannir</t>
  </si>
  <si>
    <t xml:space="preserve">ADM-ADS-16, ADM-ADS-06</t>
  </si>
  <si>
    <t xml:space="preserve">ADM-ADS-27</t>
  </si>
  <si>
    <t xml:space="preserve">Recherche globale Ctrl K / Cmd K (command palette)</t>
  </si>
  <si>
    <t xml:space="preserve">ADM-ADS-16, ADM-ADS-07</t>
  </si>
  <si>
    <t xml:space="preserve">ADM-ADS-28</t>
  </si>
  <si>
    <t xml:space="preserve">Points de rupture et recomposition (desktop / tablette)</t>
  </si>
  <si>
    <t xml:space="preserve">ADM-ADS-29</t>
  </si>
  <si>
    <t xml:space="preserve">Accessibilité : focus, raccourcis, contrastes et lecteurs d'écran</t>
  </si>
  <si>
    <t xml:space="preserve">ADM-ADS-30</t>
  </si>
  <si>
    <t xml:space="preserve">Tokens de mouvement : durées, easings et réduction des animations</t>
  </si>
  <si>
    <t xml:space="preserve">ADM-ADS-31</t>
  </si>
  <si>
    <t xml:space="preserve">Bibliothèque d'animations de composants (sheet, modale, toast, feedback)</t>
  </si>
  <si>
    <t xml:space="preserve">ADM-ADS-30, ADM-ADS-16, ADM-ADS-17</t>
  </si>
  <si>
    <t xml:space="preserve">ADM-ADS-32</t>
  </si>
  <si>
    <t xml:space="preserve">Chorégraphie d'entrée des écrans (stagger du tableau de bord, transitions de route)</t>
  </si>
  <si>
    <t xml:space="preserve">ADM-ADS-33</t>
  </si>
  <si>
    <t xml:space="preserve">Ergonomie tablette : cibles tactiles, gestes et placement des actions</t>
  </si>
  <si>
    <t xml:space="preserve">ADM-ADS-28, ADM-ADS-06</t>
  </si>
  <si>
    <t xml:space="preserve">ADM-ADS-34</t>
  </si>
  <si>
    <t xml:space="preserve">Ergonomie de saisie : validation à la sortie, claviers adaptés, prévention des erreurs</t>
  </si>
  <si>
    <t xml:space="preserve">ADM-ADS-07, ADM-ADS-16</t>
  </si>
  <si>
    <t xml:space="preserve">ADM-ADS-35</t>
  </si>
  <si>
    <t xml:space="preserve">Cartographie des composants mobiles (jeu, carte, chat) et réutilisation de tokens</t>
  </si>
  <si>
    <t xml:space="preserve">ADM-ADS-36</t>
  </si>
  <si>
    <t xml:space="preserve">Storybook : documentation vivante des composants dans les deux thèmes</t>
  </si>
  <si>
    <t xml:space="preserve">ADM-ADS-06, ADM-ADS-07, ADM-ADS-14</t>
  </si>
  <si>
    <t xml:space="preserve">ADM-ADS-37</t>
  </si>
  <si>
    <t xml:space="preserve">Tests visuels et de composants du design system</t>
  </si>
  <si>
    <t xml:space="preserve">ADM-ADS-36, ADM-ADS-23</t>
  </si>
  <si>
    <t xml:space="preserve">ADM-WA-01</t>
  </si>
  <si>
    <t xml:space="preserve">Client API d'authentification admin, schémas Zod et erreurs typées</t>
  </si>
  <si>
    <t xml:space="preserve">ADM-WA-02</t>
  </si>
  <si>
    <t xml:space="preserve">AuthLayout : écran scindé hero grenat + panneau formulaire</t>
  </si>
  <si>
    <t xml:space="preserve">ADM-WA-03</t>
  </si>
  <si>
    <t xml:space="preserve">Écran de connexion administrateur (refonte fidèle)</t>
  </si>
  <si>
    <t xml:space="preserve">ADM-WA-01, ADM-WA-02</t>
  </si>
  <si>
    <t xml:space="preserve">ADM-WA-04</t>
  </si>
  <si>
    <t xml:space="preserve">Connexion : erreur d'identifiants et tentatives restantes</t>
  </si>
  <si>
    <t xml:space="preserve">ADM-WA-05</t>
  </si>
  <si>
    <t xml:space="preserve">Compte temporairement bloqué avec compte à rebours</t>
  </si>
  <si>
    <t xml:space="preserve">ADM-WA-06</t>
  </si>
  <si>
    <t xml:space="preserve">Composant OtpInput à 6 cases (saisie, collage, navigation clavier)</t>
  </si>
  <si>
    <t xml:space="preserve">ADM-WA-07</t>
  </si>
  <si>
    <t xml:space="preserve">Double authentification : saisie du code TOTP</t>
  </si>
  <si>
    <t xml:space="preserve">ADM-WA-06, ADM-WA-03, ADM-WA-01</t>
  </si>
  <si>
    <t xml:space="preserve">ADM-WA-08</t>
  </si>
  <si>
    <t xml:space="preserve">Champ mot de passe avec jauge de robustesse et critères en direct</t>
  </si>
  <si>
    <t xml:space="preserve">ADM-WA-09</t>
  </si>
  <si>
    <t xml:space="preserve">Première connexion : définir le mot de passe via l'invitation</t>
  </si>
  <si>
    <t xml:space="preserve">ADM-WA-08, ADM-WA-02</t>
  </si>
  <si>
    <t xml:space="preserve">ADM-WA-10</t>
  </si>
  <si>
    <t xml:space="preserve">Configuration du 2FA : QR code, clé et codes de secours</t>
  </si>
  <si>
    <t xml:space="preserve">ADM-WA-06, ADM-WA-01, ADM-WA-02</t>
  </si>
  <si>
    <t xml:space="preserve">ADM-WA-11</t>
  </si>
  <si>
    <t xml:space="preserve">Expiration de session sur inactivité de 8 h et restauration du travail</t>
  </si>
  <si>
    <t xml:space="preserve">ADM-WA-12</t>
  </si>
  <si>
    <t xml:space="preserve">Écran « Session expirée » et reconnexion rapide</t>
  </si>
  <si>
    <t xml:space="preserve">ADM-WA-11, ADM-WA-03</t>
  </si>
  <si>
    <t xml:space="preserve">ADM-WA-13</t>
  </si>
  <si>
    <t xml:space="preserve">Garde RequireRole et matrice de permissions côté interface</t>
  </si>
  <si>
    <t xml:space="preserve">ADM-WA-14</t>
  </si>
  <si>
    <t xml:space="preserve">Page « Accès non autorisé » (403) fidèle à la maquette</t>
  </si>
  <si>
    <t xml:space="preserve">ADM-WA-15</t>
  </si>
  <si>
    <t xml:space="preserve">Pages 404 et erreur serveur avec identifiant de corrélation</t>
  </si>
  <si>
    <t xml:space="preserve">ADM-WA-16</t>
  </si>
  <si>
    <t xml:space="preserve">Intercepteur d'erreurs centralisé, Toast homogène et traceId</t>
  </si>
  <si>
    <t xml:space="preserve">ADM-WA-17</t>
  </si>
  <si>
    <t xml:space="preserve">Durcissement navigateur : CSRF, CSP, cookies et anti-XSS</t>
  </si>
  <si>
    <t xml:space="preserve">ADM-WA-18</t>
  </si>
  <si>
    <t xml:space="preserve">Authentification : responsive tablette, thème sombre et accessibilité clavier</t>
  </si>
  <si>
    <t xml:space="preserve">ADM-WA-03, ADM-WA-04, ADM-WA-05, ADM-WA-07, ADM-WA-09, ADM-WA-10, ADM-WA-12</t>
  </si>
  <si>
    <t xml:space="preserve">ADM-WA-19</t>
  </si>
  <si>
    <t xml:space="preserve">Tests Vitest et Playwright du module d'authentification et des erreurs</t>
  </si>
  <si>
    <t xml:space="preserve">ADM-WA-03, ADM-WA-07, ADM-WA-09, ADM-WA-10, ADM-WA-14, ADM-WA-15</t>
  </si>
  <si>
    <t xml:space="preserve">ADM-WB-01</t>
  </si>
  <si>
    <t xml:space="preserve">Client API du tableau de bord : widgets par rôle, schémas Zod et hooks TanStack Query</t>
  </si>
  <si>
    <t xml:space="preserve">ADM-WB-02</t>
  </si>
  <si>
    <t xml:space="preserve">Barre supérieure : fil d'Ariane, champ de recherche Ctrl K, badge d'environnement, thème, notifications, profil</t>
  </si>
  <si>
    <t xml:space="preserve">ADM-WB-03</t>
  </si>
  <si>
    <t xml:space="preserve">Sidebar groupée par rubriques avec compteurs et carte utilisateur</t>
  </si>
  <si>
    <t xml:space="preserve">ADM-WB-04</t>
  </si>
  <si>
    <t xml:space="preserve">Tableau de bord super-admin : en-tête, 4 KPI et courbe des utilisateurs actifs</t>
  </si>
  <si>
    <t xml:space="preserve">ADM-WB-01, ADM-WB-02</t>
  </si>
  <si>
    <t xml:space="preserve">ADM-WB-05</t>
  </si>
  <si>
    <t xml:space="preserve">Tableau de bord super-admin : accès rapide, santé technique, contenus incomplets, dernières actions</t>
  </si>
  <si>
    <t xml:space="preserve">ADM-WB-04, ADM-WB-01</t>
  </si>
  <si>
    <t xml:space="preserve">ADM-WB-06</t>
  </si>
  <si>
    <t xml:space="preserve">Tableau de bord content-manager : KPI éditoriaux et calendrier éditorial</t>
  </si>
  <si>
    <t xml:space="preserve">ADM-WB-01, ADM-WB-05</t>
  </si>
  <si>
    <t xml:space="preserve">ADM-WB-07</t>
  </si>
  <si>
    <t xml:space="preserve">Tableau de bord modérateur : KPI de traitement et file « À traiter en priorité »</t>
  </si>
  <si>
    <t xml:space="preserve">ADM-WB-08</t>
  </si>
  <si>
    <t xml:space="preserve">Composition du dashboard par rôle, période 7/30 jours et Export CSV</t>
  </si>
  <si>
    <t xml:space="preserve">ADM-WB-01, ADM-WB-04</t>
  </si>
  <si>
    <t xml:space="preserve">ADM-WB-09</t>
  </si>
  <si>
    <t xml:space="preserve">Tableau de bord : squelettes de chargement</t>
  </si>
  <si>
    <t xml:space="preserve">ADM-WB-10</t>
  </si>
  <si>
    <t xml:space="preserve">Tableau de bord : erreur partielle, bannière « Réessayer » et cartes indisponibles</t>
  </si>
  <si>
    <t xml:space="preserve">ADM-WB-11</t>
  </si>
  <si>
    <t xml:space="preserve">Recherche globale : API, hook à debounce 300 ms et filtrage par permissions</t>
  </si>
  <si>
    <t xml:space="preserve">ADM-WB-12</t>
  </si>
  <si>
    <t xml:space="preserve">Palette de recherche globale (Ctrl K) : résultats groupés</t>
  </si>
  <si>
    <t xml:space="preserve">ADM-WB-11, ADM-WB-02</t>
  </si>
  <si>
    <t xml:space="preserve">ADM-WB-13</t>
  </si>
  <si>
    <t xml:space="preserve">Recherche globale : aucun résultat, saisie trop courte et erreur</t>
  </si>
  <si>
    <t xml:space="preserve">ADM-WB-14</t>
  </si>
  <si>
    <t xml:space="preserve">Page de résultats complets « Voir tous les résultats »</t>
  </si>
  <si>
    <t xml:space="preserve">ADM-WB-15</t>
  </si>
  <si>
    <t xml:space="preserve">Raccourcis clavier globaux et préférence d'activation</t>
  </si>
  <si>
    <t xml:space="preserve">ADM-WB-16</t>
  </si>
  <si>
    <t xml:space="preserve">Tests Vitest et Playwright du tableau de bord et de la recherche globale</t>
  </si>
  <si>
    <t xml:space="preserve">ADM-WB-05, ADM-WB-06, ADM-WB-07, ADM-WB-10, ADM-WB-12, ADM-WB-13, ADM-WB-09</t>
  </si>
  <si>
    <t xml:space="preserve">ADM-WC-01</t>
  </si>
  <si>
    <t xml:space="preserve">Modèles TypeScript, schémas Zod et libellés des fiches joueurs (admin)</t>
  </si>
  <si>
    <t xml:space="preserve">ADM-WC-02</t>
  </si>
  <si>
    <t xml:space="preserve">Client API admin des joueurs (liste, détail, création, édition, statistiques, actions de masse)</t>
  </si>
  <si>
    <t xml:space="preserve">ADM-WC-03</t>
  </si>
  <si>
    <t xml:space="preserve">Hooks TanStack Query du module joueurs : clés, cache et invalidations</t>
  </si>
  <si>
    <t xml:space="preserve">ADM-WC-04</t>
  </si>
  <si>
    <t xml:space="preserve">Liste des joueurs : en-tête, barre d'outils et table (refonte fidèle WC-01)</t>
  </si>
  <si>
    <t xml:space="preserve">ADM-WC-05</t>
  </si>
  <si>
    <t xml:space="preserve">Recherche et filtres avancés des joueurs persistés dans l'URL</t>
  </si>
  <si>
    <t xml:space="preserve">ADM-WC-03, ADM-WC-04</t>
  </si>
  <si>
    <t xml:space="preserve">ADM-WC-06</t>
  </si>
  <si>
    <t xml:space="preserve">Tri serveur, pagination 50 lignes et mode dense de la liste des joueurs</t>
  </si>
  <si>
    <t xml:space="preserve">ADM-WC-07</t>
  </si>
  <si>
    <t xml:space="preserve">Liste des joueurs : état « aucun résultat pour ces filtres » et état « aucune donnée »</t>
  </si>
  <si>
    <t xml:space="preserve">ADM-WC-08</t>
  </si>
  <si>
    <t xml:space="preserve">Sélection multiple et barre d'actions de masse de la liste des joueurs</t>
  </si>
  <si>
    <t xml:space="preserve">ADM-WC-09</t>
  </si>
  <si>
    <t xml:space="preserve">Publication en masse des fiches prêtes avec rapport par fiche</t>
  </si>
  <si>
    <t xml:space="preserve">ADM-WC-08, ADM-WC-02</t>
  </si>
  <si>
    <t xml:space="preserve">ADM-WC-10</t>
  </si>
  <si>
    <t xml:space="preserve">Archivage groupé : boîte de confirmation et exécution</t>
  </si>
  <si>
    <t xml:space="preserve">ADM-WC-11</t>
  </si>
  <si>
    <t xml:space="preserve">Export CSV/Excel de la liste des joueurs (filtres courants ou sélection)</t>
  </si>
  <si>
    <t xml:space="preserve">ADM-WC-04, ADM-WC-05</t>
  </si>
  <si>
    <t xml:space="preserve">ADM-WC-12</t>
  </si>
  <si>
    <t xml:space="preserve">Import CSV de fiches joueurs depuis la liste (création de brouillons)</t>
  </si>
  <si>
    <t xml:space="preserve">ADM-WC-02, ADM-WC-07</t>
  </si>
  <si>
    <t xml:space="preserve">ADM-WC-13</t>
  </si>
  <si>
    <t xml:space="preserve">Fiche joueur : en-tête, onglets et barre d'actions (structure commune WC-05 à WC-11)</t>
  </si>
  <si>
    <t xml:space="preserve">ADM-WC-14</t>
  </si>
  <si>
    <t xml:space="preserve">Onglet Identité : formulaire des informations du joueur (WC-05)</t>
  </si>
  <si>
    <t xml:space="preserve">ADM-WC-13, ADM-WC-15</t>
  </si>
  <si>
    <t xml:space="preserve">ADM-WC-15</t>
  </si>
  <si>
    <t xml:space="preserve">Règles de validation Zod de l'identité d'un joueur et mappage des erreurs serveur</t>
  </si>
  <si>
    <t xml:space="preserve">ADM-WC-16</t>
  </si>
  <si>
    <t xml:space="preserve">Création d'un joueur : bouton « Nouveau joueur » et fiche vierge</t>
  </si>
  <si>
    <t xml:space="preserve">ADM-WC-13, ADM-WC-14</t>
  </si>
  <si>
    <t xml:space="preserve">ADM-WC-17</t>
  </si>
  <si>
    <t xml:space="preserve">Colonne latérale : workflow de publication en 5 étapes et checklist de complétion</t>
  </si>
  <si>
    <t xml:space="preserve">ADM-WC-18</t>
  </si>
  <si>
    <t xml:space="preserve">Onglet Biographie : éditeur trilingue FR/EN/ES et bandeau « Publication bloquée »</t>
  </si>
  <si>
    <t xml:space="preserve">ADM-WC-19</t>
  </si>
  <si>
    <t xml:space="preserve">Publication d'une fiche : boîte de confirmation et règles bloquantes</t>
  </si>
  <si>
    <t xml:space="preserve">ADM-WC-17, ADM-WC-18, ADM-WC-02</t>
  </si>
  <si>
    <t xml:space="preserve">ADM-WC-20</t>
  </si>
  <si>
    <t xml:space="preserve">Onglet Statistiques par saison : tableau éditable (WC-08)</t>
  </si>
  <si>
    <t xml:space="preserve">ADM-WC-21</t>
  </si>
  <si>
    <t xml:space="preserve">Édition des statistiques : validation, enregistrement groupé (PUT) et cohérence</t>
  </si>
  <si>
    <t xml:space="preserve">ADM-WC-20, ADM-WC-02</t>
  </si>
  <si>
    <t xml:space="preserve">ADM-WC-22</t>
  </si>
  <si>
    <t xml:space="preserve">Tiroir « Importer des statistiques (CSV) » : dépôt, rapport et confirmation (WC-11)</t>
  </si>
  <si>
    <t xml:space="preserve">ADM-WC-23</t>
  </si>
  <si>
    <t xml:space="preserve">Import CSV des statistiques : parsing, règles de validation et dry-run serveur</t>
  </si>
  <si>
    <t xml:space="preserve">ADM-WC-22, ADM-WC-02</t>
  </si>
  <si>
    <t xml:space="preserve">ADM-WC-24</t>
  </si>
  <si>
    <t xml:space="preserve">Onglet Photo : zone de dépôt, aperçu et rappel de droits (WC-09)</t>
  </si>
  <si>
    <t xml:space="preserve">ADM-WC-25</t>
  </si>
  <si>
    <t xml:space="preserve">Photo joueur : validation locale, téléversement et rattachement à la fiche</t>
  </si>
  <si>
    <t xml:space="preserve">ADM-WC-26</t>
  </si>
  <si>
    <t xml:space="preserve">Garde des modifications non enregistrées, brouillon local et conflit d'édition concurrente</t>
  </si>
  <si>
    <t xml:space="preserve">ADM-WC-27</t>
  </si>
  <si>
    <t xml:space="preserve">RBAC et piste d'audit du module joueurs</t>
  </si>
  <si>
    <t xml:space="preserve">ADM-WC-28</t>
  </si>
  <si>
    <t xml:space="preserve">Tests E2E et d'accessibilité du module joueurs</t>
  </si>
  <si>
    <t xml:space="preserve">ADM-WC-19, ADM-WC-10, ADM-WC-23, ADM-WC-07, ADM-WC-11, ADM-WC-27</t>
  </si>
  <si>
    <t xml:space="preserve">ADM-WD-01</t>
  </si>
  <si>
    <t xml:space="preserve">Couche données Matchs : types Zod, client axios et hooks TanStack Query</t>
  </si>
  <si>
    <t xml:space="preserve">ADM-WD-02</t>
  </si>
  <si>
    <t xml:space="preserve">Liste des matchs avec onglets À venir / En direct / Historiques / Conflits</t>
  </si>
  <si>
    <t xml:space="preserve">ADM-WD-03</t>
  </si>
  <si>
    <t xml:space="preserve">Recherche et filtres combinables persistés dans l'URL (compétition, dates, synchro)</t>
  </si>
  <si>
    <t xml:space="preserve">ADM-WD-04</t>
  </si>
  <si>
    <t xml:space="preserve">Bouton « Synchroniser » et indicateur de fraîcheur de la synchro API football</t>
  </si>
  <si>
    <t xml:space="preserve">ADM-WD-05</t>
  </si>
  <si>
    <t xml:space="preserve">Fiche match : en-tête, onglet Informations et panneau Synchronisation</t>
  </si>
  <si>
    <t xml:space="preserve">ADM-WD-01, ADM-WD-04</t>
  </si>
  <si>
    <t xml:space="preserve">ADM-WD-06</t>
  </si>
  <si>
    <t xml:space="preserve">Modifier un match et saisir le résultat (validation, verrouillage des champs API)</t>
  </si>
  <si>
    <t xml:space="preserve">ADM-WD-07</t>
  </si>
  <si>
    <t xml:space="preserve">Onglets Compositions et Événements d'un match (édition et affichage)</t>
  </si>
  <si>
    <t xml:space="preserve">ADM-WD-05, ADM-WD-06</t>
  </si>
  <si>
    <t xml:space="preserve">ADM-WD-08</t>
  </si>
  <si>
    <t xml:space="preserve">Onglet « Historique des modifications » d'un match (audit avant/après)</t>
  </si>
  <si>
    <t xml:space="preserve">ADM-WD-09</t>
  </si>
  <si>
    <t xml:space="preserve">Écran de résolution de conflit de synchronisation</t>
  </si>
  <si>
    <t xml:space="preserve">ADM-WD-10</t>
  </si>
  <si>
    <t xml:space="preserve">Logique de résolution : décision explicite, journalisation et effets de bord</t>
  </si>
  <si>
    <t xml:space="preserve">ADM-WD-09, ADM-WD-08</t>
  </si>
  <si>
    <t xml:space="preserve">ADM-WD-11</t>
  </si>
  <si>
    <t xml:space="preserve">Écran de saisie d'un match historique (formulaire Rencontre et contexte trilingue)</t>
  </si>
  <si>
    <t xml:space="preserve">ADM-WD-01, ADM-WD-07</t>
  </si>
  <si>
    <t xml:space="preserve">ADM-WD-12</t>
  </si>
  <si>
    <t xml:space="preserve">Règles de publication d'un match historique et statut de complétion trilingue</t>
  </si>
  <si>
    <t xml:space="preserve">ADM-WD-13</t>
  </si>
  <si>
    <t xml:space="preserve">Garde de routes RBAC du module Matchs et journalisation des mutations</t>
  </si>
  <si>
    <t xml:space="preserve">ADM-WD-02, ADM-WD-05</t>
  </si>
  <si>
    <t xml:space="preserve">ADM-WD-14</t>
  </si>
  <si>
    <t xml:space="preserve">Tests de bout en bout et d'accessibilité du module Matchs</t>
  </si>
  <si>
    <t xml:space="preserve">ADM-WD-02, ADM-WD-09, ADM-WD-11</t>
  </si>
  <si>
    <t xml:space="preserve">ADM-WE-01</t>
  </si>
  <si>
    <t xml:space="preserve">Couche données Contenu historique : types, schémas Zod, client axios et hooks</t>
  </si>
  <si>
    <t xml:space="preserve">ADM-WE-02</t>
  </si>
  <si>
    <t xml:space="preserve">Bibliothèque d'anecdotes « Aujourd'hui dans l'histoire »</t>
  </si>
  <si>
    <t xml:space="preserve">ADM-WE-03</t>
  </si>
  <si>
    <t xml:space="preserve">Filtres Catégorie, Statut, Langues, Mois et indicateur de contenus incomplets</t>
  </si>
  <si>
    <t xml:space="preserve">ADM-WE-04</t>
  </si>
  <si>
    <t xml:space="preserve">Composant TrilingualTextEditor (onglets FR/EN/ES, pastilles de complétion, compteur)</t>
  </si>
  <si>
    <t xml:space="preserve">ADM-WE-05</t>
  </si>
  <si>
    <t xml:space="preserve">Éditeur d'anecdote : titre, texte trilingue, image, date et catégorie</t>
  </si>
  <si>
    <t xml:space="preserve">ADM-WE-04, ADM-WE-01</t>
  </si>
  <si>
    <t xml:space="preserve">ADM-WE-06</t>
  </si>
  <si>
    <t xml:space="preserve">Aperçu mobile de l'anecdote (cadre téléphone, bascule Clair/Sombre)</t>
  </si>
  <si>
    <t xml:space="preserve">ADM-WE-07</t>
  </si>
  <si>
    <t xml:space="preserve">Workflow de publication et de planification (Planifier / Publier) avec contrôle des 3 langues</t>
  </si>
  <si>
    <t xml:space="preserve">ADM-WE-08</t>
  </si>
  <si>
    <t xml:space="preserve">Calendrier éditorial mensuel (grille Lun–Dim, légende, navigation)</t>
  </si>
  <si>
    <t xml:space="preserve">ADM-WE-09</t>
  </si>
  <si>
    <t xml:space="preserve">Calendrier : création depuis un jour non couvert, vue Semaine et reprogrammation</t>
  </si>
  <si>
    <t xml:space="preserve">ADM-WE-08, ADM-WE-07</t>
  </si>
  <si>
    <t xml:space="preserve">ADM-WE-10</t>
  </si>
  <si>
    <t xml:space="preserve">Médiathèque : grille de médias, recherche et filtres</t>
  </si>
  <si>
    <t xml:space="preserve">ADM-WE-11</t>
  </si>
  <si>
    <t xml:space="preserve">Téléversement d'images : glisser-déposer, validation et formats générés</t>
  </si>
  <si>
    <t xml:space="preserve">ADM-WE-12</t>
  </si>
  <si>
    <t xml:space="preserve">Sélecteur de médiathèque dans l'éditeur et protection des médias utilisés</t>
  </si>
  <si>
    <t xml:space="preserve">ADM-WE-10, ADM-WE-05</t>
  </si>
  <si>
    <t xml:space="preserve">ADM-WE-13</t>
  </si>
  <si>
    <t xml:space="preserve">RBAC et journalisation des actions du module Contenu éditorial</t>
  </si>
  <si>
    <t xml:space="preserve">ADM-WE-02, ADM-WE-07</t>
  </si>
  <si>
    <t xml:space="preserve">ADM-WE-14</t>
  </si>
  <si>
    <t xml:space="preserve">Tests e2e, visuels et accessibilité du module Contenu éditorial</t>
  </si>
  <si>
    <t xml:space="preserve">ADM-WE-05, ADM-WE-08, ADM-WE-10</t>
  </si>
  <si>
    <t xml:space="preserve">ADM-WF-01</t>
  </si>
  <si>
    <t xml:space="preserve">Modèles TypeScript, schémas Zod et libellés des questions de quiz</t>
  </si>
  <si>
    <t xml:space="preserve">ADM-WF-02</t>
  </si>
  <si>
    <t xml:space="preserve">Client API admin des questions de quiz (CRUD, file IA, approbation, rejet, statistiques)</t>
  </si>
  <si>
    <t xml:space="preserve">ADM-WF-03</t>
  </si>
  <si>
    <t xml:space="preserve">Hooks TanStack Query du module quiz : clés, staleTime et invalidations</t>
  </si>
  <si>
    <t xml:space="preserve">ADM-WF-04</t>
  </si>
  <si>
    <t xml:space="preserve">Liste des questions : en-tête, filtres et table (WF-01)</t>
  </si>
  <si>
    <t xml:space="preserve">ADM-WF-05</t>
  </si>
  <si>
    <t xml:space="preserve">Recherche et filtres des questions (niveau, catégorie, statut, plage de réussite) dans l'URL</t>
  </si>
  <si>
    <t xml:space="preserve">ADM-WF-06</t>
  </si>
  <si>
    <t xml:space="preserve">Compteur de questions en attente : sous-titres, bouton, badge de sidebar et indicateur de charge</t>
  </si>
  <si>
    <t xml:space="preserve">ADM-WF-07</t>
  </si>
  <si>
    <t xml:space="preserve">Éditeur de question : structure de page et énoncé trilingue (WF-02)</t>
  </si>
  <si>
    <t xml:space="preserve">ADM-WF-08</t>
  </si>
  <si>
    <t xml:space="preserve">Éditeur de réponses : 4 options trilingues et choix de la bonne réponse</t>
  </si>
  <si>
    <t xml:space="preserve">ADM-WF-09</t>
  </si>
  <si>
    <t xml:space="preserve">Panneaux Paramètres et Performance de l'éditeur (WF-02)</t>
  </si>
  <si>
    <t xml:space="preserve">ADM-WF-10</t>
  </si>
  <si>
    <t xml:space="preserve">Workflow de statut d'une question et règles de publication trilingue</t>
  </si>
  <si>
    <t xml:space="preserve">ADM-WF-09, ADM-WF-08</t>
  </si>
  <si>
    <t xml:space="preserve">ADM-WF-11</t>
  </si>
  <si>
    <t xml:space="preserve">Création, duplication et archivage d'une question depuis la liste</t>
  </si>
  <si>
    <t xml:space="preserve">ADM-WF-04, ADM-WF-07</t>
  </si>
  <si>
    <t xml:space="preserve">ADM-WF-12</t>
  </si>
  <si>
    <t xml:space="preserve">File de validation des questions générées par IA : page et cartes (WF-03)</t>
  </si>
  <si>
    <t xml:space="preserve">ADM-WF-03, ADM-WF-06</t>
  </si>
  <si>
    <t xml:space="preserve">ADM-WF-13</t>
  </si>
  <si>
    <t xml:space="preserve">Actions Approuver et Rejeter : règles, états et journalisation</t>
  </si>
  <si>
    <t xml:space="preserve">ADM-WF-14</t>
  </si>
  <si>
    <t xml:space="preserve">Corriger puis approuver : correction d'une question IA avant publication</t>
  </si>
  <si>
    <t xml:space="preserve">ADM-WF-12, ADM-WF-08</t>
  </si>
  <si>
    <t xml:space="preserve">ADM-WF-15</t>
  </si>
  <si>
    <t xml:space="preserve">« Approuver la sélection » : sélection de cartes et approbation en lot</t>
  </si>
  <si>
    <t xml:space="preserve">ADM-WF-16</t>
  </si>
  <si>
    <t xml:space="preserve">Modale « Rejeter cette question ? » : motifs et commentaire (WF-05)</t>
  </si>
  <si>
    <t xml:space="preserve">ADM-WF-17</t>
  </si>
  <si>
    <t xml:space="preserve">Raccourcis clavier de la file de validation (A, C, R, J/K)</t>
  </si>
  <si>
    <t xml:space="preserve">ADM-WF-13, ADM-WF-16</t>
  </si>
  <si>
    <t xml:space="preserve">ADM-WF-18</t>
  </si>
  <si>
    <t xml:space="preserve">Écran Performance des questions : en-tête et quatre indicateurs (WF-04)</t>
  </si>
  <si>
    <t xml:space="preserve">ADM-WF-19</t>
  </si>
  <si>
    <t xml:space="preserve">Histogramme « Répartition du taux de réussite » (Recharts)</t>
  </si>
  <si>
    <t xml:space="preserve">ADM-WF-20</t>
  </si>
  <si>
    <t xml:space="preserve">Liste « À corriger en priorité » : questions mal calibrées ou ambiguës</t>
  </si>
  <si>
    <t xml:space="preserve">ADM-WF-21</t>
  </si>
  <si>
    <t xml:space="preserve">Export CSV/Excel des statistiques de performance des questions</t>
  </si>
  <si>
    <t xml:space="preserve">ADM-WF-22</t>
  </si>
  <si>
    <t xml:space="preserve">RBAC et piste d'audit du module questions de quiz</t>
  </si>
  <si>
    <t xml:space="preserve">ADM-WF-23</t>
  </si>
  <si>
    <t xml:space="preserve">Tests E2E et d'accessibilité du module questions de quiz</t>
  </si>
  <si>
    <t xml:space="preserve">ADM-WF-22, ADM-WF-17, ADM-WF-19, ADM-WF-20, ADM-WF-21, ADM-WF-15, ADM-WF-10</t>
  </si>
  <si>
    <t xml:space="preserve">ADM-WH-01</t>
  </si>
  <si>
    <t xml:space="preserve">Couche api/hooks du module observabilité (santé, files, logs, IA, audit)</t>
  </si>
  <si>
    <t xml:space="preserve">ADM-WH-02</t>
  </si>
  <si>
    <t xml:space="preserve">Routes de supervision réservées au super-admin et navigation</t>
  </si>
  <si>
    <t xml:space="preserve">ADM-WH-03</t>
  </si>
  <si>
    <t xml:space="preserve">Écran Santé technique : statut agrégé, KPI et services</t>
  </si>
  <si>
    <t xml:space="preserve">ADM-WH-04</t>
  </si>
  <si>
    <t xml:space="preserve">Graphique de latence p50/p95/p99 et taux d'erreur 5xx</t>
  </si>
  <si>
    <t xml:space="preserve">ADM-WH-05</t>
  </si>
  <si>
    <t xml:space="preserve">Bandeau d'alertes actives et lien vers la file concernée</t>
  </si>
  <si>
    <t xml:space="preserve">ADM-WH-06</t>
  </si>
  <si>
    <t xml:space="preserve">Écran Files d'attente BullMQ : cartes de files et dead letter</t>
  </si>
  <si>
    <t xml:space="preserve">ADM-WH-02, ADM-WH-05</t>
  </si>
  <si>
    <t xml:space="preserve">ADM-WH-07</t>
  </si>
  <si>
    <t xml:space="preserve">Relancer ou marquer traité un job en échec (confirmation, journalisation)</t>
  </si>
  <si>
    <t xml:space="preserve">ADM-WH-08</t>
  </si>
  <si>
    <t xml:space="preserve">Écran Explorateur de logs : recherche, filtres et table</t>
  </si>
  <si>
    <t xml:space="preserve">ADM-WH-09</t>
  </si>
  <si>
    <t xml:space="preserve">Masquage des données personnelles dans les logs et garde d'accès</t>
  </si>
  <si>
    <t xml:space="preserve">ADM-WH-10</t>
  </si>
  <si>
    <t xml:space="preserve">Écran Consommation IA : budgets texte/image et prévision de dépassement</t>
  </si>
  <si>
    <t xml:space="preserve">ADM-WH-11</t>
  </si>
  <si>
    <t xml:space="preserve">Écran Journal d'audit : table filtrable de la piste immuable</t>
  </si>
  <si>
    <t xml:space="preserve">ADM-WH-12</t>
  </si>
  <si>
    <t xml:space="preserve">Export CSV du journal d'audit (filtres courants)</t>
  </si>
  <si>
    <t xml:space="preserve">ADM-WH-13</t>
  </si>
  <si>
    <t xml:space="preserve">Widgets Santé technique et Dernières actions sur le tableau de bord</t>
  </si>
  <si>
    <t xml:space="preserve">ADM-WH-03, ADM-WH-11</t>
  </si>
  <si>
    <t xml:space="preserve">ADM-WH-14</t>
  </si>
  <si>
    <t xml:space="preserve">Rafraîchissement automatique accessible et économe</t>
  </si>
  <si>
    <t xml:space="preserve">ADM-WH-03, ADM-WH-06</t>
  </si>
  <si>
    <t xml:space="preserve">ADM-WH-15</t>
  </si>
  <si>
    <t xml:space="preserve">Parcours E2E Playwright : supervision et audit</t>
  </si>
  <si>
    <t xml:space="preserve">ADM-WH-07, ADM-WH-08, ADM-WH-11, ADM-WH-10</t>
  </si>
  <si>
    <t xml:space="preserve">ADM-WI-01</t>
  </si>
  <si>
    <t xml:space="preserve">Couche api/hooks : comptes admin, configuration système, notifications manuelles</t>
  </si>
  <si>
    <t xml:space="preserve">ADM-WI-02</t>
  </si>
  <si>
    <t xml:space="preserve">Layout Configuration avec onglets Feature flags / Quotas IA / Rapports</t>
  </si>
  <si>
    <t xml:space="preserve">ADM-WI-03</t>
  </si>
  <si>
    <t xml:space="preserve">Écran Comptes administrateurs : liste, rôles, statuts, 2FA</t>
  </si>
  <si>
    <t xml:space="preserve">ADM-WI-04</t>
  </si>
  <si>
    <t xml:space="preserve">Modale Inviter un administrateur (formulaire RHF + Zod)</t>
  </si>
  <si>
    <t xml:space="preserve">ADM-WI-05</t>
  </si>
  <si>
    <t xml:space="preserve">Parcours de première connexion : lien à usage unique, mot de passe et 2FA</t>
  </si>
  <si>
    <t xml:space="preserve">ADM-WI-06</t>
  </si>
  <si>
    <t xml:space="preserve">Édition du rôle d'un administrateur avec garde-fous</t>
  </si>
  <si>
    <t xml:space="preserve">ADM-WI-07</t>
  </si>
  <si>
    <t xml:space="preserve">Panneau Sessions actives d'un administrateur</t>
  </si>
  <si>
    <t xml:space="preserve">ADM-WI-08</t>
  </si>
  <si>
    <t xml:space="preserve">Révocation d'une session ou de toutes les sessions</t>
  </si>
  <si>
    <t xml:space="preserve">ADM-WI-09</t>
  </si>
  <si>
    <t xml:space="preserve">Désactivation d'un compte administrateur et suppression renforcée</t>
  </si>
  <si>
    <t xml:space="preserve">ADM-WI-03, ADM-WI-08</t>
  </si>
  <si>
    <t xml:space="preserve">ADM-WI-10</t>
  </si>
  <si>
    <t xml:space="preserve">Onglet Feature flags : interrupteurs et déploiement progressif</t>
  </si>
  <si>
    <t xml:space="preserve">ADM-WI-11</t>
  </si>
  <si>
    <t xml:space="preserve">Pourcentage de déploiement progressif d'un feature flag</t>
  </si>
  <si>
    <t xml:space="preserve">ADM-WI-12</t>
  </si>
  <si>
    <t xml:space="preserve">Onglet Quotas IA : plafonds par utilisateur et budgets mensuels</t>
  </si>
  <si>
    <t xml:space="preserve">ADM-WI-13</t>
  </si>
  <si>
    <t xml:space="preserve">Confirmation renforcée lors d'une hausse de quota</t>
  </si>
  <si>
    <t xml:space="preserve">ADM-WI-14</t>
  </si>
  <si>
    <t xml:space="preserve">Écran Notification manuelle : audience, contenu, programmation, aperçu</t>
  </si>
  <si>
    <t xml:space="preserve">ADM-WI-15</t>
  </si>
  <si>
    <t xml:space="preserve">Segments d'audience et estimation du nombre de destinataires</t>
  </si>
  <si>
    <t xml:space="preserve">ADM-WI-16</t>
  </si>
  <si>
    <t xml:space="preserve">Programmation différée et brouillon d'une notification</t>
  </si>
  <si>
    <t xml:space="preserve">ADM-WI-17</t>
  </si>
  <si>
    <t xml:space="preserve">Modale de double confirmation « Envoyer à TOUS les utilisateurs »</t>
  </si>
  <si>
    <t xml:space="preserve">ADM-WI-14, ADM-WI-09</t>
  </si>
  <si>
    <t xml:space="preserve">ADM-WI-18</t>
  </si>
  <si>
    <t xml:space="preserve">Onglet Rapports : rapport hebdomadaire et exports CSV/Excel</t>
  </si>
  <si>
    <t xml:space="preserve">ADM-WI-19</t>
  </si>
  <si>
    <t xml:space="preserve">Exports CSV/Excel des listes (joueurs, utilisateurs, signalements)</t>
  </si>
  <si>
    <t xml:space="preserve">ADM-WI-20</t>
  </si>
  <si>
    <t xml:space="preserve">Matrice de permissions et audit des actions Comptes/Configuration</t>
  </si>
  <si>
    <t xml:space="preserve">ADM-WI-03, ADM-WI-10, ADM-WI-12</t>
  </si>
  <si>
    <t xml:space="preserve">ADM-WI-21</t>
  </si>
  <si>
    <t xml:space="preserve">Parcours E2E : invitation, flag, quota, notification</t>
  </si>
  <si>
    <t xml:space="preserve">ADM-WI-04, ADM-WI-10, ADM-WI-12, ADM-WI-17</t>
  </si>
  <si>
    <t xml:space="preserve">ADM-WJ-01</t>
  </si>
  <si>
    <t xml:space="preserve">Couche api/hooks : utilisateurs, sanctions et historique</t>
  </si>
  <si>
    <t xml:space="preserve">ADM-WJ-02</t>
  </si>
  <si>
    <t xml:space="preserve">Écran Liste des utilisateurs : recherche, filtres, table paginée</t>
  </si>
  <si>
    <t xml:space="preserve">ADM-WJ-03</t>
  </si>
  <si>
    <t xml:space="preserve">Écran Fiche utilisateur : résumé, activité et données personnelles</t>
  </si>
  <si>
    <t xml:space="preserve">ADM-WJ-04</t>
  </si>
  <si>
    <t xml:space="preserve">Actions Avertir / Suspendre / Bannir depuis la fiche avec barème et justification</t>
  </si>
  <si>
    <t xml:space="preserve">ADM-WG-01</t>
  </si>
  <si>
    <t xml:space="preserve">Modèles TypeScript, schémas Zod et libellés de la modération (signalements, actions, groupes)</t>
  </si>
  <si>
    <t xml:space="preserve">ADM-WG-02</t>
  </si>
  <si>
    <t xml:space="preserve">Client API admin de modération : signalements, actions, historique et groupes locaux</t>
  </si>
  <si>
    <t xml:space="preserve">ADM-WG-03</t>
  </si>
  <si>
    <t xml:space="preserve">Hooks TanStack Query de la modération : fraîcheur 30 s, invalidations et compteurs</t>
  </si>
  <si>
    <t xml:space="preserve">ADM-WG-04</t>
  </si>
  <si>
    <t xml:space="preserve">File de signalements : en-tête et table (WG-01)</t>
  </si>
  <si>
    <t xml:space="preserve">ADM-WG-03, ADM-WG-05</t>
  </si>
  <si>
    <t xml:space="preserve">ADM-WG-05</t>
  </si>
  <si>
    <t xml:space="preserve">Badge de gravité automatique et mention « décision finale humaine »</t>
  </si>
  <si>
    <t xml:space="preserve">ADM-WG-06</t>
  </si>
  <si>
    <t xml:space="preserve">Onglets En attente / En cours / Traités / Ignorés et compteurs de la file</t>
  </si>
  <si>
    <t xml:space="preserve">ADM-WG-07</t>
  </si>
  <si>
    <t xml:space="preserve">Recherche et filtres de la file : type de contenu, gravité, période</t>
  </si>
  <si>
    <t xml:space="preserve">ADM-WG-08</t>
  </si>
  <si>
    <t xml:space="preserve">Détail d'un signalement : en-tête, corps et zone d'actions (WG-02)</t>
  </si>
  <si>
    <t xml:space="preserve">ADM-WG-09</t>
  </si>
  <si>
    <t xml:space="preserve">Contenu signalé et contexte de conversation, avec masquage du contenu sensible</t>
  </si>
  <si>
    <t xml:space="preserve">ADM-WG-10</t>
  </si>
  <si>
    <t xml:space="preserve">Panneaux « Auteur du contenu » et « Rapporteur » (WG-02)</t>
  </si>
  <si>
    <t xml:space="preserve">ADM-WG-11</t>
  </si>
  <si>
    <t xml:space="preserve">Navigation précédent / suivant entre signalements de la file</t>
  </si>
  <si>
    <t xml:space="preserve">ADM-WG-12</t>
  </si>
  <si>
    <t xml:space="preserve">Actions Ignorer, Masquer le contenu et Avertir sur un signalement</t>
  </si>
  <si>
    <t xml:space="preserve">ADM-WG-08, ADM-WG-03</t>
  </si>
  <si>
    <t xml:space="preserve">ADM-WG-13</t>
  </si>
  <si>
    <t xml:space="preserve">Modale « Bannir définitivement » : gravité retenue et justification obligatoire (WG-03)</t>
  </si>
  <si>
    <t xml:space="preserve">ADM-WG-14</t>
  </si>
  <si>
    <t xml:space="preserve">Action Suspendre : durée, gravité et justification obligatoire</t>
  </si>
  <si>
    <t xml:space="preserve">ADM-WG-15</t>
  </si>
  <si>
    <t xml:space="preserve">Calcul et affichage du rang de récidive et de la suggestion du barème</t>
  </si>
  <si>
    <t xml:space="preserve">ADM-WG-16</t>
  </si>
  <si>
    <t xml:space="preserve">Historique de modération d'un utilisateur : en-tête et indicateurs (WG-04)</t>
  </si>
  <si>
    <t xml:space="preserve">ADM-WG-03, ADM-WG-15</t>
  </si>
  <si>
    <t xml:space="preserve">ADM-WG-17</t>
  </si>
  <si>
    <t xml:space="preserve">Chronologie des décisions de modération d'un utilisateur</t>
  </si>
  <si>
    <t xml:space="preserve">ADM-WG-18</t>
  </si>
  <si>
    <t xml:space="preserve">Gestion des groupes locaux : en-tête, onglets et table (WG-05)</t>
  </si>
  <si>
    <t xml:space="preserve">ADM-WG-19</t>
  </si>
  <si>
    <t xml:space="preserve">Valider ou refuser la création d'un groupe local</t>
  </si>
  <si>
    <t xml:space="preserve">ADM-WG-20</t>
  </si>
  <si>
    <t xml:space="preserve">Règle de validation des groupes : consultation et seuil configurable</t>
  </si>
  <si>
    <t xml:space="preserve">ADM-WG-21</t>
  </si>
  <si>
    <t xml:space="preserve">Gérer un groupe actif : archivage et restauration</t>
  </si>
  <si>
    <t xml:space="preserve">ADM-WG-22</t>
  </si>
  <si>
    <t xml:space="preserve">Écran Barème de sanctions : tableau de référence et notes (WG-06)</t>
  </si>
  <si>
    <t xml:space="preserve">ADM-WG-15, ADM-WG-05</t>
  </si>
  <si>
    <t xml:space="preserve">ADM-WG-23</t>
  </si>
  <si>
    <t xml:space="preserve">File de modération vide : état « File vide, bravo ! » (WG-07)</t>
  </si>
  <si>
    <t xml:space="preserve">ADM-WG-24</t>
  </si>
  <si>
    <t xml:space="preserve">Raccourcis clavier des modérateurs et aide « Raccourcis clavier »</t>
  </si>
  <si>
    <t xml:space="preserve">ADM-WG-04, ADM-WG-08</t>
  </si>
  <si>
    <t xml:space="preserve">ADM-WG-25</t>
  </si>
  <si>
    <t xml:space="preserve">Rafraîchissement automatique de la file et alerte de nouveaux signalements urgents</t>
  </si>
  <si>
    <t xml:space="preserve">ADM-WG-26</t>
  </si>
  <si>
    <t xml:space="preserve">RBAC et journal d'audit immuable du module modération</t>
  </si>
  <si>
    <t xml:space="preserve">ADM-WG-27</t>
  </si>
  <si>
    <t xml:space="preserve">Tests E2E et d'accessibilité du module modération communautaire</t>
  </si>
  <si>
    <t xml:space="preserve">ADM-WG-26, ADM-WG-13, ADM-WG-14, ADM-WG-17, ADM-WG-19, ADM-WG-21, ADM-WG-22, ADM-WG-23, ADM-WG-24, ADM-WG-25, ADM-WG-20, ADM-WG-07, ADM-WG-09, ADM-WG-10, ADM-WG-11</t>
  </si>
  <si>
    <t xml:space="preserve">ADM-WJ-05</t>
  </si>
  <si>
    <t xml:space="preserve">Écran Barème Fantasy configurable</t>
  </si>
  <si>
    <t xml:space="preserve">ADM-WJ-06</t>
  </si>
  <si>
    <t xml:space="preserve">Simulation d'impact et historique des versions du barème Fantasy</t>
  </si>
  <si>
    <t xml:space="preserve">ADM-WJ-07</t>
  </si>
  <si>
    <t xml:space="preserve">Écran Tableau de bord GOAT : votes et anomalies</t>
  </si>
  <si>
    <t xml:space="preserve">ADM-WJ-08</t>
  </si>
  <si>
    <t xml:space="preserve">Traitement des anomalies de votes : Invalider / Valider</t>
  </si>
  <si>
    <t xml:space="preserve">ADM-WJ-13</t>
  </si>
  <si>
    <t xml:space="preserve">Tests E2E : utilisateurs et évolutions phase 2-3</t>
  </si>
  <si>
    <t xml:space="preserve">ADM-WJ-04, ADM-WJ-05, ADM-WJ-07, ADM-WJ-09, ADM-WJ-11</t>
  </si>
  <si>
    <t xml:space="preserve">ADM-WJ-09</t>
  </si>
  <si>
    <t xml:space="preserve">Écran Supervision La Masia Academy</t>
  </si>
  <si>
    <t xml:space="preserve">ADM-WJ-10</t>
  </si>
  <si>
    <t xml:space="preserve">Ajustement des règles de progression La Masia</t>
  </si>
  <si>
    <t xml:space="preserve">ADM-WJ-11</t>
  </si>
  <si>
    <t xml:space="preserve">Écran Bibliothèque de modération des wallpapers IA</t>
  </si>
  <si>
    <t xml:space="preserve">ADM-WJ-12</t>
  </si>
  <si>
    <t xml:space="preserve">Retrait d'un wallpaper IA avec motif et notification</t>
  </si>
  <si>
    <t xml:space="preserve">Tableau de bord de suivi</t>
  </si>
  <si>
    <t xml:space="preserve">Mis à jour automatiquement à partir des statuts saisis dans « Backlog ».</t>
  </si>
  <si>
    <t xml:space="preserve">Par phase</t>
  </si>
  <si>
    <t xml:space="preserve">Issues au total</t>
  </si>
  <si>
    <t xml:space="preserve">Issues</t>
  </si>
  <si>
    <t xml:space="preserve">% issues</t>
  </si>
  <si>
    <t xml:space="preserve">Réalisée (j)</t>
  </si>
  <si>
    <t xml:space="preserve">% charge</t>
  </si>
  <si>
    <t xml:space="preserve">Fin prévue</t>
  </si>
  <si>
    <t xml:space="preserve">En cours</t>
  </si>
  <si>
    <t xml:space="preserve">Bloquées</t>
  </si>
  <si>
    <t xml:space="preserve">Avancement (issues)</t>
  </si>
  <si>
    <t xml:space="preserve">Charge totale (j)</t>
  </si>
  <si>
    <t xml:space="preserve">Charge réalisée (j)</t>
  </si>
  <si>
    <t xml:space="preserve">Avancement (charge)</t>
  </si>
  <si>
    <t xml:space="preserve">Par flux</t>
  </si>
  <si>
    <t xml:space="preserve">Début prévu</t>
  </si>
  <si>
    <t xml:space="preserve">Aujourd’hui</t>
  </si>
  <si>
    <t xml:space="preserve">Par statut</t>
  </si>
  <si>
    <t xml:space="preserve">En revue</t>
  </si>
  <si>
    <t xml:space="preserve">Bloqué</t>
  </si>
  <si>
    <t xml:space="preserve">Scénarios d’équipe (durée estimée)</t>
  </si>
  <si>
    <t xml:space="preserve">Compare des tailles d’équipe : durée (semaines) = charge × (1+marge) ÷ (devs × focus × 5). Les devs sont modifiables (cellules bleues).</t>
  </si>
  <si>
    <t xml:space="preserve">Solo (1 dev au total)</t>
  </si>
  <si>
    <t xml:space="preserve">Petite équipe</t>
  </si>
  <si>
    <t xml:space="preserve">Équipe cible (Paramètres)</t>
  </si>
  <si>
    <t xml:space="preserve">Équipe renforcée</t>
  </si>
  <si>
    <t xml:space="preserve">Développeurs</t>
  </si>
  <si>
    <t xml:space="preserve">Durée totale (semaines)</t>
  </si>
  <si>
    <t xml:space="preserve">Fin estimée</t>
  </si>
  <si>
    <t xml:space="preserve">Lecture : la durée suppose une répartition parfaite des développeurs entre les 3 flux au prorata de la charge. Les dépendances (API avant Mobile/Admin) et la recette rallongent le calendrier réel : le planning détaillé (feuilles Épopées / Gantt) fait foi.</t>
  </si>
  <si>
    <t xml:space="preserve">Décisions à trancher et risques</t>
  </si>
  <si>
    <t xml:space="preserve">Les décisions « à confirmer » proviennent de la rédaction du backlog (écarts CDC ↔ maquettes ↔ code). Les risques reprennent le CDC §9.</t>
  </si>
  <si>
    <t xml:space="preserve">ID</t>
  </si>
  <si>
    <t xml:space="preserve">Sujet</t>
  </si>
  <si>
    <t xml:space="preserve">Constat</t>
  </si>
  <si>
    <t xml:space="preserve">Proposition retenue dans les issues</t>
  </si>
  <si>
    <t xml:space="preserve">Issues impactées</t>
  </si>
  <si>
    <t xml:space="preserve">Décision</t>
  </si>
  <si>
    <t xml:space="preserve">D01</t>
  </si>
  <si>
    <t xml:space="preserve">Fuseau du « jeu du jour »</t>
  </si>
  <si>
    <t xml:space="preserve">CDC : « à définir » ; minuit local ou serveur ambigu.</t>
  </si>
  <si>
    <t xml:space="preserve">Europe/Madrid (minuit heure du serveur).</t>
  </si>
  <si>
    <t xml:space="preserve">API-JEUX, MOB-D, MOB-E</t>
  </si>
  <si>
    <t xml:space="preserve">Décidé par défaut — voir docs/DECISIONS.md</t>
  </si>
  <si>
    <t xml:space="preserve">Décidé</t>
  </si>
  <si>
    <t xml:space="preserve">D02</t>
  </si>
  <si>
    <t xml:space="preserve">Quotas de l’assistant IA et des wallpapers</t>
  </si>
  <si>
    <t xml:space="preserve">CDC : 30 messages et 5 générations/jour ; maquettes : 40 et 3.</t>
  </si>
  <si>
    <t xml:space="preserve">Valeurs des maquettes, configurables côté back-office.</t>
  </si>
  <si>
    <t xml:space="preserve">API-IA, API-WALL, MOB-N, MOB-M</t>
  </si>
  <si>
    <t xml:space="preserve">D03</t>
  </si>
  <si>
    <t xml:space="preserve">Délais de modération (SLA) et contestation</t>
  </si>
  <si>
    <t xml:space="preserve">Non définis au CDC.</t>
  </si>
  <si>
    <t xml:space="preserve">SLA 1 h / 24 h / 72 h selon gravité ; contestation sous 14 jours.</t>
  </si>
  <si>
    <t xml:space="preserve">API-MODER, ADM-WG</t>
  </si>
  <si>
    <t xml:space="preserve">D04</t>
  </si>
  <si>
    <t xml:space="preserve">Barème Guess the Player et seuils « proche »</t>
  </si>
  <si>
    <t xml:space="preserve">Barème 100/80/60/40/25/10 ; seuils à valider.</t>
  </si>
  <si>
    <t xml:space="preserve">API-JEUX, MOB-D</t>
  </si>
  <si>
    <t xml:space="preserve">D05</t>
  </si>
  <si>
    <t xml:space="preserve">Barème quiz (+150 pts, bonus de rapidité)</t>
  </si>
  <si>
    <t xml:space="preserve">Le maximum « +150 pts » n’apparaît qu’au niveau 2.</t>
  </si>
  <si>
    <t xml:space="preserve">Base par niveau + bonus de rapidité.</t>
  </si>
  <si>
    <t xml:space="preserve">API-JEUX, MOB-E</t>
  </si>
  <si>
    <t xml:space="preserve">D06</t>
  </si>
  <si>
    <t xml:space="preserve">Niveaux d’XP du Culé Passport</t>
  </si>
  <si>
    <t xml:space="preserve">CDC : seulement 5 niveaux de quiz.</t>
  </si>
  <si>
    <t xml:space="preserve">Seuils 0/500/3000/8000/20000 XP (à confirmer).</t>
  </si>
  <si>
    <t xml:space="preserve">D07</t>
  </si>
  <si>
    <t xml:space="preserve">Budget et mercato du Fantasy</t>
  </si>
  <si>
    <t xml:space="preserve">Absents du CDC et des maquettes.</t>
  </si>
  <si>
    <t xml:space="preserve">Non spécifiés (hors périmètre).</t>
  </si>
  <si>
    <t xml:space="preserve">D08</t>
  </si>
  <si>
    <t xml:space="preserve">Règles de La Masia (gains, fatigue, catégories, décision « mental »)</t>
  </si>
  <si>
    <t xml:space="preserve">Valeurs absentes ; « mental » sans carte sur I-06.</t>
  </si>
  <si>
    <t xml:space="preserve">Propositions marquées « à confirmer ».</t>
  </si>
  <si>
    <t xml:space="preserve">D09</t>
  </si>
  <si>
    <t xml:space="preserve">Critères de vote GOAT secondaires</t>
  </si>
  <si>
    <t xml:space="preserve">Extension du CDC.</t>
  </si>
  <si>
    <t xml:space="preserve">Désactivés par défaut.</t>
  </si>
  <si>
    <t xml:space="preserve">D10</t>
  </si>
  <si>
    <t xml:space="preserve">Ligues d’amis et endpoints hors CDC §3.5</t>
  </si>
  <si>
    <t xml:space="preserve">Ligues, profil public, barème, badges non décrits au CDC.</t>
  </si>
  <si>
    <t xml:space="preserve">Ajoutés comme extensions, marqués « proposé ».</t>
  </si>
  <si>
    <t xml:space="preserve">API-FANT, API-PASS, MOB-H, MOB-P</t>
  </si>
  <si>
    <t xml:space="preserve">D11</t>
  </si>
  <si>
    <t xml:space="preserve">Heures calmes par jour, « Buts en direct », compétitions suivies</t>
  </si>
  <si>
    <t xml:space="preserve">Absents du modèle API.</t>
  </si>
  <si>
    <t xml:space="preserve">Modèle NotificationPreference à étendre.</t>
  </si>
  <si>
    <t xml:space="preserve">D12</t>
  </si>
  <si>
    <t xml:space="preserve">Suppression de compte : étapes 2/3</t>
  </si>
  <si>
    <t xml:space="preserve">Non maquettées.</t>
  </si>
  <si>
    <t xml:space="preserve">À maquetter avant développement.</t>
  </si>
  <si>
    <t xml:space="preserve">MOB-Q, API-AUTH</t>
  </si>
  <si>
    <t xml:space="preserve">D13</t>
  </si>
  <si>
    <t xml:space="preserve">Permission push au lancement</t>
  </si>
  <si>
    <t xml:space="preserve">Le code demande la permission au lancement, contrairement à l’écran de pré-permission B-15.</t>
  </si>
  <si>
    <t xml:space="preserve">Déplacer la demande après B-15.</t>
  </si>
  <si>
    <t xml:space="preserve">MOB-B, MOB-O</t>
  </si>
  <si>
    <t xml:space="preserve">D14</t>
  </si>
  <si>
    <t xml:space="preserve">Limite de tentatives d’authentification</t>
  </si>
  <si>
    <t xml:space="preserve">Code : 20 / 15 min ; CDC : 10.</t>
  </si>
  <si>
    <t xml:space="preserve">Aligner sur le CDC (10) ou valider 20.</t>
  </si>
  <si>
    <t xml:space="preserve">API-AUTH, API-PLAT</t>
  </si>
  <si>
    <t xml:space="preserve">D15</t>
  </si>
  <si>
    <t xml:space="preserve">Files BullMQ de la supervision (WH-02)</t>
  </si>
  <si>
    <t xml:space="preserve">Noms différents du dépôt et du CDC §7.</t>
  </si>
  <si>
    <t xml:space="preserve">Aligner sur la liste du dépôt.</t>
  </si>
  <si>
    <t xml:space="preserve">API-PLAT, ADM-WH</t>
  </si>
  <si>
    <t xml:space="preserve">D16</t>
  </si>
  <si>
    <t xml:space="preserve">Design system mobile : couleurs et espacements</t>
  </si>
  <si>
    <t xml:space="preserve">AppColors : background/surface inversés ; AppSpacing.md = 16 au lieu de 12 ; durées d’animation 280/480 vs 300/700 ms.</t>
  </si>
  <si>
    <t xml:space="preserve">Corriger avant les écrans.</t>
  </si>
  <si>
    <t xml:space="preserve">MOB-ZA, MOB-ZE</t>
  </si>
  <si>
    <t xml:space="preserve">D17</t>
  </si>
  <si>
    <t xml:space="preserve">CSP admin et nginx</t>
  </si>
  <si>
    <t xml:space="preserve">Script de thème inline bloqué par la CSP ; add_header imbriqués perdent la CSP sur index.html.</t>
  </si>
  <si>
    <t xml:space="preserve">Corriger dans FND admin.</t>
  </si>
  <si>
    <t xml:space="preserve">D18</t>
  </si>
  <si>
    <t xml:space="preserve">Champs joueur absents du modèle API</t>
  </si>
  <si>
    <t xml:space="preserve">publicId, strongFoot, heightCm ; postes des maquettes plus génériques que l’enum.</t>
  </si>
  <si>
    <t xml:space="preserve">Étendre le modèle Player.</t>
  </si>
  <si>
    <t xml:space="preserve">API-FOOT, ADM-WC</t>
  </si>
  <si>
    <t xml:space="preserve">D19</t>
  </si>
  <si>
    <t xml:space="preserve">Statut « En cours » et rang de récidive en modération</t>
  </si>
  <si>
    <t xml:space="preserve">Absents du CDC ; définition floue.</t>
  </si>
  <si>
    <t xml:space="preserve">À préciser avec le modérateur.</t>
  </si>
  <si>
    <t xml:space="preserve">Risques (CDC §9)</t>
  </si>
  <si>
    <t xml:space="preserve">Risque</t>
  </si>
  <si>
    <t xml:space="preserve">Impact</t>
  </si>
  <si>
    <t xml:space="preserve">Mesures de mitigation</t>
  </si>
  <si>
    <t xml:space="preserve">Rattachement backlog</t>
  </si>
  <si>
    <t xml:space="preserve">Probabilité</t>
  </si>
  <si>
    <t xml:space="preserve">R01</t>
  </si>
  <si>
    <t xml:space="preserve">Indisponibilité ou changement de l’API football externe</t>
  </si>
  <si>
    <t xml:space="preserve">Élevé</t>
  </si>
  <si>
    <t xml:space="preserve">Cache des dernières données, dégradation gracieuse, veille d’alternatives.</t>
  </si>
  <si>
    <t xml:space="preserve">API-FOOT (sync, quotas, reprise)</t>
  </si>
  <si>
    <t xml:space="preserve">Moyenne</t>
  </si>
  <si>
    <t xml:space="preserve">Ouvert</t>
  </si>
  <si>
    <t xml:space="preserve">R02</t>
  </si>
  <si>
    <t xml:space="preserve">Dérive de l’assistant IA (hors sujet, erreurs)</t>
  </si>
  <si>
    <t xml:space="preserve">Moyen</t>
  </si>
  <si>
    <t xml:space="preserve">RAG sur faits, garde-fous entrées/sorties, tests de non-régression de prompts.</t>
  </si>
  <si>
    <t xml:space="preserve">R03</t>
  </si>
  <si>
    <t xml:space="preserve">Abus de la carte communautaire</t>
  </si>
  <si>
    <t xml:space="preserve">Agrégation des positions, signalement, modération réactive.</t>
  </si>
  <si>
    <t xml:space="preserve">API-COMM, API-MODER</t>
  </si>
  <si>
    <t xml:space="preserve">R04</t>
  </si>
  <si>
    <t xml:space="preserve">Panne du VPS de production</t>
  </si>
  <si>
    <t xml:space="preserve">Sauvegardes, restauration testée, monitoring et alertes.</t>
  </si>
  <si>
    <t xml:space="preserve">API-PLAT, docs/DISASTER_RECOVERY.md</t>
  </si>
  <si>
    <t xml:space="preserve">Faible</t>
  </si>
  <si>
    <t xml:space="preserve">R05</t>
  </si>
  <si>
    <t xml:space="preserve">Non-conformité RGPD</t>
  </si>
  <si>
    <t xml:space="preserve">Consentement explicite, minimisation, registre, revue légale.</t>
  </si>
  <si>
    <t xml:space="preserve">API-AUTH, API-COMM</t>
  </si>
  <si>
    <t xml:space="preserve">Faible à moyenne</t>
  </si>
  <si>
    <t xml:space="preserve">R06</t>
  </si>
  <si>
    <t xml:space="preserve">Charge de développement sous-estimée</t>
  </si>
  <si>
    <t xml:space="preserve">Phases, priorités P0/P1/P2, revue du périmètre, scénarios d’équipe.</t>
  </si>
  <si>
    <t xml:space="preserve">Feuille Scénarios</t>
  </si>
  <si>
    <t xml:space="preserve">Élevée</t>
  </si>
  <si>
    <t xml:space="preserve">R07</t>
  </si>
  <si>
    <t xml:space="preserve">Coût de génération IA supérieur aux attentes</t>
  </si>
  <si>
    <t xml:space="preserve">Plafonds par utilisateur, cache, modèles proportionnés.</t>
  </si>
  <si>
    <t xml:space="preserve">API-IA, API-WALL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</si>
</sst>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dd/mm/yyyy"/>
    <numFmt numFmtId="166" formatCode="0%"/>
    <numFmt numFmtId="167" formatCode="0.0"/>
    <numFmt numFmtId="168" formatCode="0"/>
    <numFmt numFmtId="169" formatCode="dd/mm"/>
    <numFmt numFmtId="170" formatCode="General"/>
    <numFmt numFmtId="171" formatCode="dd/mm/yy"/>
    <numFmt numFmtId="172" formatCode="#,##0.0"/>
    <numFmt numFmtId="173" formatCode="0.0%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A50044"/>
      <name val="Arial"/>
      <family val="0"/>
      <charset val="1"/>
    </font>
    <font>
      <i val="true"/>
      <sz val="10"/>
      <color rgb="FF5B6070"/>
      <name val="Arial"/>
      <family val="0"/>
      <charset val="1"/>
    </font>
    <font>
      <b val="true"/>
      <sz val="12"/>
      <color rgb="FFA50044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B6070"/>
      <name val="Arial"/>
      <family val="0"/>
      <charset val="1"/>
    </font>
    <font>
      <b val="true"/>
      <sz val="11"/>
      <color rgb="FFA5004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5B6070"/>
      <name val="Arial"/>
      <family val="0"/>
      <charset val="1"/>
    </font>
    <font>
      <b val="true"/>
      <sz val="8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0"/>
      <color rgb="FFA50044"/>
      <name val="Arial"/>
      <family val="0"/>
      <charset val="1"/>
    </font>
    <font>
      <b val="true"/>
      <sz val="11"/>
      <color rgb="FFE00000"/>
      <name val="Arial"/>
      <family val="0"/>
      <charset val="1"/>
    </font>
    <font>
      <u val="single"/>
      <sz val="10"/>
      <color rgb="FF004D98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2B3"/>
        <bgColor rgb="FFFFEB9C"/>
      </patternFill>
    </fill>
    <fill>
      <patternFill patternType="solid">
        <fgColor rgb="FFA50044"/>
        <bgColor rgb="FF800080"/>
      </patternFill>
    </fill>
    <fill>
      <patternFill patternType="solid">
        <fgColor rgb="FF5B7DB1"/>
        <bgColor rgb="FF4F81BD"/>
      </patternFill>
    </fill>
    <fill>
      <patternFill patternType="solid">
        <fgColor rgb="FF004D98"/>
        <bgColor rgb="FF003366"/>
      </patternFill>
    </fill>
    <fill>
      <patternFill patternType="solid">
        <fgColor rgb="FFD9A400"/>
        <bgColor rgb="FFFFCC00"/>
      </patternFill>
    </fill>
    <fill>
      <patternFill patternType="solid">
        <fgColor rgb="FF5B6070"/>
        <bgColor rgb="FF5B7DB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A"/>
      </left>
      <right style="thin">
        <color rgb="FFD0D0DA"/>
      </right>
      <top style="thin">
        <color rgb="FFD0D0DA"/>
      </top>
      <bottom style="thin">
        <color rgb="FFD0D0D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4" fillId="7" borderId="0" xfId="0" applyFont="true" applyBorder="false" applyAlignment="true" applyProtection="false">
      <alignment horizontal="center" vertical="bottom" textRotation="9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3">
    <dxf>
      <fill>
        <patternFill>
          <bgColor rgb="FF5B7DB1"/>
        </patternFill>
      </fill>
    </dxf>
    <dxf>
      <fill>
        <patternFill>
          <bgColor rgb="FFA50044"/>
        </patternFill>
      </fill>
    </dxf>
    <dxf>
      <fill>
        <patternFill>
          <bgColor rgb="FF004D98"/>
        </patternFill>
      </fill>
    </dxf>
    <dxf>
      <fill>
        <patternFill>
          <bgColor rgb="FFD9A400"/>
        </patternFill>
      </fill>
    </dxf>
    <dxf>
      <border diagonalUp="false" diagonalDown="false">
        <left style="thin">
          <color rgb="FFE00000"/>
        </left>
        <right style="thin">
          <color rgb="FFE00000"/>
        </right>
        <top/>
        <bottom/>
        <diagonal/>
      </border>
    </dxf>
    <dxf>
      <fill>
        <patternFill>
          <bgColor rgb="FFE00000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 patternType="solid">
          <fgColor rgb="FFA5004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4D98"/>
          <bgColor rgb="FF000000"/>
        </patternFill>
      </fill>
    </dxf>
    <dxf>
      <fill>
        <patternFill patternType="solid">
          <fgColor rgb="FF5B7DB1"/>
          <bgColor rgb="FF000000"/>
        </patternFill>
      </fill>
    </dxf>
    <dxf>
      <fill>
        <patternFill patternType="solid">
          <fgColor rgb="FFD9A400"/>
          <bgColor rgb="FF000000"/>
        </patternFill>
      </fill>
    </dxf>
    <dxf>
      <fill>
        <patternFill patternType="solid">
          <fgColor rgb="FF5B6070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>
          <bgColor rgb="FFDDEBF7"/>
        </patternFill>
      </fill>
    </dxf>
    <dxf>
      <fill>
        <patternFill>
          <bgColor rgb="FFFFC7CE"/>
        </patternFill>
      </fill>
    </dxf>
    <dxf>
      <font>
        <name val="Arial"/>
        <charset val="1"/>
        <family val="0"/>
        <b val="1"/>
        <color rgb="FF5B7DB1"/>
      </font>
    </dxf>
    <dxf>
      <font>
        <name val="Arial"/>
        <charset val="1"/>
        <family val="0"/>
        <b val="1"/>
        <color rgb="FFA50044"/>
      </font>
    </dxf>
    <dxf>
      <font>
        <name val="Arial"/>
        <charset val="1"/>
        <family val="0"/>
        <b val="1"/>
        <color rgb="FF004D98"/>
      </font>
    </dxf>
    <dxf>
      <font>
        <name val="Arial"/>
        <charset val="1"/>
        <family val="0"/>
        <b val="1"/>
        <color rgb="FFD9A400"/>
      </font>
    </dxf>
  </dxfs>
  <colors>
    <indexedColors>
      <rgbColor rgb="FF000000"/>
      <rgbColor rgb="FFFFFFFF"/>
      <rgbColor rgb="FFE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A50044"/>
      <rgbColor rgb="FF008080"/>
      <rgbColor rgb="FFD9D9D9"/>
      <rgbColor rgb="FF878787"/>
      <rgbColor rgb="FF9999FF"/>
      <rgbColor rgb="FF993366"/>
      <rgbColor rgb="FFFFF2B3"/>
      <rgbColor rgb="FFDDEBF7"/>
      <rgbColor rgb="FF660066"/>
      <rgbColor rgb="FFFF8080"/>
      <rgbColor rgb="FF004D98"/>
      <rgbColor rgb="FFD0D0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4F81BD"/>
      <rgbColor rgb="FF33CCCC"/>
      <rgbColor rgb="FF99CC00"/>
      <rgbColor rgb="FFFFCC00"/>
      <rgbColor rgb="FFD9A400"/>
      <rgbColor rgb="FFFF6600"/>
      <rgbColor rgb="FF5B6070"/>
      <rgbColor rgb="FF5B7DB1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Avancement par phase (% de la charge)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Suivi!J4</c:f>
              <c:strCache>
                <c:ptCount val="1"/>
                <c:pt idx="0">
                  <c:v>% charge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Suivi!$D$5:$D$8</c:f>
              <c:strCache>
                <c:ptCount val="4"/>
                <c:pt idx="0">
                  <c:v>Phase 0 — Socle technique</c:v>
                </c:pt>
                <c:pt idx="1">
                  <c:v>Phase 1 — MVP</c:v>
                </c:pt>
                <c:pt idx="2">
                  <c:v>Phase 2 — Communautaire &amp; compétitif</c:v>
                </c:pt>
                <c:pt idx="3">
                  <c:v>Phase 3 — Fonctionnalités avancées</c:v>
                </c:pt>
              </c:strCache>
            </c:strRef>
          </c:cat>
          <c:val>
            <c:numRef>
              <c:f>Suivi!$J$5:$J$8</c:f>
              <c:numCache>
                <c:formatCode>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gapWidth val="150"/>
        <c:overlap val="0"/>
        <c:axId val="60021413"/>
        <c:axId val="13893201"/>
      </c:barChart>
      <c:catAx>
        <c:axId val="6002141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893201"/>
        <c:crosses val="autoZero"/>
        <c:auto val="1"/>
        <c:lblAlgn val="ctr"/>
        <c:lblOffset val="100"/>
        <c:noMultiLvlLbl val="0"/>
      </c:catAx>
      <c:valAx>
        <c:axId val="13893201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02141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0</xdr:colOff>
      <xdr:row>1</xdr:row>
      <xdr:rowOff>130680</xdr:rowOff>
    </xdr:from>
    <xdr:to>
      <xdr:col>21</xdr:col>
      <xdr:colOff>255960</xdr:colOff>
      <xdr:row>14</xdr:row>
      <xdr:rowOff>173880</xdr:rowOff>
    </xdr:to>
    <xdr:graphicFrame>
      <xdr:nvGraphicFramePr>
        <xdr:cNvPr id="0" name="Chart 1"/>
        <xdr:cNvGraphicFramePr/>
      </xdr:nvGraphicFramePr>
      <xdr:xfrm>
        <a:off x="12993840" y="380880"/>
        <a:ext cx="575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https://github.com/TheGoatIA/univers_barca_api/issues?q=is%3Aissue+%22%5BAPI-PLAT-01%5D%22" TargetMode="External"/><Relationship Id="rId2" Type="http://schemas.openxmlformats.org/officeDocument/2006/relationships/hyperlink" Target="https://github.com/TheGoatIA/univers_barca_api/issues?q=is%3Aissue+%22%5BAPI-PLAT-02%5D%22" TargetMode="External"/><Relationship Id="rId3" Type="http://schemas.openxmlformats.org/officeDocument/2006/relationships/hyperlink" Target="https://github.com/TheGoatIA/univers_barca_api/issues?q=is%3Aissue+%22%5BAPI-PLAT-27%5D%22" TargetMode="External"/><Relationship Id="rId4" Type="http://schemas.openxmlformats.org/officeDocument/2006/relationships/hyperlink" Target="https://github.com/TheGoatIA/univers_barca_api/issues?q=is%3Aissue+%22%5BAPI-PLAT-36%5D%22" TargetMode="External"/><Relationship Id="rId5" Type="http://schemas.openxmlformats.org/officeDocument/2006/relationships/hyperlink" Target="https://github.com/TheGoatIA/univers_barca_api/issues?q=is%3Aissue+%22%5BAPI-PLAT-38%5D%22" TargetMode="External"/><Relationship Id="rId6" Type="http://schemas.openxmlformats.org/officeDocument/2006/relationships/hyperlink" Target="https://github.com/TheGoatIA/univers_barca_api/issues?q=is%3Aissue+%22%5BAPI-PLAT-39%5D%22" TargetMode="External"/><Relationship Id="rId7" Type="http://schemas.openxmlformats.org/officeDocument/2006/relationships/hyperlink" Target="https://github.com/TheGoatIA/univers_barca_api/issues?q=is%3Aissue+%22%5BAPI-PLAT-40%5D%22" TargetMode="External"/><Relationship Id="rId8" Type="http://schemas.openxmlformats.org/officeDocument/2006/relationships/hyperlink" Target="https://github.com/TheGoatIA/univers_barca_api/issues?q=is%3Aissue+%22%5BAPI-PLAT-45%5D%22" TargetMode="External"/><Relationship Id="rId9" Type="http://schemas.openxmlformats.org/officeDocument/2006/relationships/hyperlink" Target="https://github.com/TheGoatIA/univers_barca_api/issues?q=is%3Aissue+%22%5BAPI-PLAT-47%5D%22" TargetMode="External"/><Relationship Id="rId10" Type="http://schemas.openxmlformats.org/officeDocument/2006/relationships/hyperlink" Target="https://github.com/TheGoatIA/univers_barca_api/issues?q=is%3Aissue+%22%5BAPI-PLAT-51%5D%22" TargetMode="External"/><Relationship Id="rId11" Type="http://schemas.openxmlformats.org/officeDocument/2006/relationships/hyperlink" Target="https://github.com/TheGoatIA/univers_barca_api/issues?q=is%3Aissue+%22%5BAPI-AUTH-01%5D%22" TargetMode="External"/><Relationship Id="rId12" Type="http://schemas.openxmlformats.org/officeDocument/2006/relationships/hyperlink" Target="https://github.com/TheGoatIA/univers_barca_api/issues?q=is%3Aissue+%22%5BAPI-AUTH-02%5D%22" TargetMode="External"/><Relationship Id="rId13" Type="http://schemas.openxmlformats.org/officeDocument/2006/relationships/hyperlink" Target="https://github.com/TheGoatIA/univers_barca_api/issues?q=is%3Aissue+%22%5BAPI-PLAT-03%5D%22" TargetMode="External"/><Relationship Id="rId14" Type="http://schemas.openxmlformats.org/officeDocument/2006/relationships/hyperlink" Target="https://github.com/TheGoatIA/univers_barca_api/issues?q=is%3Aissue+%22%5BAPI-PLAT-04%5D%22" TargetMode="External"/><Relationship Id="rId15" Type="http://schemas.openxmlformats.org/officeDocument/2006/relationships/hyperlink" Target="https://github.com/TheGoatIA/univers_barca_api/issues?q=is%3Aissue+%22%5BAPI-PLAT-05%5D%22" TargetMode="External"/><Relationship Id="rId16" Type="http://schemas.openxmlformats.org/officeDocument/2006/relationships/hyperlink" Target="https://github.com/TheGoatIA/univers_barca_api/issues?q=is%3Aissue+%22%5BAPI-PLAT-06%5D%22" TargetMode="External"/><Relationship Id="rId17" Type="http://schemas.openxmlformats.org/officeDocument/2006/relationships/hyperlink" Target="https://github.com/TheGoatIA/univers_barca_api/issues?q=is%3Aissue+%22%5BAPI-PLAT-07%5D%22" TargetMode="External"/><Relationship Id="rId18" Type="http://schemas.openxmlformats.org/officeDocument/2006/relationships/hyperlink" Target="https://github.com/TheGoatIA/univers_barca_api/issues?q=is%3Aissue+%22%5BAPI-PLAT-08%5D%22" TargetMode="External"/><Relationship Id="rId19" Type="http://schemas.openxmlformats.org/officeDocument/2006/relationships/hyperlink" Target="https://github.com/TheGoatIA/univers_barca_api/issues?q=is%3Aissue+%22%5BAPI-PLAT-09%5D%22" TargetMode="External"/><Relationship Id="rId20" Type="http://schemas.openxmlformats.org/officeDocument/2006/relationships/hyperlink" Target="https://github.com/TheGoatIA/univers_barca_api/issues?q=is%3Aissue+%22%5BAPI-PLAT-10%5D%22" TargetMode="External"/><Relationship Id="rId21" Type="http://schemas.openxmlformats.org/officeDocument/2006/relationships/hyperlink" Target="https://github.com/TheGoatIA/univers_barca_api/issues?q=is%3Aissue+%22%5BAPI-PLAT-11%5D%22" TargetMode="External"/><Relationship Id="rId22" Type="http://schemas.openxmlformats.org/officeDocument/2006/relationships/hyperlink" Target="https://github.com/TheGoatIA/univers_barca_api/issues?q=is%3Aissue+%22%5BAPI-PLAT-12%5D%22" TargetMode="External"/><Relationship Id="rId23" Type="http://schemas.openxmlformats.org/officeDocument/2006/relationships/hyperlink" Target="https://github.com/TheGoatIA/univers_barca_api/issues?q=is%3Aissue+%22%5BAPI-PLAT-13%5D%22" TargetMode="External"/><Relationship Id="rId24" Type="http://schemas.openxmlformats.org/officeDocument/2006/relationships/hyperlink" Target="https://github.com/TheGoatIA/univers_barca_api/issues?q=is%3Aissue+%22%5BAPI-PLAT-14%5D%22" TargetMode="External"/><Relationship Id="rId25" Type="http://schemas.openxmlformats.org/officeDocument/2006/relationships/hyperlink" Target="https://github.com/TheGoatIA/univers_barca_api/issues?q=is%3Aissue+%22%5BAPI-PLAT-15%5D%22" TargetMode="External"/><Relationship Id="rId26" Type="http://schemas.openxmlformats.org/officeDocument/2006/relationships/hyperlink" Target="https://github.com/TheGoatIA/univers_barca_api/issues?q=is%3Aissue+%22%5BAPI-PLAT-16%5D%22" TargetMode="External"/><Relationship Id="rId27" Type="http://schemas.openxmlformats.org/officeDocument/2006/relationships/hyperlink" Target="https://github.com/TheGoatIA/univers_barca_api/issues?q=is%3Aissue+%22%5BAPI-PLAT-17%5D%22" TargetMode="External"/><Relationship Id="rId28" Type="http://schemas.openxmlformats.org/officeDocument/2006/relationships/hyperlink" Target="https://github.com/TheGoatIA/univers_barca_api/issues?q=is%3Aissue+%22%5BAPI-PLAT-18%5D%22" TargetMode="External"/><Relationship Id="rId29" Type="http://schemas.openxmlformats.org/officeDocument/2006/relationships/hyperlink" Target="https://github.com/TheGoatIA/univers_barca_api/issues?q=is%3Aissue+%22%5BAPI-PLAT-19%5D%22" TargetMode="External"/><Relationship Id="rId30" Type="http://schemas.openxmlformats.org/officeDocument/2006/relationships/hyperlink" Target="https://github.com/TheGoatIA/univers_barca_api/issues?q=is%3Aissue+%22%5BAPI-PLAT-21%5D%22" TargetMode="External"/><Relationship Id="rId31" Type="http://schemas.openxmlformats.org/officeDocument/2006/relationships/hyperlink" Target="https://github.com/TheGoatIA/univers_barca_api/issues?q=is%3Aissue+%22%5BAPI-PLAT-22%5D%22" TargetMode="External"/><Relationship Id="rId32" Type="http://schemas.openxmlformats.org/officeDocument/2006/relationships/hyperlink" Target="https://github.com/TheGoatIA/univers_barca_api/issues?q=is%3Aissue+%22%5BAPI-PLAT-23%5D%22" TargetMode="External"/><Relationship Id="rId33" Type="http://schemas.openxmlformats.org/officeDocument/2006/relationships/hyperlink" Target="https://github.com/TheGoatIA/univers_barca_api/issues?q=is%3Aissue+%22%5BAPI-PLAT-24%5D%22" TargetMode="External"/><Relationship Id="rId34" Type="http://schemas.openxmlformats.org/officeDocument/2006/relationships/hyperlink" Target="https://github.com/TheGoatIA/univers_barca_api/issues?q=is%3Aissue+%22%5BAPI-PLAT-25%5D%22" TargetMode="External"/><Relationship Id="rId35" Type="http://schemas.openxmlformats.org/officeDocument/2006/relationships/hyperlink" Target="https://github.com/TheGoatIA/univers_barca_api/issues?q=is%3Aissue+%22%5BAPI-PLAT-26%5D%22" TargetMode="External"/><Relationship Id="rId36" Type="http://schemas.openxmlformats.org/officeDocument/2006/relationships/hyperlink" Target="https://github.com/TheGoatIA/univers_barca_api/issues?q=is%3Aissue+%22%5BAPI-PLAT-28%5D%22" TargetMode="External"/><Relationship Id="rId37" Type="http://schemas.openxmlformats.org/officeDocument/2006/relationships/hyperlink" Target="https://github.com/TheGoatIA/univers_barca_api/issues?q=is%3Aissue+%22%5BAPI-PLAT-30%5D%22" TargetMode="External"/><Relationship Id="rId38" Type="http://schemas.openxmlformats.org/officeDocument/2006/relationships/hyperlink" Target="https://github.com/TheGoatIA/univers_barca_api/issues?q=is%3Aissue+%22%5BAPI-PLAT-31%5D%22" TargetMode="External"/><Relationship Id="rId39" Type="http://schemas.openxmlformats.org/officeDocument/2006/relationships/hyperlink" Target="https://github.com/TheGoatIA/univers_barca_api/issues?q=is%3Aissue+%22%5BAPI-PLAT-32%5D%22" TargetMode="External"/><Relationship Id="rId40" Type="http://schemas.openxmlformats.org/officeDocument/2006/relationships/hyperlink" Target="https://github.com/TheGoatIA/univers_barca_api/issues?q=is%3Aissue+%22%5BAPI-PLAT-33%5D%22" TargetMode="External"/><Relationship Id="rId41" Type="http://schemas.openxmlformats.org/officeDocument/2006/relationships/hyperlink" Target="https://github.com/TheGoatIA/univers_barca_api/issues?q=is%3Aissue+%22%5BAPI-PLAT-34%5D%22" TargetMode="External"/><Relationship Id="rId42" Type="http://schemas.openxmlformats.org/officeDocument/2006/relationships/hyperlink" Target="https://github.com/TheGoatIA/univers_barca_api/issues?q=is%3Aissue+%22%5BAPI-PLAT-35%5D%22" TargetMode="External"/><Relationship Id="rId43" Type="http://schemas.openxmlformats.org/officeDocument/2006/relationships/hyperlink" Target="https://github.com/TheGoatIA/univers_barca_api/issues?q=is%3Aissue+%22%5BAPI-PLAT-37%5D%22" TargetMode="External"/><Relationship Id="rId44" Type="http://schemas.openxmlformats.org/officeDocument/2006/relationships/hyperlink" Target="https://github.com/TheGoatIA/univers_barca_api/issues?q=is%3Aissue+%22%5BAPI-PLAT-41%5D%22" TargetMode="External"/><Relationship Id="rId45" Type="http://schemas.openxmlformats.org/officeDocument/2006/relationships/hyperlink" Target="https://github.com/TheGoatIA/univers_barca_api/issues?q=is%3Aissue+%22%5BAPI-PLAT-42%5D%22" TargetMode="External"/><Relationship Id="rId46" Type="http://schemas.openxmlformats.org/officeDocument/2006/relationships/hyperlink" Target="https://github.com/TheGoatIA/univers_barca_api/issues?q=is%3Aissue+%22%5BAPI-PLAT-43%5D%22" TargetMode="External"/><Relationship Id="rId47" Type="http://schemas.openxmlformats.org/officeDocument/2006/relationships/hyperlink" Target="https://github.com/TheGoatIA/univers_barca_api/issues?q=is%3Aissue+%22%5BAPI-PLAT-44%5D%22" TargetMode="External"/><Relationship Id="rId48" Type="http://schemas.openxmlformats.org/officeDocument/2006/relationships/hyperlink" Target="https://github.com/TheGoatIA/univers_barca_api/issues?q=is%3Aissue+%22%5BAPI-PLAT-46%5D%22" TargetMode="External"/><Relationship Id="rId49" Type="http://schemas.openxmlformats.org/officeDocument/2006/relationships/hyperlink" Target="https://github.com/TheGoatIA/univers_barca_api/issues?q=is%3Aissue+%22%5BAPI-PLAT-48%5D%22" TargetMode="External"/><Relationship Id="rId50" Type="http://schemas.openxmlformats.org/officeDocument/2006/relationships/hyperlink" Target="https://github.com/TheGoatIA/univers_barca_api/issues?q=is%3Aissue+%22%5BAPI-PLAT-49%5D%22" TargetMode="External"/><Relationship Id="rId51" Type="http://schemas.openxmlformats.org/officeDocument/2006/relationships/hyperlink" Target="https://github.com/TheGoatIA/univers_barca_api/issues?q=is%3Aissue+%22%5BAPI-PLAT-50%5D%22" TargetMode="External"/><Relationship Id="rId52" Type="http://schemas.openxmlformats.org/officeDocument/2006/relationships/hyperlink" Target="https://github.com/TheGoatIA/univers_barca_api/issues?q=is%3Aissue+%22%5BAPI-PLAT-52%5D%22" TargetMode="External"/><Relationship Id="rId53" Type="http://schemas.openxmlformats.org/officeDocument/2006/relationships/hyperlink" Target="https://github.com/TheGoatIA/univers_barca_api/issues?q=is%3Aissue+%22%5BAPI-PLAT-53%5D%22" TargetMode="External"/><Relationship Id="rId54" Type="http://schemas.openxmlformats.org/officeDocument/2006/relationships/hyperlink" Target="https://github.com/TheGoatIA/univers_barca_api/issues?q=is%3Aissue+%22%5BAPI-PLAT-54%5D%22" TargetMode="External"/><Relationship Id="rId55" Type="http://schemas.openxmlformats.org/officeDocument/2006/relationships/hyperlink" Target="https://github.com/TheGoatIA/univers_barca_api/issues?q=is%3Aissue+%22%5BAPI-PLAT-55%5D%22" TargetMode="External"/><Relationship Id="rId56" Type="http://schemas.openxmlformats.org/officeDocument/2006/relationships/hyperlink" Target="https://github.com/TheGoatIA/univers_barca_api/issues?q=is%3Aissue+%22%5BAPI-AUTH-03%5D%22" TargetMode="External"/><Relationship Id="rId57" Type="http://schemas.openxmlformats.org/officeDocument/2006/relationships/hyperlink" Target="https://github.com/TheGoatIA/univers_barca_api/issues?q=is%3Aissue+%22%5BAPI-AUTH-04%5D%22" TargetMode="External"/><Relationship Id="rId58" Type="http://schemas.openxmlformats.org/officeDocument/2006/relationships/hyperlink" Target="https://github.com/TheGoatIA/univers_barca_api/issues?q=is%3Aissue+%22%5BAPI-AUTH-05%5D%22" TargetMode="External"/><Relationship Id="rId59" Type="http://schemas.openxmlformats.org/officeDocument/2006/relationships/hyperlink" Target="https://github.com/TheGoatIA/univers_barca_api/issues?q=is%3Aissue+%22%5BAPI-AUTH-06%5D%22" TargetMode="External"/><Relationship Id="rId60" Type="http://schemas.openxmlformats.org/officeDocument/2006/relationships/hyperlink" Target="https://github.com/TheGoatIA/univers_barca_api/issues?q=is%3Aissue+%22%5BAPI-AUTH-07%5D%22" TargetMode="External"/><Relationship Id="rId61" Type="http://schemas.openxmlformats.org/officeDocument/2006/relationships/hyperlink" Target="https://github.com/TheGoatIA/univers_barca_api/issues?q=is%3Aissue+%22%5BAPI-AUTH-08%5D%22" TargetMode="External"/><Relationship Id="rId62" Type="http://schemas.openxmlformats.org/officeDocument/2006/relationships/hyperlink" Target="https://github.com/TheGoatIA/univers_barca_api/issues?q=is%3Aissue+%22%5BAPI-AUTH-09%5D%22" TargetMode="External"/><Relationship Id="rId63" Type="http://schemas.openxmlformats.org/officeDocument/2006/relationships/hyperlink" Target="https://github.com/TheGoatIA/univers_barca_api/issues?q=is%3Aissue+%22%5BAPI-AUTH-10%5D%22" TargetMode="External"/><Relationship Id="rId64" Type="http://schemas.openxmlformats.org/officeDocument/2006/relationships/hyperlink" Target="https://github.com/TheGoatIA/univers_barca_api/issues?q=is%3Aissue+%22%5BAPI-AUTH-11%5D%22" TargetMode="External"/><Relationship Id="rId65" Type="http://schemas.openxmlformats.org/officeDocument/2006/relationships/hyperlink" Target="https://github.com/TheGoatIA/univers_barca_api/issues?q=is%3Aissue+%22%5BAPI-AUTH-12%5D%22" TargetMode="External"/><Relationship Id="rId66" Type="http://schemas.openxmlformats.org/officeDocument/2006/relationships/hyperlink" Target="https://github.com/TheGoatIA/univers_barca_api/issues?q=is%3Aissue+%22%5BAPI-AUTH-13%5D%22" TargetMode="External"/><Relationship Id="rId67" Type="http://schemas.openxmlformats.org/officeDocument/2006/relationships/hyperlink" Target="https://github.com/TheGoatIA/univers_barca_api/issues?q=is%3Aissue+%22%5BAPI-AUTH-14%5D%22" TargetMode="External"/><Relationship Id="rId68" Type="http://schemas.openxmlformats.org/officeDocument/2006/relationships/hyperlink" Target="https://github.com/TheGoatIA/univers_barca_api/issues?q=is%3Aissue+%22%5BAPI-AUTH-15%5D%22" TargetMode="External"/><Relationship Id="rId69" Type="http://schemas.openxmlformats.org/officeDocument/2006/relationships/hyperlink" Target="https://github.com/TheGoatIA/univers_barca_api/issues?q=is%3Aissue+%22%5BAPI-AUTH-16%5D%22" TargetMode="External"/><Relationship Id="rId70" Type="http://schemas.openxmlformats.org/officeDocument/2006/relationships/hyperlink" Target="https://github.com/TheGoatIA/univers_barca_api/issues?q=is%3Aissue+%22%5BAPI-AUTH-17%5D%22" TargetMode="External"/><Relationship Id="rId71" Type="http://schemas.openxmlformats.org/officeDocument/2006/relationships/hyperlink" Target="https://github.com/TheGoatIA/univers_barca_api/issues?q=is%3Aissue+%22%5BAPI-AUTH-18%5D%22" TargetMode="External"/><Relationship Id="rId72" Type="http://schemas.openxmlformats.org/officeDocument/2006/relationships/hyperlink" Target="https://github.com/TheGoatIA/univers_barca_api/issues?q=is%3Aissue+%22%5BAPI-AUTH-19%5D%22" TargetMode="External"/><Relationship Id="rId73" Type="http://schemas.openxmlformats.org/officeDocument/2006/relationships/hyperlink" Target="https://github.com/TheGoatIA/univers_barca_api/issues?q=is%3Aissue+%22%5BAPI-AUTH-20%5D%22" TargetMode="External"/><Relationship Id="rId74" Type="http://schemas.openxmlformats.org/officeDocument/2006/relationships/hyperlink" Target="https://github.com/TheGoatIA/univers_barca_api/issues?q=is%3Aissue+%22%5BAPI-AUTH-21%5D%22" TargetMode="External"/><Relationship Id="rId75" Type="http://schemas.openxmlformats.org/officeDocument/2006/relationships/hyperlink" Target="https://github.com/TheGoatIA/univers_barca_api/issues?q=is%3Aissue+%22%5BAPI-AUTH-22%5D%22" TargetMode="External"/><Relationship Id="rId76" Type="http://schemas.openxmlformats.org/officeDocument/2006/relationships/hyperlink" Target="https://github.com/TheGoatIA/univers_barca_api/issues?q=is%3Aissue+%22%5BAPI-AUTH-23%5D%22" TargetMode="External"/><Relationship Id="rId77" Type="http://schemas.openxmlformats.org/officeDocument/2006/relationships/hyperlink" Target="https://github.com/TheGoatIA/univers_barca_api/issues?q=is%3Aissue+%22%5BAPI-AUTH-24%5D%22" TargetMode="External"/><Relationship Id="rId78" Type="http://schemas.openxmlformats.org/officeDocument/2006/relationships/hyperlink" Target="https://github.com/TheGoatIA/univers_barca_api/issues?q=is%3Aissue+%22%5BAPI-AUTH-25%5D%22" TargetMode="External"/><Relationship Id="rId79" Type="http://schemas.openxmlformats.org/officeDocument/2006/relationships/hyperlink" Target="https://github.com/TheGoatIA/univers_barca_api/issues?q=is%3Aissue+%22%5BAPI-AUTH-26%5D%22" TargetMode="External"/><Relationship Id="rId80" Type="http://schemas.openxmlformats.org/officeDocument/2006/relationships/hyperlink" Target="https://github.com/TheGoatIA/univers_barca_api/issues?q=is%3Aissue+%22%5BAPI-AUTH-27%5D%22" TargetMode="External"/><Relationship Id="rId81" Type="http://schemas.openxmlformats.org/officeDocument/2006/relationships/hyperlink" Target="https://github.com/TheGoatIA/univers_barca_api/issues?q=is%3Aissue+%22%5BAPI-AUTH-28%5D%22" TargetMode="External"/><Relationship Id="rId82" Type="http://schemas.openxmlformats.org/officeDocument/2006/relationships/hyperlink" Target="https://github.com/TheGoatIA/univers_barca_api/issues?q=is%3Aissue+%22%5BAPI-AUTH-29%5D%22" TargetMode="External"/><Relationship Id="rId83" Type="http://schemas.openxmlformats.org/officeDocument/2006/relationships/hyperlink" Target="https://github.com/TheGoatIA/univers_barca_api/issues?q=is%3Aissue+%22%5BAPI-AUTH-30%5D%22" TargetMode="External"/><Relationship Id="rId84" Type="http://schemas.openxmlformats.org/officeDocument/2006/relationships/hyperlink" Target="https://github.com/TheGoatIA/univers_barca_api/issues?q=is%3Aissue+%22%5BAPI-AUTH-31%5D%22" TargetMode="External"/><Relationship Id="rId85" Type="http://schemas.openxmlformats.org/officeDocument/2006/relationships/hyperlink" Target="https://github.com/TheGoatIA/univers_barca_api/issues?q=is%3Aissue+%22%5BAPI-AUTH-32%5D%22" TargetMode="External"/><Relationship Id="rId86" Type="http://schemas.openxmlformats.org/officeDocument/2006/relationships/hyperlink" Target="https://github.com/TheGoatIA/univers_barca_api/issues?q=is%3Aissue+%22%5BAPI-AUTH-33%5D%22" TargetMode="External"/><Relationship Id="rId87" Type="http://schemas.openxmlformats.org/officeDocument/2006/relationships/hyperlink" Target="https://github.com/TheGoatIA/univers_barca_api/issues?q=is%3Aissue+%22%5BAPI-AUTH-34%5D%22" TargetMode="External"/><Relationship Id="rId88" Type="http://schemas.openxmlformats.org/officeDocument/2006/relationships/hyperlink" Target="https://github.com/TheGoatIA/univers_barca_api/issues?q=is%3Aissue+%22%5BAPI-AUTH-35%5D%22" TargetMode="External"/><Relationship Id="rId89" Type="http://schemas.openxmlformats.org/officeDocument/2006/relationships/hyperlink" Target="https://github.com/TheGoatIA/univers_barca_api/issues?q=is%3Aissue+%22%5BAPI-AUTH-36%5D%22" TargetMode="External"/><Relationship Id="rId90" Type="http://schemas.openxmlformats.org/officeDocument/2006/relationships/hyperlink" Target="https://github.com/TheGoatIA/univers_barca_api/issues?q=is%3Aissue+%22%5BAPI-AUTH-37%5D%22" TargetMode="External"/><Relationship Id="rId91" Type="http://schemas.openxmlformats.org/officeDocument/2006/relationships/hyperlink" Target="https://github.com/TheGoatIA/univers_barca_api/issues?q=is%3Aissue+%22%5BAPI-AUTH-38%5D%22" TargetMode="External"/><Relationship Id="rId92" Type="http://schemas.openxmlformats.org/officeDocument/2006/relationships/hyperlink" Target="https://github.com/TheGoatIA/univers_barca_api/issues?q=is%3Aissue+%22%5BAPI-AUTH-39%5D%22" TargetMode="External"/><Relationship Id="rId93" Type="http://schemas.openxmlformats.org/officeDocument/2006/relationships/hyperlink" Target="https://github.com/TheGoatIA/univers_barca_api/issues?q=is%3Aissue+%22%5BAPI-AUTH-40%5D%22" TargetMode="External"/><Relationship Id="rId94" Type="http://schemas.openxmlformats.org/officeDocument/2006/relationships/hyperlink" Target="https://github.com/TheGoatIA/univers_barca_api/issues?q=is%3Aissue+%22%5BAPI-AUTH-41%5D%22" TargetMode="External"/><Relationship Id="rId95" Type="http://schemas.openxmlformats.org/officeDocument/2006/relationships/hyperlink" Target="https://github.com/TheGoatIA/univers_barca_api/issues?q=is%3Aissue+%22%5BAPI-AUTH-42%5D%22" TargetMode="External"/><Relationship Id="rId96" Type="http://schemas.openxmlformats.org/officeDocument/2006/relationships/hyperlink" Target="https://github.com/TheGoatIA/univers_barca_api/issues?q=is%3Aissue+%22%5BAPI-AUTH-43%5D%22" TargetMode="External"/><Relationship Id="rId97" Type="http://schemas.openxmlformats.org/officeDocument/2006/relationships/hyperlink" Target="https://github.com/TheGoatIA/univers_barca_api/issues?q=is%3Aissue+%22%5BAPI-AUTH-44%5D%22" TargetMode="External"/><Relationship Id="rId98" Type="http://schemas.openxmlformats.org/officeDocument/2006/relationships/hyperlink" Target="https://github.com/TheGoatIA/univers_barca_api/issues?q=is%3Aissue+%22%5BAPI-AUTH-45%5D%22" TargetMode="External"/><Relationship Id="rId99" Type="http://schemas.openxmlformats.org/officeDocument/2006/relationships/hyperlink" Target="https://github.com/TheGoatIA/univers_barca_api/issues?q=is%3Aissue+%22%5BAPI-FOOT-01%5D%22" TargetMode="External"/><Relationship Id="rId100" Type="http://schemas.openxmlformats.org/officeDocument/2006/relationships/hyperlink" Target="https://github.com/TheGoatIA/univers_barca_api/issues?q=is%3Aissue+%22%5BAPI-FOOT-02%5D%22" TargetMode="External"/><Relationship Id="rId101" Type="http://schemas.openxmlformats.org/officeDocument/2006/relationships/hyperlink" Target="https://github.com/TheGoatIA/univers_barca_api/issues?q=is%3Aissue+%22%5BAPI-FOOT-03%5D%22" TargetMode="External"/><Relationship Id="rId102" Type="http://schemas.openxmlformats.org/officeDocument/2006/relationships/hyperlink" Target="https://github.com/TheGoatIA/univers_barca_api/issues?q=is%3Aissue+%22%5BAPI-FOOT-04%5D%22" TargetMode="External"/><Relationship Id="rId103" Type="http://schemas.openxmlformats.org/officeDocument/2006/relationships/hyperlink" Target="https://github.com/TheGoatIA/univers_barca_api/issues?q=is%3Aissue+%22%5BAPI-FOOT-05%5D%22" TargetMode="External"/><Relationship Id="rId104" Type="http://schemas.openxmlformats.org/officeDocument/2006/relationships/hyperlink" Target="https://github.com/TheGoatIA/univers_barca_api/issues?q=is%3Aissue+%22%5BAPI-FOOT-06%5D%22" TargetMode="External"/><Relationship Id="rId105" Type="http://schemas.openxmlformats.org/officeDocument/2006/relationships/hyperlink" Target="https://github.com/TheGoatIA/univers_barca_api/issues?q=is%3Aissue+%22%5BAPI-FOOT-07%5D%22" TargetMode="External"/><Relationship Id="rId106" Type="http://schemas.openxmlformats.org/officeDocument/2006/relationships/hyperlink" Target="https://github.com/TheGoatIA/univers_barca_api/issues?q=is%3Aissue+%22%5BAPI-FOOT-08%5D%22" TargetMode="External"/><Relationship Id="rId107" Type="http://schemas.openxmlformats.org/officeDocument/2006/relationships/hyperlink" Target="https://github.com/TheGoatIA/univers_barca_api/issues?q=is%3Aissue+%22%5BAPI-FOOT-09%5D%22" TargetMode="External"/><Relationship Id="rId108" Type="http://schemas.openxmlformats.org/officeDocument/2006/relationships/hyperlink" Target="https://github.com/TheGoatIA/univers_barca_api/issues?q=is%3Aissue+%22%5BAPI-FOOT-10%5D%22" TargetMode="External"/><Relationship Id="rId109" Type="http://schemas.openxmlformats.org/officeDocument/2006/relationships/hyperlink" Target="https://github.com/TheGoatIA/univers_barca_api/issues?q=is%3Aissue+%22%5BAPI-FOOT-11%5D%22" TargetMode="External"/><Relationship Id="rId110" Type="http://schemas.openxmlformats.org/officeDocument/2006/relationships/hyperlink" Target="https://github.com/TheGoatIA/univers_barca_api/issues?q=is%3Aissue+%22%5BAPI-FOOT-12%5D%22" TargetMode="External"/><Relationship Id="rId111" Type="http://schemas.openxmlformats.org/officeDocument/2006/relationships/hyperlink" Target="https://github.com/TheGoatIA/univers_barca_api/issues?q=is%3Aissue+%22%5BAPI-FOOT-13%5D%22" TargetMode="External"/><Relationship Id="rId112" Type="http://schemas.openxmlformats.org/officeDocument/2006/relationships/hyperlink" Target="https://github.com/TheGoatIA/univers_barca_api/issues?q=is%3Aissue+%22%5BAPI-FOOT-14%5D%22" TargetMode="External"/><Relationship Id="rId113" Type="http://schemas.openxmlformats.org/officeDocument/2006/relationships/hyperlink" Target="https://github.com/TheGoatIA/univers_barca_api/issues?q=is%3Aissue+%22%5BAPI-FOOT-15%5D%22" TargetMode="External"/><Relationship Id="rId114" Type="http://schemas.openxmlformats.org/officeDocument/2006/relationships/hyperlink" Target="https://github.com/TheGoatIA/univers_barca_api/issues?q=is%3Aissue+%22%5BAPI-FOOT-16%5D%22" TargetMode="External"/><Relationship Id="rId115" Type="http://schemas.openxmlformats.org/officeDocument/2006/relationships/hyperlink" Target="https://github.com/TheGoatIA/univers_barca_api/issues?q=is%3Aissue+%22%5BAPI-FOOT-17%5D%22" TargetMode="External"/><Relationship Id="rId116" Type="http://schemas.openxmlformats.org/officeDocument/2006/relationships/hyperlink" Target="https://github.com/TheGoatIA/univers_barca_api/issues?q=is%3Aissue+%22%5BAPI-FOOT-18%5D%22" TargetMode="External"/><Relationship Id="rId117" Type="http://schemas.openxmlformats.org/officeDocument/2006/relationships/hyperlink" Target="https://github.com/TheGoatIA/univers_barca_api/issues?q=is%3Aissue+%22%5BAPI-FOOT-19%5D%22" TargetMode="External"/><Relationship Id="rId118" Type="http://schemas.openxmlformats.org/officeDocument/2006/relationships/hyperlink" Target="https://github.com/TheGoatIA/univers_barca_api/issues?q=is%3Aissue+%22%5BAPI-FOOT-20%5D%22" TargetMode="External"/><Relationship Id="rId119" Type="http://schemas.openxmlformats.org/officeDocument/2006/relationships/hyperlink" Target="https://github.com/TheGoatIA/univers_barca_api/issues?q=is%3Aissue+%22%5BAPI-FOOT-21%5D%22" TargetMode="External"/><Relationship Id="rId120" Type="http://schemas.openxmlformats.org/officeDocument/2006/relationships/hyperlink" Target="https://github.com/TheGoatIA/univers_barca_api/issues?q=is%3Aissue+%22%5BAPI-FOOT-22%5D%22" TargetMode="External"/><Relationship Id="rId121" Type="http://schemas.openxmlformats.org/officeDocument/2006/relationships/hyperlink" Target="https://github.com/TheGoatIA/univers_barca_api/issues?q=is%3Aissue+%22%5BAPI-FOOT-23%5D%22" TargetMode="External"/><Relationship Id="rId122" Type="http://schemas.openxmlformats.org/officeDocument/2006/relationships/hyperlink" Target="https://github.com/TheGoatIA/univers_barca_api/issues?q=is%3Aissue+%22%5BAPI-FOOT-24%5D%22" TargetMode="External"/><Relationship Id="rId123" Type="http://schemas.openxmlformats.org/officeDocument/2006/relationships/hyperlink" Target="https://github.com/TheGoatIA/univers_barca_api/issues?q=is%3Aissue+%22%5BAPI-FOOT-25%5D%22" TargetMode="External"/><Relationship Id="rId124" Type="http://schemas.openxmlformats.org/officeDocument/2006/relationships/hyperlink" Target="https://github.com/TheGoatIA/univers_barca_api/issues?q=is%3Aissue+%22%5BAPI-FOOT-26%5D%22" TargetMode="External"/><Relationship Id="rId125" Type="http://schemas.openxmlformats.org/officeDocument/2006/relationships/hyperlink" Target="https://github.com/TheGoatIA/univers_barca_api/issues?q=is%3Aissue+%22%5BAPI-FOOT-27%5D%22" TargetMode="External"/><Relationship Id="rId126" Type="http://schemas.openxmlformats.org/officeDocument/2006/relationships/hyperlink" Target="https://github.com/TheGoatIA/univers_barca_api/issues?q=is%3Aissue+%22%5BAPI-FOOT-28%5D%22" TargetMode="External"/><Relationship Id="rId127" Type="http://schemas.openxmlformats.org/officeDocument/2006/relationships/hyperlink" Target="https://github.com/TheGoatIA/univers_barca_api/issues?q=is%3Aissue+%22%5BAPI-FOOT-29%5D%22" TargetMode="External"/><Relationship Id="rId128" Type="http://schemas.openxmlformats.org/officeDocument/2006/relationships/hyperlink" Target="https://github.com/TheGoatIA/univers_barca_api/issues?q=is%3Aissue+%22%5BAPI-FOOT-30%5D%22" TargetMode="External"/><Relationship Id="rId129" Type="http://schemas.openxmlformats.org/officeDocument/2006/relationships/hyperlink" Target="https://github.com/TheGoatIA/univers_barca_api/issues?q=is%3Aissue+%22%5BAPI-FOOT-31%5D%22" TargetMode="External"/><Relationship Id="rId130" Type="http://schemas.openxmlformats.org/officeDocument/2006/relationships/hyperlink" Target="https://github.com/TheGoatIA/univers_barca_api/issues?q=is%3Aissue+%22%5BAPI-FOOT-32%5D%22" TargetMode="External"/><Relationship Id="rId131" Type="http://schemas.openxmlformats.org/officeDocument/2006/relationships/hyperlink" Target="https://github.com/TheGoatIA/univers_barca_api/issues?q=is%3Aissue+%22%5BAPI-FOOT-33%5D%22" TargetMode="External"/><Relationship Id="rId132" Type="http://schemas.openxmlformats.org/officeDocument/2006/relationships/hyperlink" Target="https://github.com/TheGoatIA/univers_barca_api/issues?q=is%3Aissue+%22%5BAPI-FOOT-34%5D%22" TargetMode="External"/><Relationship Id="rId133" Type="http://schemas.openxmlformats.org/officeDocument/2006/relationships/hyperlink" Target="https://github.com/TheGoatIA/univers_barca_api/issues?q=is%3Aissue+%22%5BAPI-FOOT-35%5D%22" TargetMode="External"/><Relationship Id="rId134" Type="http://schemas.openxmlformats.org/officeDocument/2006/relationships/hyperlink" Target="https://github.com/TheGoatIA/univers_barca_api/issues?q=is%3Aissue+%22%5BAPI-FOOT-36%5D%22" TargetMode="External"/><Relationship Id="rId135" Type="http://schemas.openxmlformats.org/officeDocument/2006/relationships/hyperlink" Target="https://github.com/TheGoatIA/univers_barca_api/issues?q=is%3Aissue+%22%5BAPI-FOOT-37%5D%22" TargetMode="External"/><Relationship Id="rId136" Type="http://schemas.openxmlformats.org/officeDocument/2006/relationships/hyperlink" Target="https://github.com/TheGoatIA/univers_barca_api/issues?q=is%3Aissue+%22%5BAPI-FOOT-38%5D%22" TargetMode="External"/><Relationship Id="rId137" Type="http://schemas.openxmlformats.org/officeDocument/2006/relationships/hyperlink" Target="https://github.com/TheGoatIA/univers_barca_api/issues?q=is%3Aissue+%22%5BAPI-FOOT-39%5D%22" TargetMode="External"/><Relationship Id="rId138" Type="http://schemas.openxmlformats.org/officeDocument/2006/relationships/hyperlink" Target="https://github.com/TheGoatIA/univers_barca_api/issues?q=is%3Aissue+%22%5BAPI-FOOT-40%5D%22" TargetMode="External"/><Relationship Id="rId139" Type="http://schemas.openxmlformats.org/officeDocument/2006/relationships/hyperlink" Target="https://github.com/TheGoatIA/univers_barca_api/issues?q=is%3Aissue+%22%5BAPI-FOOT-41%5D%22" TargetMode="External"/><Relationship Id="rId140" Type="http://schemas.openxmlformats.org/officeDocument/2006/relationships/hyperlink" Target="https://github.com/TheGoatIA/univers_barca_api/issues?q=is%3Aissue+%22%5BAPI-FOOT-42%5D%22" TargetMode="External"/><Relationship Id="rId141" Type="http://schemas.openxmlformats.org/officeDocument/2006/relationships/hyperlink" Target="https://github.com/TheGoatIA/univers_barca_api/issues?q=is%3Aissue+%22%5BAPI-FOOT-43%5D%22" TargetMode="External"/><Relationship Id="rId142" Type="http://schemas.openxmlformats.org/officeDocument/2006/relationships/hyperlink" Target="https://github.com/TheGoatIA/univers_barca_api/issues?q=is%3Aissue+%22%5BAPI-FOOT-44%5D%22" TargetMode="External"/><Relationship Id="rId143" Type="http://schemas.openxmlformats.org/officeDocument/2006/relationships/hyperlink" Target="https://github.com/TheGoatIA/univers_barca_api/issues?q=is%3Aissue+%22%5BAPI-FOOT-45%5D%22" TargetMode="External"/><Relationship Id="rId144" Type="http://schemas.openxmlformats.org/officeDocument/2006/relationships/hyperlink" Target="https://github.com/TheGoatIA/univers_barca_api/issues?q=is%3Aissue+%22%5BAPI-FOOT-46%5D%22" TargetMode="External"/><Relationship Id="rId145" Type="http://schemas.openxmlformats.org/officeDocument/2006/relationships/hyperlink" Target="https://github.com/TheGoatIA/univers_barca_api/issues?q=is%3Aissue+%22%5BAPI-FOOT-47%5D%22" TargetMode="External"/><Relationship Id="rId146" Type="http://schemas.openxmlformats.org/officeDocument/2006/relationships/hyperlink" Target="https://github.com/TheGoatIA/univers_barca_api/issues?q=is%3Aissue+%22%5BAPI-FOOT-48%5D%22" TargetMode="External"/><Relationship Id="rId147" Type="http://schemas.openxmlformats.org/officeDocument/2006/relationships/hyperlink" Target="https://github.com/TheGoatIA/univers_barca_api/issues?q=is%3Aissue+%22%5BAPI-FOOT-49%5D%22" TargetMode="External"/><Relationship Id="rId148" Type="http://schemas.openxmlformats.org/officeDocument/2006/relationships/hyperlink" Target="https://github.com/TheGoatIA/univers_barca_api/issues?q=is%3Aissue+%22%5BAPI-FOOT-50%5D%22" TargetMode="External"/><Relationship Id="rId149" Type="http://schemas.openxmlformats.org/officeDocument/2006/relationships/hyperlink" Target="https://github.com/TheGoatIA/univers_barca_api/issues?q=is%3Aissue+%22%5BAPI-FOOT-51%5D%22" TargetMode="External"/><Relationship Id="rId150" Type="http://schemas.openxmlformats.org/officeDocument/2006/relationships/hyperlink" Target="https://github.com/TheGoatIA/univers_barca_api/issues?q=is%3Aissue+%22%5BAPI-FOOT-52%5D%22" TargetMode="External"/><Relationship Id="rId151" Type="http://schemas.openxmlformats.org/officeDocument/2006/relationships/hyperlink" Target="https://github.com/TheGoatIA/univers_barca_api/issues?q=is%3Aissue+%22%5BAPI-FOOT-53%5D%22" TargetMode="External"/><Relationship Id="rId152" Type="http://schemas.openxmlformats.org/officeDocument/2006/relationships/hyperlink" Target="https://github.com/TheGoatIA/univers_barca_api/issues?q=is%3Aissue+%22%5BAPI-FOOT-54%5D%22" TargetMode="External"/><Relationship Id="rId153" Type="http://schemas.openxmlformats.org/officeDocument/2006/relationships/hyperlink" Target="https://github.com/TheGoatIA/univers_barca_api/issues?q=is%3Aissue+%22%5BAPI-FOOT-55%5D%22" TargetMode="External"/><Relationship Id="rId154" Type="http://schemas.openxmlformats.org/officeDocument/2006/relationships/hyperlink" Target="https://github.com/TheGoatIA/univers_barca_api/issues?q=is%3Aissue+%22%5BAPI-FOOT-56%5D%22" TargetMode="External"/><Relationship Id="rId155" Type="http://schemas.openxmlformats.org/officeDocument/2006/relationships/hyperlink" Target="https://github.com/TheGoatIA/univers_barca_api/issues?q=is%3Aissue+%22%5BAPI-CAL-01%5D%22" TargetMode="External"/><Relationship Id="rId156" Type="http://schemas.openxmlformats.org/officeDocument/2006/relationships/hyperlink" Target="https://github.com/TheGoatIA/univers_barca_api/issues?q=is%3Aissue+%22%5BAPI-CAL-02%5D%22" TargetMode="External"/><Relationship Id="rId157" Type="http://schemas.openxmlformats.org/officeDocument/2006/relationships/hyperlink" Target="https://github.com/TheGoatIA/univers_barca_api/issues?q=is%3Aissue+%22%5BAPI-CAL-03%5D%22" TargetMode="External"/><Relationship Id="rId158" Type="http://schemas.openxmlformats.org/officeDocument/2006/relationships/hyperlink" Target="https://github.com/TheGoatIA/univers_barca_api/issues?q=is%3Aissue+%22%5BAPI-CAL-04%5D%22" TargetMode="External"/><Relationship Id="rId159" Type="http://schemas.openxmlformats.org/officeDocument/2006/relationships/hyperlink" Target="https://github.com/TheGoatIA/univers_barca_api/issues?q=is%3Aissue+%22%5BAPI-CAL-05%5D%22" TargetMode="External"/><Relationship Id="rId160" Type="http://schemas.openxmlformats.org/officeDocument/2006/relationships/hyperlink" Target="https://github.com/TheGoatIA/univers_barca_api/issues?q=is%3Aissue+%22%5BAPI-CAL-06%5D%22" TargetMode="External"/><Relationship Id="rId161" Type="http://schemas.openxmlformats.org/officeDocument/2006/relationships/hyperlink" Target="https://github.com/TheGoatIA/univers_barca_api/issues?q=is%3Aissue+%22%5BAPI-CAL-07%5D%22" TargetMode="External"/><Relationship Id="rId162" Type="http://schemas.openxmlformats.org/officeDocument/2006/relationships/hyperlink" Target="https://github.com/TheGoatIA/univers_barca_api/issues?q=is%3Aissue+%22%5BAPI-CAL-08%5D%22" TargetMode="External"/><Relationship Id="rId163" Type="http://schemas.openxmlformats.org/officeDocument/2006/relationships/hyperlink" Target="https://github.com/TheGoatIA/univers_barca_api/issues?q=is%3Aissue+%22%5BAPI-CAL-09%5D%22" TargetMode="External"/><Relationship Id="rId164" Type="http://schemas.openxmlformats.org/officeDocument/2006/relationships/hyperlink" Target="https://github.com/TheGoatIA/univers_barca_api/issues?q=is%3Aissue+%22%5BAPI-CAL-10%5D%22" TargetMode="External"/><Relationship Id="rId165" Type="http://schemas.openxmlformats.org/officeDocument/2006/relationships/hyperlink" Target="https://github.com/TheGoatIA/univers_barca_api/issues?q=is%3Aissue+%22%5BAPI-CAL-11%5D%22" TargetMode="External"/><Relationship Id="rId166" Type="http://schemas.openxmlformats.org/officeDocument/2006/relationships/hyperlink" Target="https://github.com/TheGoatIA/univers_barca_api/issues?q=is%3Aissue+%22%5BAPI-CAL-12%5D%22" TargetMode="External"/><Relationship Id="rId167" Type="http://schemas.openxmlformats.org/officeDocument/2006/relationships/hyperlink" Target="https://github.com/TheGoatIA/univers_barca_api/issues?q=is%3Aissue+%22%5BAPI-CAL-13%5D%22" TargetMode="External"/><Relationship Id="rId168" Type="http://schemas.openxmlformats.org/officeDocument/2006/relationships/hyperlink" Target="https://github.com/TheGoatIA/univers_barca_api/issues?q=is%3Aissue+%22%5BAPI-CAL-14%5D%22" TargetMode="External"/><Relationship Id="rId169" Type="http://schemas.openxmlformats.org/officeDocument/2006/relationships/hyperlink" Target="https://github.com/TheGoatIA/univers_barca_api/issues?q=is%3Aissue+%22%5BAPI-CAL-15%5D%22" TargetMode="External"/><Relationship Id="rId170" Type="http://schemas.openxmlformats.org/officeDocument/2006/relationships/hyperlink" Target="https://github.com/TheGoatIA/univers_barca_api/issues?q=is%3Aissue+%22%5BAPI-CAL-16%5D%22" TargetMode="External"/><Relationship Id="rId171" Type="http://schemas.openxmlformats.org/officeDocument/2006/relationships/hyperlink" Target="https://github.com/TheGoatIA/univers_barca_api/issues?q=is%3Aissue+%22%5BAPI-CAL-17%5D%22" TargetMode="External"/><Relationship Id="rId172" Type="http://schemas.openxmlformats.org/officeDocument/2006/relationships/hyperlink" Target="https://github.com/TheGoatIA/univers_barca_api/issues?q=is%3Aissue+%22%5BAPI-CAL-18%5D%22" TargetMode="External"/><Relationship Id="rId173" Type="http://schemas.openxmlformats.org/officeDocument/2006/relationships/hyperlink" Target="https://github.com/TheGoatIA/univers_barca_api/issues?q=is%3Aissue+%22%5BAPI-CAL-19%5D%22" TargetMode="External"/><Relationship Id="rId174" Type="http://schemas.openxmlformats.org/officeDocument/2006/relationships/hyperlink" Target="https://github.com/TheGoatIA/univers_barca_api/issues?q=is%3Aissue+%22%5BAPI-CAL-20%5D%22" TargetMode="External"/><Relationship Id="rId175" Type="http://schemas.openxmlformats.org/officeDocument/2006/relationships/hyperlink" Target="https://github.com/TheGoatIA/univers_barca_api/issues?q=is%3Aissue+%22%5BAPI-CAL-21%5D%22" TargetMode="External"/><Relationship Id="rId176" Type="http://schemas.openxmlformats.org/officeDocument/2006/relationships/hyperlink" Target="https://github.com/TheGoatIA/univers_barca_api/issues?q=is%3Aissue+%22%5BAPI-CAL-22%5D%22" TargetMode="External"/><Relationship Id="rId177" Type="http://schemas.openxmlformats.org/officeDocument/2006/relationships/hyperlink" Target="https://github.com/TheGoatIA/univers_barca_api/issues?q=is%3Aissue+%22%5BAPI-CAL-23%5D%22" TargetMode="External"/><Relationship Id="rId178" Type="http://schemas.openxmlformats.org/officeDocument/2006/relationships/hyperlink" Target="https://github.com/TheGoatIA/univers_barca_api/issues?q=is%3Aissue+%22%5BAPI-CAL-24%5D%22" TargetMode="External"/><Relationship Id="rId179" Type="http://schemas.openxmlformats.org/officeDocument/2006/relationships/hyperlink" Target="https://github.com/TheGoatIA/univers_barca_api/issues?q=is%3Aissue+%22%5BAPI-JEUX-01%5D%22" TargetMode="External"/><Relationship Id="rId180" Type="http://schemas.openxmlformats.org/officeDocument/2006/relationships/hyperlink" Target="https://github.com/TheGoatIA/univers_barca_api/issues?q=is%3Aissue+%22%5BAPI-JEUX-02%5D%22" TargetMode="External"/><Relationship Id="rId181" Type="http://schemas.openxmlformats.org/officeDocument/2006/relationships/hyperlink" Target="https://github.com/TheGoatIA/univers_barca_api/issues?q=is%3Aissue+%22%5BAPI-JEUX-03%5D%22" TargetMode="External"/><Relationship Id="rId182" Type="http://schemas.openxmlformats.org/officeDocument/2006/relationships/hyperlink" Target="https://github.com/TheGoatIA/univers_barca_api/issues?q=is%3Aissue+%22%5BAPI-JEUX-04%5D%22" TargetMode="External"/><Relationship Id="rId183" Type="http://schemas.openxmlformats.org/officeDocument/2006/relationships/hyperlink" Target="https://github.com/TheGoatIA/univers_barca_api/issues?q=is%3Aissue+%22%5BAPI-JEUX-05%5D%22" TargetMode="External"/><Relationship Id="rId184" Type="http://schemas.openxmlformats.org/officeDocument/2006/relationships/hyperlink" Target="https://github.com/TheGoatIA/univers_barca_api/issues?q=is%3Aissue+%22%5BAPI-JEUX-06%5D%22" TargetMode="External"/><Relationship Id="rId185" Type="http://schemas.openxmlformats.org/officeDocument/2006/relationships/hyperlink" Target="https://github.com/TheGoatIA/univers_barca_api/issues?q=is%3Aissue+%22%5BAPI-JEUX-07%5D%22" TargetMode="External"/><Relationship Id="rId186" Type="http://schemas.openxmlformats.org/officeDocument/2006/relationships/hyperlink" Target="https://github.com/TheGoatIA/univers_barca_api/issues?q=is%3Aissue+%22%5BAPI-JEUX-08%5D%22" TargetMode="External"/><Relationship Id="rId187" Type="http://schemas.openxmlformats.org/officeDocument/2006/relationships/hyperlink" Target="https://github.com/TheGoatIA/univers_barca_api/issues?q=is%3Aissue+%22%5BAPI-JEUX-09%5D%22" TargetMode="External"/><Relationship Id="rId188" Type="http://schemas.openxmlformats.org/officeDocument/2006/relationships/hyperlink" Target="https://github.com/TheGoatIA/univers_barca_api/issues?q=is%3Aissue+%22%5BAPI-JEUX-10%5D%22" TargetMode="External"/><Relationship Id="rId189" Type="http://schemas.openxmlformats.org/officeDocument/2006/relationships/hyperlink" Target="https://github.com/TheGoatIA/univers_barca_api/issues?q=is%3Aissue+%22%5BAPI-JEUX-11%5D%22" TargetMode="External"/><Relationship Id="rId190" Type="http://schemas.openxmlformats.org/officeDocument/2006/relationships/hyperlink" Target="https://github.com/TheGoatIA/univers_barca_api/issues?q=is%3Aissue+%22%5BAPI-JEUX-12%5D%22" TargetMode="External"/><Relationship Id="rId191" Type="http://schemas.openxmlformats.org/officeDocument/2006/relationships/hyperlink" Target="https://github.com/TheGoatIA/univers_barca_api/issues?q=is%3Aissue+%22%5BAPI-JEUX-13%5D%22" TargetMode="External"/><Relationship Id="rId192" Type="http://schemas.openxmlformats.org/officeDocument/2006/relationships/hyperlink" Target="https://github.com/TheGoatIA/univers_barca_api/issues?q=is%3Aissue+%22%5BAPI-JEUX-14%5D%22" TargetMode="External"/><Relationship Id="rId193" Type="http://schemas.openxmlformats.org/officeDocument/2006/relationships/hyperlink" Target="https://github.com/TheGoatIA/univers_barca_api/issues?q=is%3Aissue+%22%5BAPI-JEUX-15%5D%22" TargetMode="External"/><Relationship Id="rId194" Type="http://schemas.openxmlformats.org/officeDocument/2006/relationships/hyperlink" Target="https://github.com/TheGoatIA/univers_barca_api/issues?q=is%3Aissue+%22%5BAPI-JEUX-16%5D%22" TargetMode="External"/><Relationship Id="rId195" Type="http://schemas.openxmlformats.org/officeDocument/2006/relationships/hyperlink" Target="https://github.com/TheGoatIA/univers_barca_api/issues?q=is%3Aissue+%22%5BAPI-JEUX-17%5D%22" TargetMode="External"/><Relationship Id="rId196" Type="http://schemas.openxmlformats.org/officeDocument/2006/relationships/hyperlink" Target="https://github.com/TheGoatIA/univers_barca_api/issues?q=is%3Aissue+%22%5BAPI-JEUX-18%5D%22" TargetMode="External"/><Relationship Id="rId197" Type="http://schemas.openxmlformats.org/officeDocument/2006/relationships/hyperlink" Target="https://github.com/TheGoatIA/univers_barca_api/issues?q=is%3Aissue+%22%5BAPI-JEUX-19%5D%22" TargetMode="External"/><Relationship Id="rId198" Type="http://schemas.openxmlformats.org/officeDocument/2006/relationships/hyperlink" Target="https://github.com/TheGoatIA/univers_barca_api/issues?q=is%3Aissue+%22%5BAPI-JEUX-20%5D%22" TargetMode="External"/><Relationship Id="rId199" Type="http://schemas.openxmlformats.org/officeDocument/2006/relationships/hyperlink" Target="https://github.com/TheGoatIA/univers_barca_api/issues?q=is%3Aissue+%22%5BAPI-JEUX-21%5D%22" TargetMode="External"/><Relationship Id="rId200" Type="http://schemas.openxmlformats.org/officeDocument/2006/relationships/hyperlink" Target="https://github.com/TheGoatIA/univers_barca_api/issues?q=is%3Aissue+%22%5BAPI-JEUX-22%5D%22" TargetMode="External"/><Relationship Id="rId201" Type="http://schemas.openxmlformats.org/officeDocument/2006/relationships/hyperlink" Target="https://github.com/TheGoatIA/univers_barca_api/issues?q=is%3Aissue+%22%5BAPI-JEUX-23%5D%22" TargetMode="External"/><Relationship Id="rId202" Type="http://schemas.openxmlformats.org/officeDocument/2006/relationships/hyperlink" Target="https://github.com/TheGoatIA/univers_barca_api/issues?q=is%3Aissue+%22%5BAPI-JEUX-24%5D%22" TargetMode="External"/><Relationship Id="rId203" Type="http://schemas.openxmlformats.org/officeDocument/2006/relationships/hyperlink" Target="https://github.com/TheGoatIA/univers_barca_api/issues?q=is%3Aissue+%22%5BAPI-JEUX-25%5D%22" TargetMode="External"/><Relationship Id="rId204" Type="http://schemas.openxmlformats.org/officeDocument/2006/relationships/hyperlink" Target="https://github.com/TheGoatIA/univers_barca_api/issues?q=is%3Aissue+%22%5BAPI-JEUX-26%5D%22" TargetMode="External"/><Relationship Id="rId205" Type="http://schemas.openxmlformats.org/officeDocument/2006/relationships/hyperlink" Target="https://github.com/TheGoatIA/univers_barca_api/issues?q=is%3Aissue+%22%5BAPI-JEUX-27%5D%22" TargetMode="External"/><Relationship Id="rId206" Type="http://schemas.openxmlformats.org/officeDocument/2006/relationships/hyperlink" Target="https://github.com/TheGoatIA/univers_barca_api/issues?q=is%3Aissue+%22%5BAPI-JEUX-28%5D%22" TargetMode="External"/><Relationship Id="rId207" Type="http://schemas.openxmlformats.org/officeDocument/2006/relationships/hyperlink" Target="https://github.com/TheGoatIA/univers_barca_api/issues?q=is%3Aissue+%22%5BAPI-JEUX-29%5D%22" TargetMode="External"/><Relationship Id="rId208" Type="http://schemas.openxmlformats.org/officeDocument/2006/relationships/hyperlink" Target="https://github.com/TheGoatIA/univers_barca_api/issues?q=is%3Aissue+%22%5BAPI-JEUX-30%5D%22" TargetMode="External"/><Relationship Id="rId209" Type="http://schemas.openxmlformats.org/officeDocument/2006/relationships/hyperlink" Target="https://github.com/TheGoatIA/univers_barca_api/issues?q=is%3Aissue+%22%5BAPI-JEUX-31%5D%22" TargetMode="External"/><Relationship Id="rId210" Type="http://schemas.openxmlformats.org/officeDocument/2006/relationships/hyperlink" Target="https://github.com/TheGoatIA/univers_barca_api/issues?q=is%3Aissue+%22%5BAPI-JEUX-32%5D%22" TargetMode="External"/><Relationship Id="rId211" Type="http://schemas.openxmlformats.org/officeDocument/2006/relationships/hyperlink" Target="https://github.com/TheGoatIA/univers_barca_api/issues?q=is%3Aissue+%22%5BAPI-JEUX-33%5D%22" TargetMode="External"/><Relationship Id="rId212" Type="http://schemas.openxmlformats.org/officeDocument/2006/relationships/hyperlink" Target="https://github.com/TheGoatIA/univers_barca_api/issues?q=is%3Aissue+%22%5BAPI-JEUX-34%5D%22" TargetMode="External"/><Relationship Id="rId213" Type="http://schemas.openxmlformats.org/officeDocument/2006/relationships/hyperlink" Target="https://github.com/TheGoatIA/univers_barca_api/issues?q=is%3Aissue+%22%5BAPI-JEUX-35%5D%22" TargetMode="External"/><Relationship Id="rId214" Type="http://schemas.openxmlformats.org/officeDocument/2006/relationships/hyperlink" Target="https://github.com/TheGoatIA/univers_barca_api/issues?q=is%3Aissue+%22%5BAPI-JEUX-36%5D%22" TargetMode="External"/><Relationship Id="rId215" Type="http://schemas.openxmlformats.org/officeDocument/2006/relationships/hyperlink" Target="https://github.com/TheGoatIA/univers_barca_api/issues?q=is%3Aissue+%22%5BAPI-JEUX-37%5D%22" TargetMode="External"/><Relationship Id="rId216" Type="http://schemas.openxmlformats.org/officeDocument/2006/relationships/hyperlink" Target="https://github.com/TheGoatIA/univers_barca_api/issues?q=is%3Aissue+%22%5BAPI-NOTIF-01%5D%22" TargetMode="External"/><Relationship Id="rId217" Type="http://schemas.openxmlformats.org/officeDocument/2006/relationships/hyperlink" Target="https://github.com/TheGoatIA/univers_barca_api/issues?q=is%3Aissue+%22%5BAPI-NOTIF-02%5D%22" TargetMode="External"/><Relationship Id="rId218" Type="http://schemas.openxmlformats.org/officeDocument/2006/relationships/hyperlink" Target="https://github.com/TheGoatIA/univers_barca_api/issues?q=is%3Aissue+%22%5BAPI-NOTIF-03%5D%22" TargetMode="External"/><Relationship Id="rId219" Type="http://schemas.openxmlformats.org/officeDocument/2006/relationships/hyperlink" Target="https://github.com/TheGoatIA/univers_barca_api/issues?q=is%3Aissue+%22%5BAPI-NOTIF-04%5D%22" TargetMode="External"/><Relationship Id="rId220" Type="http://schemas.openxmlformats.org/officeDocument/2006/relationships/hyperlink" Target="https://github.com/TheGoatIA/univers_barca_api/issues?q=is%3Aissue+%22%5BAPI-NOTIF-05%5D%22" TargetMode="External"/><Relationship Id="rId221" Type="http://schemas.openxmlformats.org/officeDocument/2006/relationships/hyperlink" Target="https://github.com/TheGoatIA/univers_barca_api/issues?q=is%3Aissue+%22%5BAPI-NOTIF-06%5D%22" TargetMode="External"/><Relationship Id="rId222" Type="http://schemas.openxmlformats.org/officeDocument/2006/relationships/hyperlink" Target="https://github.com/TheGoatIA/univers_barca_api/issues?q=is%3Aissue+%22%5BAPI-NOTIF-07%5D%22" TargetMode="External"/><Relationship Id="rId223" Type="http://schemas.openxmlformats.org/officeDocument/2006/relationships/hyperlink" Target="https://github.com/TheGoatIA/univers_barca_api/issues?q=is%3Aissue+%22%5BAPI-NOTIF-08%5D%22" TargetMode="External"/><Relationship Id="rId224" Type="http://schemas.openxmlformats.org/officeDocument/2006/relationships/hyperlink" Target="https://github.com/TheGoatIA/univers_barca_api/issues?q=is%3Aissue+%22%5BAPI-NOTIF-09%5D%22" TargetMode="External"/><Relationship Id="rId225" Type="http://schemas.openxmlformats.org/officeDocument/2006/relationships/hyperlink" Target="https://github.com/TheGoatIA/univers_barca_api/issues?q=is%3Aissue+%22%5BAPI-NOTIF-10%5D%22" TargetMode="External"/><Relationship Id="rId226" Type="http://schemas.openxmlformats.org/officeDocument/2006/relationships/hyperlink" Target="https://github.com/TheGoatIA/univers_barca_api/issues?q=is%3Aissue+%22%5BAPI-NOTIF-11%5D%22" TargetMode="External"/><Relationship Id="rId227" Type="http://schemas.openxmlformats.org/officeDocument/2006/relationships/hyperlink" Target="https://github.com/TheGoatIA/univers_barca_api/issues?q=is%3Aissue+%22%5BAPI-NOTIF-12%5D%22" TargetMode="External"/><Relationship Id="rId228" Type="http://schemas.openxmlformats.org/officeDocument/2006/relationships/hyperlink" Target="https://github.com/TheGoatIA/univers_barca_api/issues?q=is%3Aissue+%22%5BAPI-NOTIF-13%5D%22" TargetMode="External"/><Relationship Id="rId229" Type="http://schemas.openxmlformats.org/officeDocument/2006/relationships/hyperlink" Target="https://github.com/TheGoatIA/univers_barca_api/issues?q=is%3Aissue+%22%5BAPI-NOTIF-14%5D%22" TargetMode="External"/><Relationship Id="rId230" Type="http://schemas.openxmlformats.org/officeDocument/2006/relationships/hyperlink" Target="https://github.com/TheGoatIA/univers_barca_api/issues?q=is%3Aissue+%22%5BAPI-NOTIF-15%5D%22" TargetMode="External"/><Relationship Id="rId231" Type="http://schemas.openxmlformats.org/officeDocument/2006/relationships/hyperlink" Target="https://github.com/TheGoatIA/univers_barca_api/issues?q=is%3Aissue+%22%5BAPI-NOTIF-16%5D%22" TargetMode="External"/><Relationship Id="rId232" Type="http://schemas.openxmlformats.org/officeDocument/2006/relationships/hyperlink" Target="https://github.com/TheGoatIA/univers_barca_api/issues?q=is%3Aissue+%22%5BAPI-NOTIF-17%5D%22" TargetMode="External"/><Relationship Id="rId233" Type="http://schemas.openxmlformats.org/officeDocument/2006/relationships/hyperlink" Target="https://github.com/TheGoatIA/univers_barca_api/issues?q=is%3Aissue+%22%5BAPI-NOTIF-18%5D%22" TargetMode="External"/><Relationship Id="rId234" Type="http://schemas.openxmlformats.org/officeDocument/2006/relationships/hyperlink" Target="https://github.com/TheGoatIA/univers_barca_api/issues?q=is%3Aissue+%22%5BAPI-NOTIF-19%5D%22" TargetMode="External"/><Relationship Id="rId235" Type="http://schemas.openxmlformats.org/officeDocument/2006/relationships/hyperlink" Target="https://github.com/TheGoatIA/univers_barca_api/issues?q=is%3Aissue+%22%5BAPI-NOTIF-20%5D%22" TargetMode="External"/><Relationship Id="rId236" Type="http://schemas.openxmlformats.org/officeDocument/2006/relationships/hyperlink" Target="https://github.com/TheGoatIA/univers_barca_api/issues?q=is%3Aissue+%22%5BAPI-NOTIF-21%5D%22" TargetMode="External"/><Relationship Id="rId237" Type="http://schemas.openxmlformats.org/officeDocument/2006/relationships/hyperlink" Target="https://github.com/TheGoatIA/univers_barca_api/issues?q=is%3Aissue+%22%5BAPI-NOTIF-22%5D%22" TargetMode="External"/><Relationship Id="rId238" Type="http://schemas.openxmlformats.org/officeDocument/2006/relationships/hyperlink" Target="https://github.com/TheGoatIA/univers_barca_api/issues?q=is%3Aissue+%22%5BAPI-NOTIF-23%5D%22" TargetMode="External"/><Relationship Id="rId239" Type="http://schemas.openxmlformats.org/officeDocument/2006/relationships/hyperlink" Target="https://github.com/TheGoatIA/univers_barca_api/issues?q=is%3Aissue+%22%5BAPI-NOTIF-24%5D%22" TargetMode="External"/><Relationship Id="rId240" Type="http://schemas.openxmlformats.org/officeDocument/2006/relationships/hyperlink" Target="https://github.com/TheGoatIA/univers_barca_api/issues?q=is%3Aissue+%22%5BAPI-NOTIF-25%5D%22" TargetMode="External"/><Relationship Id="rId241" Type="http://schemas.openxmlformats.org/officeDocument/2006/relationships/hyperlink" Target="https://github.com/TheGoatIA/univers_barca_api/issues?q=is%3Aissue+%22%5BAPI-NOTIF-26%5D%22" TargetMode="External"/><Relationship Id="rId242" Type="http://schemas.openxmlformats.org/officeDocument/2006/relationships/hyperlink" Target="https://github.com/TheGoatIA/univers_barca_api/issues?q=is%3Aissue+%22%5BAPI-NOTIF-27%5D%22" TargetMode="External"/><Relationship Id="rId243" Type="http://schemas.openxmlformats.org/officeDocument/2006/relationships/hyperlink" Target="https://github.com/TheGoatIA/univers_barca_api/issues?q=is%3Aissue+%22%5BAPI-NOTIF-28%5D%22" TargetMode="External"/><Relationship Id="rId244" Type="http://schemas.openxmlformats.org/officeDocument/2006/relationships/hyperlink" Target="https://github.com/TheGoatIA/univers_barca_api/issues?q=is%3Aissue+%22%5BAPI-NOTIF-29%5D%22" TargetMode="External"/><Relationship Id="rId245" Type="http://schemas.openxmlformats.org/officeDocument/2006/relationships/hyperlink" Target="https://github.com/TheGoatIA/univers_barca_api/issues?q=is%3Aissue+%22%5BAPI-NOTIF-30%5D%22" TargetMode="External"/><Relationship Id="rId246" Type="http://schemas.openxmlformats.org/officeDocument/2006/relationships/hyperlink" Target="https://github.com/TheGoatIA/univers_barca_api/issues?q=is%3Aissue+%22%5BAPI-NOTIF-31%5D%22" TargetMode="External"/><Relationship Id="rId247" Type="http://schemas.openxmlformats.org/officeDocument/2006/relationships/hyperlink" Target="https://github.com/TheGoatIA/univers_barca_api/issues?q=is%3Aissue+%22%5BAPI-IA-01%5D%22" TargetMode="External"/><Relationship Id="rId248" Type="http://schemas.openxmlformats.org/officeDocument/2006/relationships/hyperlink" Target="https://github.com/TheGoatIA/univers_barca_api/issues?q=is%3Aissue+%22%5BAPI-IA-02%5D%22" TargetMode="External"/><Relationship Id="rId249" Type="http://schemas.openxmlformats.org/officeDocument/2006/relationships/hyperlink" Target="https://github.com/TheGoatIA/univers_barca_api/issues?q=is%3Aissue+%22%5BAPI-IA-03%5D%22" TargetMode="External"/><Relationship Id="rId250" Type="http://schemas.openxmlformats.org/officeDocument/2006/relationships/hyperlink" Target="https://github.com/TheGoatIA/univers_barca_api/issues?q=is%3Aissue+%22%5BAPI-IA-04%5D%22" TargetMode="External"/><Relationship Id="rId251" Type="http://schemas.openxmlformats.org/officeDocument/2006/relationships/hyperlink" Target="https://github.com/TheGoatIA/univers_barca_api/issues?q=is%3Aissue+%22%5BAPI-IA-05%5D%22" TargetMode="External"/><Relationship Id="rId252" Type="http://schemas.openxmlformats.org/officeDocument/2006/relationships/hyperlink" Target="https://github.com/TheGoatIA/univers_barca_api/issues?q=is%3Aissue+%22%5BAPI-IA-06%5D%22" TargetMode="External"/><Relationship Id="rId253" Type="http://schemas.openxmlformats.org/officeDocument/2006/relationships/hyperlink" Target="https://github.com/TheGoatIA/univers_barca_api/issues?q=is%3Aissue+%22%5BAPI-IA-07%5D%22" TargetMode="External"/><Relationship Id="rId254" Type="http://schemas.openxmlformats.org/officeDocument/2006/relationships/hyperlink" Target="https://github.com/TheGoatIA/univers_barca_api/issues?q=is%3Aissue+%22%5BAPI-IA-08%5D%22" TargetMode="External"/><Relationship Id="rId255" Type="http://schemas.openxmlformats.org/officeDocument/2006/relationships/hyperlink" Target="https://github.com/TheGoatIA/univers_barca_api/issues?q=is%3Aissue+%22%5BAPI-IA-09%5D%22" TargetMode="External"/><Relationship Id="rId256" Type="http://schemas.openxmlformats.org/officeDocument/2006/relationships/hyperlink" Target="https://github.com/TheGoatIA/univers_barca_api/issues?q=is%3Aissue+%22%5BAPI-IA-10%5D%22" TargetMode="External"/><Relationship Id="rId257" Type="http://schemas.openxmlformats.org/officeDocument/2006/relationships/hyperlink" Target="https://github.com/TheGoatIA/univers_barca_api/issues?q=is%3Aissue+%22%5BAPI-IA-11%5D%22" TargetMode="External"/><Relationship Id="rId258" Type="http://schemas.openxmlformats.org/officeDocument/2006/relationships/hyperlink" Target="https://github.com/TheGoatIA/univers_barca_api/issues?q=is%3Aissue+%22%5BAPI-IA-12%5D%22" TargetMode="External"/><Relationship Id="rId259" Type="http://schemas.openxmlformats.org/officeDocument/2006/relationships/hyperlink" Target="https://github.com/TheGoatIA/univers_barca_api/issues?q=is%3Aissue+%22%5BAPI-IA-13%5D%22" TargetMode="External"/><Relationship Id="rId260" Type="http://schemas.openxmlformats.org/officeDocument/2006/relationships/hyperlink" Target="https://github.com/TheGoatIA/univers_barca_api/issues?q=is%3Aissue+%22%5BAPI-IA-14%5D%22" TargetMode="External"/><Relationship Id="rId261" Type="http://schemas.openxmlformats.org/officeDocument/2006/relationships/hyperlink" Target="https://github.com/TheGoatIA/univers_barca_api/issues?q=is%3Aissue+%22%5BAPI-IA-15%5D%22" TargetMode="External"/><Relationship Id="rId262" Type="http://schemas.openxmlformats.org/officeDocument/2006/relationships/hyperlink" Target="https://github.com/TheGoatIA/univers_barca_api/issues?q=is%3Aissue+%22%5BAPI-IA-16%5D%22" TargetMode="External"/><Relationship Id="rId263" Type="http://schemas.openxmlformats.org/officeDocument/2006/relationships/hyperlink" Target="https://github.com/TheGoatIA/univers_barca_api/issues?q=is%3Aissue+%22%5BAPI-IA-17%5D%22" TargetMode="External"/><Relationship Id="rId264" Type="http://schemas.openxmlformats.org/officeDocument/2006/relationships/hyperlink" Target="https://github.com/TheGoatIA/univers_barca_api/issues?q=is%3Aissue+%22%5BAPI-IA-18%5D%22" TargetMode="External"/><Relationship Id="rId265" Type="http://schemas.openxmlformats.org/officeDocument/2006/relationships/hyperlink" Target="https://github.com/TheGoatIA/univers_barca_api/issues?q=is%3Aissue+%22%5BAPI-IA-19%5D%22" TargetMode="External"/><Relationship Id="rId266" Type="http://schemas.openxmlformats.org/officeDocument/2006/relationships/hyperlink" Target="https://github.com/TheGoatIA/univers_barca_api/issues?q=is%3Aissue+%22%5BAPI-IA-20%5D%22" TargetMode="External"/><Relationship Id="rId267" Type="http://schemas.openxmlformats.org/officeDocument/2006/relationships/hyperlink" Target="https://github.com/TheGoatIA/univers_barca_api/issues?q=is%3Aissue+%22%5BAPI-IA-21%5D%22" TargetMode="External"/><Relationship Id="rId268" Type="http://schemas.openxmlformats.org/officeDocument/2006/relationships/hyperlink" Target="https://github.com/TheGoatIA/univers_barca_api/issues?q=is%3Aissue+%22%5BAPI-IA-22%5D%22" TargetMode="External"/><Relationship Id="rId269" Type="http://schemas.openxmlformats.org/officeDocument/2006/relationships/hyperlink" Target="https://github.com/TheGoatIA/univers_barca_api/issues?q=is%3Aissue+%22%5BAPI-IA-23%5D%22" TargetMode="External"/><Relationship Id="rId270" Type="http://schemas.openxmlformats.org/officeDocument/2006/relationships/hyperlink" Target="https://github.com/TheGoatIA/univers_barca_api/issues?q=is%3Aissue+%22%5BAPI-IA-24%5D%22" TargetMode="External"/><Relationship Id="rId271" Type="http://schemas.openxmlformats.org/officeDocument/2006/relationships/hyperlink" Target="https://github.com/TheGoatIA/univers_barca_api/issues?q=is%3Aissue+%22%5BAPI-IA-25%5D%22" TargetMode="External"/><Relationship Id="rId272" Type="http://schemas.openxmlformats.org/officeDocument/2006/relationships/hyperlink" Target="https://github.com/TheGoatIA/univers_barca_api/issues?q=is%3Aissue+%22%5BAPI-IA-26%5D%22" TargetMode="External"/><Relationship Id="rId273" Type="http://schemas.openxmlformats.org/officeDocument/2006/relationships/hyperlink" Target="https://github.com/TheGoatIA/univers_barca_api/issues?q=is%3Aissue+%22%5BAPI-IA-27%5D%22" TargetMode="External"/><Relationship Id="rId274" Type="http://schemas.openxmlformats.org/officeDocument/2006/relationships/hyperlink" Target="https://github.com/TheGoatIA/univers_barca_api/issues?q=is%3Aissue+%22%5BAPI-IA-28%5D%22" TargetMode="External"/><Relationship Id="rId275" Type="http://schemas.openxmlformats.org/officeDocument/2006/relationships/hyperlink" Target="https://github.com/TheGoatIA/univers_barca_api/issues?q=is%3Aissue+%22%5BAPI-IA-29%5D%22" TargetMode="External"/><Relationship Id="rId276" Type="http://schemas.openxmlformats.org/officeDocument/2006/relationships/hyperlink" Target="https://github.com/TheGoatIA/univers_barca_api/issues?q=is%3Aissue+%22%5BAPI-IA-30%5D%22" TargetMode="External"/><Relationship Id="rId277" Type="http://schemas.openxmlformats.org/officeDocument/2006/relationships/hyperlink" Target="https://github.com/TheGoatIA/univers_barca_api/issues?q=is%3Aissue+%22%5BAPI-IA-31%5D%22" TargetMode="External"/><Relationship Id="rId278" Type="http://schemas.openxmlformats.org/officeDocument/2006/relationships/hyperlink" Target="https://github.com/TheGoatIA/univers_barca_api/issues?q=is%3Aissue+%22%5BAPI-IA-32%5D%22" TargetMode="External"/><Relationship Id="rId279" Type="http://schemas.openxmlformats.org/officeDocument/2006/relationships/hyperlink" Target="https://github.com/TheGoatIA/univers_barca_api/issues?q=is%3Aissue+%22%5BAPI-IA-33%5D%22" TargetMode="External"/><Relationship Id="rId280" Type="http://schemas.openxmlformats.org/officeDocument/2006/relationships/hyperlink" Target="https://github.com/TheGoatIA/univers_barca_api/issues?q=is%3Aissue+%22%5BAPI-IA-34%5D%22" TargetMode="External"/><Relationship Id="rId281" Type="http://schemas.openxmlformats.org/officeDocument/2006/relationships/hyperlink" Target="https://github.com/TheGoatIA/univers_barca_api/issues?q=is%3Aissue+%22%5BAPI-COMM-01%5D%22" TargetMode="External"/><Relationship Id="rId282" Type="http://schemas.openxmlformats.org/officeDocument/2006/relationships/hyperlink" Target="https://github.com/TheGoatIA/univers_barca_api/issues?q=is%3Aissue+%22%5BAPI-COMM-02%5D%22" TargetMode="External"/><Relationship Id="rId283" Type="http://schemas.openxmlformats.org/officeDocument/2006/relationships/hyperlink" Target="https://github.com/TheGoatIA/univers_barca_api/issues?q=is%3Aissue+%22%5BAPI-COMM-03%5D%22" TargetMode="External"/><Relationship Id="rId284" Type="http://schemas.openxmlformats.org/officeDocument/2006/relationships/hyperlink" Target="https://github.com/TheGoatIA/univers_barca_api/issues?q=is%3Aissue+%22%5BAPI-COMM-04%5D%22" TargetMode="External"/><Relationship Id="rId285" Type="http://schemas.openxmlformats.org/officeDocument/2006/relationships/hyperlink" Target="https://github.com/TheGoatIA/univers_barca_api/issues?q=is%3Aissue+%22%5BAPI-COMM-05%5D%22" TargetMode="External"/><Relationship Id="rId286" Type="http://schemas.openxmlformats.org/officeDocument/2006/relationships/hyperlink" Target="https://github.com/TheGoatIA/univers_barca_api/issues?q=is%3Aissue+%22%5BAPI-COMM-06%5D%22" TargetMode="External"/><Relationship Id="rId287" Type="http://schemas.openxmlformats.org/officeDocument/2006/relationships/hyperlink" Target="https://github.com/TheGoatIA/univers_barca_api/issues?q=is%3Aissue+%22%5BAPI-COMM-07%5D%22" TargetMode="External"/><Relationship Id="rId288" Type="http://schemas.openxmlformats.org/officeDocument/2006/relationships/hyperlink" Target="https://github.com/TheGoatIA/univers_barca_api/issues?q=is%3Aissue+%22%5BAPI-COMM-08%5D%22" TargetMode="External"/><Relationship Id="rId289" Type="http://schemas.openxmlformats.org/officeDocument/2006/relationships/hyperlink" Target="https://github.com/TheGoatIA/univers_barca_api/issues?q=is%3Aissue+%22%5BAPI-COMM-09%5D%22" TargetMode="External"/><Relationship Id="rId290" Type="http://schemas.openxmlformats.org/officeDocument/2006/relationships/hyperlink" Target="https://github.com/TheGoatIA/univers_barca_api/issues?q=is%3Aissue+%22%5BAPI-COMM-10%5D%22" TargetMode="External"/><Relationship Id="rId291" Type="http://schemas.openxmlformats.org/officeDocument/2006/relationships/hyperlink" Target="https://github.com/TheGoatIA/univers_barca_api/issues?q=is%3Aissue+%22%5BAPI-COMM-11%5D%22" TargetMode="External"/><Relationship Id="rId292" Type="http://schemas.openxmlformats.org/officeDocument/2006/relationships/hyperlink" Target="https://github.com/TheGoatIA/univers_barca_api/issues?q=is%3Aissue+%22%5BAPI-COMM-12%5D%22" TargetMode="External"/><Relationship Id="rId293" Type="http://schemas.openxmlformats.org/officeDocument/2006/relationships/hyperlink" Target="https://github.com/TheGoatIA/univers_barca_api/issues?q=is%3Aissue+%22%5BAPI-COMM-13%5D%22" TargetMode="External"/><Relationship Id="rId294" Type="http://schemas.openxmlformats.org/officeDocument/2006/relationships/hyperlink" Target="https://github.com/TheGoatIA/univers_barca_api/issues?q=is%3Aissue+%22%5BAPI-COMM-14%5D%22" TargetMode="External"/><Relationship Id="rId295" Type="http://schemas.openxmlformats.org/officeDocument/2006/relationships/hyperlink" Target="https://github.com/TheGoatIA/univers_barca_api/issues?q=is%3Aissue+%22%5BAPI-COMM-15%5D%22" TargetMode="External"/><Relationship Id="rId296" Type="http://schemas.openxmlformats.org/officeDocument/2006/relationships/hyperlink" Target="https://github.com/TheGoatIA/univers_barca_api/issues?q=is%3Aissue+%22%5BAPI-COMM-16%5D%22" TargetMode="External"/><Relationship Id="rId297" Type="http://schemas.openxmlformats.org/officeDocument/2006/relationships/hyperlink" Target="https://github.com/TheGoatIA/univers_barca_api/issues?q=is%3Aissue+%22%5BAPI-COMM-17%5D%22" TargetMode="External"/><Relationship Id="rId298" Type="http://schemas.openxmlformats.org/officeDocument/2006/relationships/hyperlink" Target="https://github.com/TheGoatIA/univers_barca_api/issues?q=is%3Aissue+%22%5BAPI-COMM-18%5D%22" TargetMode="External"/><Relationship Id="rId299" Type="http://schemas.openxmlformats.org/officeDocument/2006/relationships/hyperlink" Target="https://github.com/TheGoatIA/univers_barca_api/issues?q=is%3Aissue+%22%5BAPI-COMM-19%5D%22" TargetMode="External"/><Relationship Id="rId300" Type="http://schemas.openxmlformats.org/officeDocument/2006/relationships/hyperlink" Target="https://github.com/TheGoatIA/univers_barca_api/issues?q=is%3Aissue+%22%5BAPI-COMM-20%5D%22" TargetMode="External"/><Relationship Id="rId301" Type="http://schemas.openxmlformats.org/officeDocument/2006/relationships/hyperlink" Target="https://github.com/TheGoatIA/univers_barca_api/issues?q=is%3Aissue+%22%5BAPI-COMM-21%5D%22" TargetMode="External"/><Relationship Id="rId302" Type="http://schemas.openxmlformats.org/officeDocument/2006/relationships/hyperlink" Target="https://github.com/TheGoatIA/univers_barca_api/issues?q=is%3Aissue+%22%5BAPI-COMM-22%5D%22" TargetMode="External"/><Relationship Id="rId303" Type="http://schemas.openxmlformats.org/officeDocument/2006/relationships/hyperlink" Target="https://github.com/TheGoatIA/univers_barca_api/issues?q=is%3Aissue+%22%5BAPI-COMM-23%5D%22" TargetMode="External"/><Relationship Id="rId304" Type="http://schemas.openxmlformats.org/officeDocument/2006/relationships/hyperlink" Target="https://github.com/TheGoatIA/univers_barca_api/issues?q=is%3Aissue+%22%5BAPI-COMM-24%5D%22" TargetMode="External"/><Relationship Id="rId305" Type="http://schemas.openxmlformats.org/officeDocument/2006/relationships/hyperlink" Target="https://github.com/TheGoatIA/univers_barca_api/issues?q=is%3Aissue+%22%5BAPI-COMM-25%5D%22" TargetMode="External"/><Relationship Id="rId306" Type="http://schemas.openxmlformats.org/officeDocument/2006/relationships/hyperlink" Target="https://github.com/TheGoatIA/univers_barca_api/issues?q=is%3Aissue+%22%5BAPI-COMM-26%5D%22" TargetMode="External"/><Relationship Id="rId307" Type="http://schemas.openxmlformats.org/officeDocument/2006/relationships/hyperlink" Target="https://github.com/TheGoatIA/univers_barca_api/issues?q=is%3Aissue+%22%5BAPI-COMM-27%5D%22" TargetMode="External"/><Relationship Id="rId308" Type="http://schemas.openxmlformats.org/officeDocument/2006/relationships/hyperlink" Target="https://github.com/TheGoatIA/univers_barca_api/issues?q=is%3Aissue+%22%5BAPI-COMM-28%5D%22" TargetMode="External"/><Relationship Id="rId309" Type="http://schemas.openxmlformats.org/officeDocument/2006/relationships/hyperlink" Target="https://github.com/TheGoatIA/univers_barca_api/issues?q=is%3Aissue+%22%5BAPI-COMM-29%5D%22" TargetMode="External"/><Relationship Id="rId310" Type="http://schemas.openxmlformats.org/officeDocument/2006/relationships/hyperlink" Target="https://github.com/TheGoatIA/univers_barca_api/issues?q=is%3Aissue+%22%5BAPI-COMM-30%5D%22" TargetMode="External"/><Relationship Id="rId311" Type="http://schemas.openxmlformats.org/officeDocument/2006/relationships/hyperlink" Target="https://github.com/TheGoatIA/univers_barca_api/issues?q=is%3Aissue+%22%5BAPI-COMM-31%5D%22" TargetMode="External"/><Relationship Id="rId312" Type="http://schemas.openxmlformats.org/officeDocument/2006/relationships/hyperlink" Target="https://github.com/TheGoatIA/univers_barca_api/issues?q=is%3Aissue+%22%5BAPI-COMM-32%5D%22" TargetMode="External"/><Relationship Id="rId313" Type="http://schemas.openxmlformats.org/officeDocument/2006/relationships/hyperlink" Target="https://github.com/TheGoatIA/univers_barca_api/issues?q=is%3Aissue+%22%5BAPI-COMM-33%5D%22" TargetMode="External"/><Relationship Id="rId314" Type="http://schemas.openxmlformats.org/officeDocument/2006/relationships/hyperlink" Target="https://github.com/TheGoatIA/univers_barca_api/issues?q=is%3Aissue+%22%5BAPI-MODER-01%5D%22" TargetMode="External"/><Relationship Id="rId315" Type="http://schemas.openxmlformats.org/officeDocument/2006/relationships/hyperlink" Target="https://github.com/TheGoatIA/univers_barca_api/issues?q=is%3Aissue+%22%5BAPI-MODER-02%5D%22" TargetMode="External"/><Relationship Id="rId316" Type="http://schemas.openxmlformats.org/officeDocument/2006/relationships/hyperlink" Target="https://github.com/TheGoatIA/univers_barca_api/issues?q=is%3Aissue+%22%5BAPI-MODER-03%5D%22" TargetMode="External"/><Relationship Id="rId317" Type="http://schemas.openxmlformats.org/officeDocument/2006/relationships/hyperlink" Target="https://github.com/TheGoatIA/univers_barca_api/issues?q=is%3Aissue+%22%5BAPI-MODER-04%5D%22" TargetMode="External"/><Relationship Id="rId318" Type="http://schemas.openxmlformats.org/officeDocument/2006/relationships/hyperlink" Target="https://github.com/TheGoatIA/univers_barca_api/issues?q=is%3Aissue+%22%5BAPI-MODER-05%5D%22" TargetMode="External"/><Relationship Id="rId319" Type="http://schemas.openxmlformats.org/officeDocument/2006/relationships/hyperlink" Target="https://github.com/TheGoatIA/univers_barca_api/issues?q=is%3Aissue+%22%5BAPI-MODER-06%5D%22" TargetMode="External"/><Relationship Id="rId320" Type="http://schemas.openxmlformats.org/officeDocument/2006/relationships/hyperlink" Target="https://github.com/TheGoatIA/univers_barca_api/issues?q=is%3Aissue+%22%5BAPI-MODER-07%5D%22" TargetMode="External"/><Relationship Id="rId321" Type="http://schemas.openxmlformats.org/officeDocument/2006/relationships/hyperlink" Target="https://github.com/TheGoatIA/univers_barca_api/issues?q=is%3Aissue+%22%5BAPI-MODER-08%5D%22" TargetMode="External"/><Relationship Id="rId322" Type="http://schemas.openxmlformats.org/officeDocument/2006/relationships/hyperlink" Target="https://github.com/TheGoatIA/univers_barca_api/issues?q=is%3Aissue+%22%5BAPI-MODER-09%5D%22" TargetMode="External"/><Relationship Id="rId323" Type="http://schemas.openxmlformats.org/officeDocument/2006/relationships/hyperlink" Target="https://github.com/TheGoatIA/univers_barca_api/issues?q=is%3Aissue+%22%5BAPI-MODER-10%5D%22" TargetMode="External"/><Relationship Id="rId324" Type="http://schemas.openxmlformats.org/officeDocument/2006/relationships/hyperlink" Target="https://github.com/TheGoatIA/univers_barca_api/issues?q=is%3Aissue+%22%5BAPI-MODER-11%5D%22" TargetMode="External"/><Relationship Id="rId325" Type="http://schemas.openxmlformats.org/officeDocument/2006/relationships/hyperlink" Target="https://github.com/TheGoatIA/univers_barca_api/issues?q=is%3Aissue+%22%5BAPI-MODER-12%5D%22" TargetMode="External"/><Relationship Id="rId326" Type="http://schemas.openxmlformats.org/officeDocument/2006/relationships/hyperlink" Target="https://github.com/TheGoatIA/univers_barca_api/issues?q=is%3Aissue+%22%5BAPI-MODER-13%5D%22" TargetMode="External"/><Relationship Id="rId327" Type="http://schemas.openxmlformats.org/officeDocument/2006/relationships/hyperlink" Target="https://github.com/TheGoatIA/univers_barca_api/issues?q=is%3Aissue+%22%5BAPI-MODER-14%5D%22" TargetMode="External"/><Relationship Id="rId328" Type="http://schemas.openxmlformats.org/officeDocument/2006/relationships/hyperlink" Target="https://github.com/TheGoatIA/univers_barca_api/issues?q=is%3Aissue+%22%5BAPI-MODER-15%5D%22" TargetMode="External"/><Relationship Id="rId329" Type="http://schemas.openxmlformats.org/officeDocument/2006/relationships/hyperlink" Target="https://github.com/TheGoatIA/univers_barca_api/issues?q=is%3Aissue+%22%5BAPI-MODER-16%5D%22" TargetMode="External"/><Relationship Id="rId330" Type="http://schemas.openxmlformats.org/officeDocument/2006/relationships/hyperlink" Target="https://github.com/TheGoatIA/univers_barca_api/issues?q=is%3Aissue+%22%5BAPI-MODER-17%5D%22" TargetMode="External"/><Relationship Id="rId331" Type="http://schemas.openxmlformats.org/officeDocument/2006/relationships/hyperlink" Target="https://github.com/TheGoatIA/univers_barca_api/issues?q=is%3Aissue+%22%5BAPI-MODER-18%5D%22" TargetMode="External"/><Relationship Id="rId332" Type="http://schemas.openxmlformats.org/officeDocument/2006/relationships/hyperlink" Target="https://github.com/TheGoatIA/univers_barca_api/issues?q=is%3Aissue+%22%5BAPI-MODER-19%5D%22" TargetMode="External"/><Relationship Id="rId333" Type="http://schemas.openxmlformats.org/officeDocument/2006/relationships/hyperlink" Target="https://github.com/TheGoatIA/univers_barca_api/issues?q=is%3Aissue+%22%5BAPI-MODER-20%5D%22" TargetMode="External"/><Relationship Id="rId334" Type="http://schemas.openxmlformats.org/officeDocument/2006/relationships/hyperlink" Target="https://github.com/TheGoatIA/univers_barca_api/issues?q=is%3Aissue+%22%5BAPI-MODER-21%5D%22" TargetMode="External"/><Relationship Id="rId335" Type="http://schemas.openxmlformats.org/officeDocument/2006/relationships/hyperlink" Target="https://github.com/TheGoatIA/univers_barca_api/issues?q=is%3Aissue+%22%5BAPI-MODER-22%5D%22" TargetMode="External"/><Relationship Id="rId336" Type="http://schemas.openxmlformats.org/officeDocument/2006/relationships/hyperlink" Target="https://github.com/TheGoatIA/univers_barca_api/issues?q=is%3Aissue+%22%5BAPI-MODER-23%5D%22" TargetMode="External"/><Relationship Id="rId337" Type="http://schemas.openxmlformats.org/officeDocument/2006/relationships/hyperlink" Target="https://github.com/TheGoatIA/univers_barca_api/issues?q=is%3Aissue+%22%5BAPI-MODER-24%5D%22" TargetMode="External"/><Relationship Id="rId338" Type="http://schemas.openxmlformats.org/officeDocument/2006/relationships/hyperlink" Target="https://github.com/TheGoatIA/univers_barca_api/issues?q=is%3Aissue+%22%5BAPI-MODER-25%5D%22" TargetMode="External"/><Relationship Id="rId339" Type="http://schemas.openxmlformats.org/officeDocument/2006/relationships/hyperlink" Target="https://github.com/TheGoatIA/univers_barca_api/issues?q=is%3Aissue+%22%5BAPI-MODER-26%5D%22" TargetMode="External"/><Relationship Id="rId340" Type="http://schemas.openxmlformats.org/officeDocument/2006/relationships/hyperlink" Target="https://github.com/TheGoatIA/univers_barca_api/issues?q=is%3Aissue+%22%5BAPI-MODER-27%5D%22" TargetMode="External"/><Relationship Id="rId341" Type="http://schemas.openxmlformats.org/officeDocument/2006/relationships/hyperlink" Target="https://github.com/TheGoatIA/univers_barca_api/issues?q=is%3Aissue+%22%5BAPI-MODER-28%5D%22" TargetMode="External"/><Relationship Id="rId342" Type="http://schemas.openxmlformats.org/officeDocument/2006/relationships/hyperlink" Target="https://github.com/TheGoatIA/univers_barca_api/issues?q=is%3Aissue+%22%5BAPI-MODER-29%5D%22" TargetMode="External"/><Relationship Id="rId343" Type="http://schemas.openxmlformats.org/officeDocument/2006/relationships/hyperlink" Target="https://github.com/TheGoatIA/univers_barca_api/issues?q=is%3Aissue+%22%5BAPI-MODER-30%5D%22" TargetMode="External"/><Relationship Id="rId344" Type="http://schemas.openxmlformats.org/officeDocument/2006/relationships/hyperlink" Target="https://github.com/TheGoatIA/univers_barca_api/issues?q=is%3Aissue+%22%5BAPI-MODER-31%5D%22" TargetMode="External"/><Relationship Id="rId345" Type="http://schemas.openxmlformats.org/officeDocument/2006/relationships/hyperlink" Target="https://github.com/TheGoatIA/univers_barca_api/issues?q=is%3Aissue+%22%5BAPI-MODER-32%5D%22" TargetMode="External"/><Relationship Id="rId346" Type="http://schemas.openxmlformats.org/officeDocument/2006/relationships/hyperlink" Target="https://github.com/TheGoatIA/univers_barca_api/issues?q=is%3Aissue+%22%5BAPI-GOAT-01%5D%22" TargetMode="External"/><Relationship Id="rId347" Type="http://schemas.openxmlformats.org/officeDocument/2006/relationships/hyperlink" Target="https://github.com/TheGoatIA/univers_barca_api/issues?q=is%3Aissue+%22%5BAPI-GOAT-02%5D%22" TargetMode="External"/><Relationship Id="rId348" Type="http://schemas.openxmlformats.org/officeDocument/2006/relationships/hyperlink" Target="https://github.com/TheGoatIA/univers_barca_api/issues?q=is%3Aissue+%22%5BAPI-GOAT-03%5D%22" TargetMode="External"/><Relationship Id="rId349" Type="http://schemas.openxmlformats.org/officeDocument/2006/relationships/hyperlink" Target="https://github.com/TheGoatIA/univers_barca_api/issues?q=is%3Aissue+%22%5BAPI-GOAT-04%5D%22" TargetMode="External"/><Relationship Id="rId350" Type="http://schemas.openxmlformats.org/officeDocument/2006/relationships/hyperlink" Target="https://github.com/TheGoatIA/univers_barca_api/issues?q=is%3Aissue+%22%5BAPI-GOAT-05%5D%22" TargetMode="External"/><Relationship Id="rId351" Type="http://schemas.openxmlformats.org/officeDocument/2006/relationships/hyperlink" Target="https://github.com/TheGoatIA/univers_barca_api/issues?q=is%3Aissue+%22%5BAPI-GOAT-06%5D%22" TargetMode="External"/><Relationship Id="rId352" Type="http://schemas.openxmlformats.org/officeDocument/2006/relationships/hyperlink" Target="https://github.com/TheGoatIA/univers_barca_api/issues?q=is%3Aissue+%22%5BAPI-GOAT-07%5D%22" TargetMode="External"/><Relationship Id="rId353" Type="http://schemas.openxmlformats.org/officeDocument/2006/relationships/hyperlink" Target="https://github.com/TheGoatIA/univers_barca_api/issues?q=is%3Aissue+%22%5BAPI-GOAT-08%5D%22" TargetMode="External"/><Relationship Id="rId354" Type="http://schemas.openxmlformats.org/officeDocument/2006/relationships/hyperlink" Target="https://github.com/TheGoatIA/univers_barca_api/issues?q=is%3Aissue+%22%5BAPI-GOAT-09%5D%22" TargetMode="External"/><Relationship Id="rId355" Type="http://schemas.openxmlformats.org/officeDocument/2006/relationships/hyperlink" Target="https://github.com/TheGoatIA/univers_barca_api/issues?q=is%3Aissue+%22%5BAPI-GOAT-10%5D%22" TargetMode="External"/><Relationship Id="rId356" Type="http://schemas.openxmlformats.org/officeDocument/2006/relationships/hyperlink" Target="https://github.com/TheGoatIA/univers_barca_api/issues?q=is%3Aissue+%22%5BAPI-GOAT-11%5D%22" TargetMode="External"/><Relationship Id="rId357" Type="http://schemas.openxmlformats.org/officeDocument/2006/relationships/hyperlink" Target="https://github.com/TheGoatIA/univers_barca_api/issues?q=is%3Aissue+%22%5BAPI-GOAT-12%5D%22" TargetMode="External"/><Relationship Id="rId358" Type="http://schemas.openxmlformats.org/officeDocument/2006/relationships/hyperlink" Target="https://github.com/TheGoatIA/univers_barca_api/issues?q=is%3Aissue+%22%5BAPI-GOAT-13%5D%22" TargetMode="External"/><Relationship Id="rId359" Type="http://schemas.openxmlformats.org/officeDocument/2006/relationships/hyperlink" Target="https://github.com/TheGoatIA/univers_barca_api/issues?q=is%3Aissue+%22%5BAPI-GOAT-14%5D%22" TargetMode="External"/><Relationship Id="rId360" Type="http://schemas.openxmlformats.org/officeDocument/2006/relationships/hyperlink" Target="https://github.com/TheGoatIA/univers_barca_api/issues?q=is%3Aissue+%22%5BAPI-GOAT-15%5D%22" TargetMode="External"/><Relationship Id="rId361" Type="http://schemas.openxmlformats.org/officeDocument/2006/relationships/hyperlink" Target="https://github.com/TheGoatIA/univers_barca_api/issues?q=is%3Aissue+%22%5BAPI-GOAT-16%5D%22" TargetMode="External"/><Relationship Id="rId362" Type="http://schemas.openxmlformats.org/officeDocument/2006/relationships/hyperlink" Target="https://github.com/TheGoatIA/univers_barca_api/issues?q=is%3Aissue+%22%5BAPI-GOAT-17%5D%22" TargetMode="External"/><Relationship Id="rId363" Type="http://schemas.openxmlformats.org/officeDocument/2006/relationships/hyperlink" Target="https://github.com/TheGoatIA/univers_barca_api/issues?q=is%3Aissue+%22%5BAPI-GOAT-18%5D%22" TargetMode="External"/><Relationship Id="rId364" Type="http://schemas.openxmlformats.org/officeDocument/2006/relationships/hyperlink" Target="https://github.com/TheGoatIA/univers_barca_api/issues?q=is%3Aissue+%22%5BAPI-GOAT-19%5D%22" TargetMode="External"/><Relationship Id="rId365" Type="http://schemas.openxmlformats.org/officeDocument/2006/relationships/hyperlink" Target="https://github.com/TheGoatIA/univers_barca_api/issues?q=is%3Aissue+%22%5BAPI-GOAT-20%5D%22" TargetMode="External"/><Relationship Id="rId366" Type="http://schemas.openxmlformats.org/officeDocument/2006/relationships/hyperlink" Target="https://github.com/TheGoatIA/univers_barca_api/issues?q=is%3Aissue+%22%5BAPI-GOAT-21%5D%22" TargetMode="External"/><Relationship Id="rId367" Type="http://schemas.openxmlformats.org/officeDocument/2006/relationships/hyperlink" Target="https://github.com/TheGoatIA/univers_barca_api/issues?q=is%3Aissue+%22%5BAPI-GOAT-22%5D%22" TargetMode="External"/><Relationship Id="rId368" Type="http://schemas.openxmlformats.org/officeDocument/2006/relationships/hyperlink" Target="https://github.com/TheGoatIA/univers_barca_api/issues?q=is%3Aissue+%22%5BAPI-GOAT-23%5D%22" TargetMode="External"/><Relationship Id="rId369" Type="http://schemas.openxmlformats.org/officeDocument/2006/relationships/hyperlink" Target="https://github.com/TheGoatIA/univers_barca_api/issues?q=is%3Aissue+%22%5BAPI-GOAT-24%5D%22" TargetMode="External"/><Relationship Id="rId370" Type="http://schemas.openxmlformats.org/officeDocument/2006/relationships/hyperlink" Target="https://github.com/TheGoatIA/univers_barca_api/issues?q=is%3Aissue+%22%5BAPI-GOAT-25%5D%22" TargetMode="External"/><Relationship Id="rId371" Type="http://schemas.openxmlformats.org/officeDocument/2006/relationships/hyperlink" Target="https://github.com/TheGoatIA/univers_barca_api/issues?q=is%3Aissue+%22%5BAPI-GOAT-26%5D%22" TargetMode="External"/><Relationship Id="rId372" Type="http://schemas.openxmlformats.org/officeDocument/2006/relationships/hyperlink" Target="https://github.com/TheGoatIA/univers_barca_api/issues?q=is%3Aissue+%22%5BAPI-FANT-01%5D%22" TargetMode="External"/><Relationship Id="rId373" Type="http://schemas.openxmlformats.org/officeDocument/2006/relationships/hyperlink" Target="https://github.com/TheGoatIA/univers_barca_api/issues?q=is%3Aissue+%22%5BAPI-FANT-02%5D%22" TargetMode="External"/><Relationship Id="rId374" Type="http://schemas.openxmlformats.org/officeDocument/2006/relationships/hyperlink" Target="https://github.com/TheGoatIA/univers_barca_api/issues?q=is%3Aissue+%22%5BAPI-FANT-03%5D%22" TargetMode="External"/><Relationship Id="rId375" Type="http://schemas.openxmlformats.org/officeDocument/2006/relationships/hyperlink" Target="https://github.com/TheGoatIA/univers_barca_api/issues?q=is%3Aissue+%22%5BAPI-FANT-04%5D%22" TargetMode="External"/><Relationship Id="rId376" Type="http://schemas.openxmlformats.org/officeDocument/2006/relationships/hyperlink" Target="https://github.com/TheGoatIA/univers_barca_api/issues?q=is%3Aissue+%22%5BAPI-FANT-05%5D%22" TargetMode="External"/><Relationship Id="rId377" Type="http://schemas.openxmlformats.org/officeDocument/2006/relationships/hyperlink" Target="https://github.com/TheGoatIA/univers_barca_api/issues?q=is%3Aissue+%22%5BAPI-FANT-06%5D%22" TargetMode="External"/><Relationship Id="rId378" Type="http://schemas.openxmlformats.org/officeDocument/2006/relationships/hyperlink" Target="https://github.com/TheGoatIA/univers_barca_api/issues?q=is%3Aissue+%22%5BAPI-FANT-07%5D%22" TargetMode="External"/><Relationship Id="rId379" Type="http://schemas.openxmlformats.org/officeDocument/2006/relationships/hyperlink" Target="https://github.com/TheGoatIA/univers_barca_api/issues?q=is%3Aissue+%22%5BAPI-FANT-08%5D%22" TargetMode="External"/><Relationship Id="rId380" Type="http://schemas.openxmlformats.org/officeDocument/2006/relationships/hyperlink" Target="https://github.com/TheGoatIA/univers_barca_api/issues?q=is%3Aissue+%22%5BAPI-FANT-09%5D%22" TargetMode="External"/><Relationship Id="rId381" Type="http://schemas.openxmlformats.org/officeDocument/2006/relationships/hyperlink" Target="https://github.com/TheGoatIA/univers_barca_api/issues?q=is%3Aissue+%22%5BAPI-FANT-10%5D%22" TargetMode="External"/><Relationship Id="rId382" Type="http://schemas.openxmlformats.org/officeDocument/2006/relationships/hyperlink" Target="https://github.com/TheGoatIA/univers_barca_api/issues?q=is%3Aissue+%22%5BAPI-FANT-11%5D%22" TargetMode="External"/><Relationship Id="rId383" Type="http://schemas.openxmlformats.org/officeDocument/2006/relationships/hyperlink" Target="https://github.com/TheGoatIA/univers_barca_api/issues?q=is%3Aissue+%22%5BAPI-FANT-12%5D%22" TargetMode="External"/><Relationship Id="rId384" Type="http://schemas.openxmlformats.org/officeDocument/2006/relationships/hyperlink" Target="https://github.com/TheGoatIA/univers_barca_api/issues?q=is%3Aissue+%22%5BAPI-FANT-13%5D%22" TargetMode="External"/><Relationship Id="rId385" Type="http://schemas.openxmlformats.org/officeDocument/2006/relationships/hyperlink" Target="https://github.com/TheGoatIA/univers_barca_api/issues?q=is%3Aissue+%22%5BAPI-FANT-14%5D%22" TargetMode="External"/><Relationship Id="rId386" Type="http://schemas.openxmlformats.org/officeDocument/2006/relationships/hyperlink" Target="https://github.com/TheGoatIA/univers_barca_api/issues?q=is%3Aissue+%22%5BAPI-FANT-15%5D%22" TargetMode="External"/><Relationship Id="rId387" Type="http://schemas.openxmlformats.org/officeDocument/2006/relationships/hyperlink" Target="https://github.com/TheGoatIA/univers_barca_api/issues?q=is%3Aissue+%22%5BAPI-FANT-16%5D%22" TargetMode="External"/><Relationship Id="rId388" Type="http://schemas.openxmlformats.org/officeDocument/2006/relationships/hyperlink" Target="https://github.com/TheGoatIA/univers_barca_api/issues?q=is%3Aissue+%22%5BAPI-FANT-17%5D%22" TargetMode="External"/><Relationship Id="rId389" Type="http://schemas.openxmlformats.org/officeDocument/2006/relationships/hyperlink" Target="https://github.com/TheGoatIA/univers_barca_api/issues?q=is%3Aissue+%22%5BAPI-FANT-18%5D%22" TargetMode="External"/><Relationship Id="rId390" Type="http://schemas.openxmlformats.org/officeDocument/2006/relationships/hyperlink" Target="https://github.com/TheGoatIA/univers_barca_api/issues?q=is%3Aissue+%22%5BAPI-FANT-19%5D%22" TargetMode="External"/><Relationship Id="rId391" Type="http://schemas.openxmlformats.org/officeDocument/2006/relationships/hyperlink" Target="https://github.com/TheGoatIA/univers_barca_api/issues?q=is%3Aissue+%22%5BAPI-FANT-20%5D%22" TargetMode="External"/><Relationship Id="rId392" Type="http://schemas.openxmlformats.org/officeDocument/2006/relationships/hyperlink" Target="https://github.com/TheGoatIA/univers_barca_api/issues?q=is%3Aissue+%22%5BAPI-FANT-21%5D%22" TargetMode="External"/><Relationship Id="rId393" Type="http://schemas.openxmlformats.org/officeDocument/2006/relationships/hyperlink" Target="https://github.com/TheGoatIA/univers_barca_api/issues?q=is%3Aissue+%22%5BAPI-FANT-22%5D%22" TargetMode="External"/><Relationship Id="rId394" Type="http://schemas.openxmlformats.org/officeDocument/2006/relationships/hyperlink" Target="https://github.com/TheGoatIA/univers_barca_api/issues?q=is%3Aissue+%22%5BAPI-FANT-23%5D%22" TargetMode="External"/><Relationship Id="rId395" Type="http://schemas.openxmlformats.org/officeDocument/2006/relationships/hyperlink" Target="https://github.com/TheGoatIA/univers_barca_api/issues?q=is%3Aissue+%22%5BAPI-FANT-24%5D%22" TargetMode="External"/><Relationship Id="rId396" Type="http://schemas.openxmlformats.org/officeDocument/2006/relationships/hyperlink" Target="https://github.com/TheGoatIA/univers_barca_api/issues?q=is%3Aissue+%22%5BAPI-PASS-01%5D%22" TargetMode="External"/><Relationship Id="rId397" Type="http://schemas.openxmlformats.org/officeDocument/2006/relationships/hyperlink" Target="https://github.com/TheGoatIA/univers_barca_api/issues?q=is%3Aissue+%22%5BAPI-PASS-02%5D%22" TargetMode="External"/><Relationship Id="rId398" Type="http://schemas.openxmlformats.org/officeDocument/2006/relationships/hyperlink" Target="https://github.com/TheGoatIA/univers_barca_api/issues?q=is%3Aissue+%22%5BAPI-PASS-03%5D%22" TargetMode="External"/><Relationship Id="rId399" Type="http://schemas.openxmlformats.org/officeDocument/2006/relationships/hyperlink" Target="https://github.com/TheGoatIA/univers_barca_api/issues?q=is%3Aissue+%22%5BAPI-PASS-04%5D%22" TargetMode="External"/><Relationship Id="rId400" Type="http://schemas.openxmlformats.org/officeDocument/2006/relationships/hyperlink" Target="https://github.com/TheGoatIA/univers_barca_api/issues?q=is%3Aissue+%22%5BAPI-PASS-05%5D%22" TargetMode="External"/><Relationship Id="rId401" Type="http://schemas.openxmlformats.org/officeDocument/2006/relationships/hyperlink" Target="https://github.com/TheGoatIA/univers_barca_api/issues?q=is%3Aissue+%22%5BAPI-PASS-06%5D%22" TargetMode="External"/><Relationship Id="rId402" Type="http://schemas.openxmlformats.org/officeDocument/2006/relationships/hyperlink" Target="https://github.com/TheGoatIA/univers_barca_api/issues?q=is%3Aissue+%22%5BAPI-PASS-07%5D%22" TargetMode="External"/><Relationship Id="rId403" Type="http://schemas.openxmlformats.org/officeDocument/2006/relationships/hyperlink" Target="https://github.com/TheGoatIA/univers_barca_api/issues?q=is%3Aissue+%22%5BAPI-PASS-08%5D%22" TargetMode="External"/><Relationship Id="rId404" Type="http://schemas.openxmlformats.org/officeDocument/2006/relationships/hyperlink" Target="https://github.com/TheGoatIA/univers_barca_api/issues?q=is%3Aissue+%22%5BAPI-PASS-09%5D%22" TargetMode="External"/><Relationship Id="rId405" Type="http://schemas.openxmlformats.org/officeDocument/2006/relationships/hyperlink" Target="https://github.com/TheGoatIA/univers_barca_api/issues?q=is%3Aissue+%22%5BAPI-PASS-10%5D%22" TargetMode="External"/><Relationship Id="rId406" Type="http://schemas.openxmlformats.org/officeDocument/2006/relationships/hyperlink" Target="https://github.com/TheGoatIA/univers_barca_api/issues?q=is%3Aissue+%22%5BAPI-PASS-11%5D%22" TargetMode="External"/><Relationship Id="rId407" Type="http://schemas.openxmlformats.org/officeDocument/2006/relationships/hyperlink" Target="https://github.com/TheGoatIA/univers_barca_api/issues?q=is%3Aissue+%22%5BAPI-PASS-12%5D%22" TargetMode="External"/><Relationship Id="rId408" Type="http://schemas.openxmlformats.org/officeDocument/2006/relationships/hyperlink" Target="https://github.com/TheGoatIA/univers_barca_api/issues?q=is%3Aissue+%22%5BAPI-PASS-13%5D%22" TargetMode="External"/><Relationship Id="rId409" Type="http://schemas.openxmlformats.org/officeDocument/2006/relationships/hyperlink" Target="https://github.com/TheGoatIA/univers_barca_api/issues?q=is%3Aissue+%22%5BAPI-PASS-14%5D%22" TargetMode="External"/><Relationship Id="rId410" Type="http://schemas.openxmlformats.org/officeDocument/2006/relationships/hyperlink" Target="https://github.com/TheGoatIA/univers_barca_api/issues?q=is%3Aissue+%22%5BAPI-PASS-15%5D%22" TargetMode="External"/><Relationship Id="rId411" Type="http://schemas.openxmlformats.org/officeDocument/2006/relationships/hyperlink" Target="https://github.com/TheGoatIA/univers_barca_api/issues?q=is%3Aissue+%22%5BAPI-PASS-16%5D%22" TargetMode="External"/><Relationship Id="rId412" Type="http://schemas.openxmlformats.org/officeDocument/2006/relationships/hyperlink" Target="https://github.com/TheGoatIA/univers_barca_api/issues?q=is%3Aissue+%22%5BAPI-PASS-17%5D%22" TargetMode="External"/><Relationship Id="rId413" Type="http://schemas.openxmlformats.org/officeDocument/2006/relationships/hyperlink" Target="https://github.com/TheGoatIA/univers_barca_api/issues?q=is%3Aissue+%22%5BAPI-PASS-18%5D%22" TargetMode="External"/><Relationship Id="rId414" Type="http://schemas.openxmlformats.org/officeDocument/2006/relationships/hyperlink" Target="https://github.com/TheGoatIA/univers_barca_api/issues?q=is%3Aissue+%22%5BAPI-PASS-19%5D%22" TargetMode="External"/><Relationship Id="rId415" Type="http://schemas.openxmlformats.org/officeDocument/2006/relationships/hyperlink" Target="https://github.com/TheGoatIA/univers_barca_api/issues?q=is%3Aissue+%22%5BAPI-PASS-20%5D%22" TargetMode="External"/><Relationship Id="rId416" Type="http://schemas.openxmlformats.org/officeDocument/2006/relationships/hyperlink" Target="https://github.com/TheGoatIA/univers_barca_api/issues?q=is%3Aissue+%22%5BAPI-PASS-21%5D%22" TargetMode="External"/><Relationship Id="rId417" Type="http://schemas.openxmlformats.org/officeDocument/2006/relationships/hyperlink" Target="https://github.com/TheGoatIA/univers_barca_api/issues?q=is%3Aissue+%22%5BAPI-PASS-22%5D%22" TargetMode="External"/><Relationship Id="rId418" Type="http://schemas.openxmlformats.org/officeDocument/2006/relationships/hyperlink" Target="https://github.com/TheGoatIA/univers_barca_api/issues?q=is%3Aissue+%22%5BAPI-PASS-23%5D%22" TargetMode="External"/><Relationship Id="rId419" Type="http://schemas.openxmlformats.org/officeDocument/2006/relationships/hyperlink" Target="https://github.com/TheGoatIA/univers_barca_api/issues?q=is%3Aissue+%22%5BAPI-PASS-24%5D%22" TargetMode="External"/><Relationship Id="rId420" Type="http://schemas.openxmlformats.org/officeDocument/2006/relationships/hyperlink" Target="https://github.com/TheGoatIA/univers_barca_api/issues?q=is%3Aissue+%22%5BAPI-PASS-25%5D%22" TargetMode="External"/><Relationship Id="rId421" Type="http://schemas.openxmlformats.org/officeDocument/2006/relationships/hyperlink" Target="https://github.com/TheGoatIA/univers_barca_api/issues?q=is%3Aissue+%22%5BAPI-PASS-26%5D%22" TargetMode="External"/><Relationship Id="rId422" Type="http://schemas.openxmlformats.org/officeDocument/2006/relationships/hyperlink" Target="https://github.com/TheGoatIA/univers_barca_api/issues?q=is%3Aissue+%22%5BAPI-PASS-27%5D%22" TargetMode="External"/><Relationship Id="rId423" Type="http://schemas.openxmlformats.org/officeDocument/2006/relationships/hyperlink" Target="https://github.com/TheGoatIA/univers_barca_api/issues?q=is%3Aissue+%22%5BAPI-PASS-28%5D%22" TargetMode="External"/><Relationship Id="rId424" Type="http://schemas.openxmlformats.org/officeDocument/2006/relationships/hyperlink" Target="https://github.com/TheGoatIA/univers_barca_api/issues?q=is%3Aissue+%22%5BAPI-PASS-29%5D%22" TargetMode="External"/><Relationship Id="rId425" Type="http://schemas.openxmlformats.org/officeDocument/2006/relationships/hyperlink" Target="https://github.com/TheGoatIA/univers_barca_api/issues?q=is%3Aissue+%22%5BAPI-PASS-30%5D%22" TargetMode="External"/><Relationship Id="rId426" Type="http://schemas.openxmlformats.org/officeDocument/2006/relationships/hyperlink" Target="https://github.com/TheGoatIA/univers_barca_api/issues?q=is%3Aissue+%22%5BAPI-PASS-31%5D%22" TargetMode="External"/><Relationship Id="rId427" Type="http://schemas.openxmlformats.org/officeDocument/2006/relationships/hyperlink" Target="https://github.com/TheGoatIA/univers_barca_api/issues?q=is%3Aissue+%22%5BAPI-PASS-32%5D%22" TargetMode="External"/><Relationship Id="rId428" Type="http://schemas.openxmlformats.org/officeDocument/2006/relationships/hyperlink" Target="https://github.com/TheGoatIA/univers_barca_api/issues?q=is%3Aissue+%22%5BAPI-PASS-33%5D%22" TargetMode="External"/><Relationship Id="rId429" Type="http://schemas.openxmlformats.org/officeDocument/2006/relationships/hyperlink" Target="https://github.com/TheGoatIA/univers_barca_api/issues?q=is%3Aissue+%22%5BAPI-PLAT-20%5D%22" TargetMode="External"/><Relationship Id="rId430" Type="http://schemas.openxmlformats.org/officeDocument/2006/relationships/hyperlink" Target="https://github.com/TheGoatIA/univers_barca_api/issues?q=is%3Aissue+%22%5BAPI-PLAT-29%5D%22" TargetMode="External"/><Relationship Id="rId431" Type="http://schemas.openxmlformats.org/officeDocument/2006/relationships/hyperlink" Target="https://github.com/TheGoatIA/univers_barca_api/issues?q=is%3Aissue+%22%5BAPI-FANT-25%5D%22" TargetMode="External"/><Relationship Id="rId432" Type="http://schemas.openxmlformats.org/officeDocument/2006/relationships/hyperlink" Target="https://github.com/TheGoatIA/univers_barca_api/issues?q=is%3Aissue+%22%5BAPI-FANT-26%5D%22" TargetMode="External"/><Relationship Id="rId433" Type="http://schemas.openxmlformats.org/officeDocument/2006/relationships/hyperlink" Target="https://github.com/TheGoatIA/univers_barca_api/issues?q=is%3Aissue+%22%5BAPI-FANT-27%5D%22" TargetMode="External"/><Relationship Id="rId434" Type="http://schemas.openxmlformats.org/officeDocument/2006/relationships/hyperlink" Target="https://github.com/TheGoatIA/univers_barca_api/issues?q=is%3Aissue+%22%5BAPI-FANT-28%5D%22" TargetMode="External"/><Relationship Id="rId435" Type="http://schemas.openxmlformats.org/officeDocument/2006/relationships/hyperlink" Target="https://github.com/TheGoatIA/univers_barca_api/issues?q=is%3Aissue+%22%5BAPI-FANT-29%5D%22" TargetMode="External"/><Relationship Id="rId436" Type="http://schemas.openxmlformats.org/officeDocument/2006/relationships/hyperlink" Target="https://github.com/TheGoatIA/univers_barca_api/issues?q=is%3Aissue+%22%5BAPI-FANT-30%5D%22" TargetMode="External"/><Relationship Id="rId437" Type="http://schemas.openxmlformats.org/officeDocument/2006/relationships/hyperlink" Target="https://github.com/TheGoatIA/univers_barca_api/issues?q=is%3Aissue+%22%5BAPI-FANT-31%5D%22" TargetMode="External"/><Relationship Id="rId438" Type="http://schemas.openxmlformats.org/officeDocument/2006/relationships/hyperlink" Target="https://github.com/TheGoatIA/univers_barca_api/issues?q=is%3Aissue+%22%5BAPI-FANT-32%5D%22" TargetMode="External"/><Relationship Id="rId439" Type="http://schemas.openxmlformats.org/officeDocument/2006/relationships/hyperlink" Target="https://github.com/TheGoatIA/univers_barca_api/issues?q=is%3Aissue+%22%5BAPI-FANT-33%5D%22" TargetMode="External"/><Relationship Id="rId440" Type="http://schemas.openxmlformats.org/officeDocument/2006/relationships/hyperlink" Target="https://github.com/TheGoatIA/univers_barca_api/issues?q=is%3Aissue+%22%5BAPI-FANT-34%5D%22" TargetMode="External"/><Relationship Id="rId441" Type="http://schemas.openxmlformats.org/officeDocument/2006/relationships/hyperlink" Target="https://github.com/TheGoatIA/univers_barca_api/issues?q=is%3Aissue+%22%5BAPI-WALL-01%5D%22" TargetMode="External"/><Relationship Id="rId442" Type="http://schemas.openxmlformats.org/officeDocument/2006/relationships/hyperlink" Target="https://github.com/TheGoatIA/univers_barca_api/issues?q=is%3Aissue+%22%5BAPI-WALL-02%5D%22" TargetMode="External"/><Relationship Id="rId443" Type="http://schemas.openxmlformats.org/officeDocument/2006/relationships/hyperlink" Target="https://github.com/TheGoatIA/univers_barca_api/issues?q=is%3Aissue+%22%5BAPI-WALL-03%5D%22" TargetMode="External"/><Relationship Id="rId444" Type="http://schemas.openxmlformats.org/officeDocument/2006/relationships/hyperlink" Target="https://github.com/TheGoatIA/univers_barca_api/issues?q=is%3Aissue+%22%5BAPI-WALL-04%5D%22" TargetMode="External"/><Relationship Id="rId445" Type="http://schemas.openxmlformats.org/officeDocument/2006/relationships/hyperlink" Target="https://github.com/TheGoatIA/univers_barca_api/issues?q=is%3Aissue+%22%5BAPI-WALL-05%5D%22" TargetMode="External"/><Relationship Id="rId446" Type="http://schemas.openxmlformats.org/officeDocument/2006/relationships/hyperlink" Target="https://github.com/TheGoatIA/univers_barca_api/issues?q=is%3Aissue+%22%5BAPI-WALL-06%5D%22" TargetMode="External"/><Relationship Id="rId447" Type="http://schemas.openxmlformats.org/officeDocument/2006/relationships/hyperlink" Target="https://github.com/TheGoatIA/univers_barca_api/issues?q=is%3Aissue+%22%5BAPI-WALL-07%5D%22" TargetMode="External"/><Relationship Id="rId448" Type="http://schemas.openxmlformats.org/officeDocument/2006/relationships/hyperlink" Target="https://github.com/TheGoatIA/univers_barca_api/issues?q=is%3Aissue+%22%5BAPI-WALL-08%5D%22" TargetMode="External"/><Relationship Id="rId449" Type="http://schemas.openxmlformats.org/officeDocument/2006/relationships/hyperlink" Target="https://github.com/TheGoatIA/univers_barca_api/issues?q=is%3Aissue+%22%5BAPI-WALL-09%5D%22" TargetMode="External"/><Relationship Id="rId450" Type="http://schemas.openxmlformats.org/officeDocument/2006/relationships/hyperlink" Target="https://github.com/TheGoatIA/univers_barca_api/issues?q=is%3Aissue+%22%5BAPI-WALL-10%5D%22" TargetMode="External"/><Relationship Id="rId451" Type="http://schemas.openxmlformats.org/officeDocument/2006/relationships/hyperlink" Target="https://github.com/TheGoatIA/univers_barca_api/issues?q=is%3Aissue+%22%5BAPI-WALL-11%5D%22" TargetMode="External"/><Relationship Id="rId452" Type="http://schemas.openxmlformats.org/officeDocument/2006/relationships/hyperlink" Target="https://github.com/TheGoatIA/univers_barca_api/issues?q=is%3Aissue+%22%5BAPI-WALL-12%5D%22" TargetMode="External"/><Relationship Id="rId453" Type="http://schemas.openxmlformats.org/officeDocument/2006/relationships/hyperlink" Target="https://github.com/TheGoatIA/univers_barca_api/issues?q=is%3Aissue+%22%5BAPI-WALL-13%5D%22" TargetMode="External"/><Relationship Id="rId454" Type="http://schemas.openxmlformats.org/officeDocument/2006/relationships/hyperlink" Target="https://github.com/TheGoatIA/univers_barca_api/issues?q=is%3Aissue+%22%5BAPI-WALL-14%5D%22" TargetMode="External"/><Relationship Id="rId455" Type="http://schemas.openxmlformats.org/officeDocument/2006/relationships/hyperlink" Target="https://github.com/TheGoatIA/univers_barca_api/issues?q=is%3Aissue+%22%5BAPI-WALL-15%5D%22" TargetMode="External"/><Relationship Id="rId456" Type="http://schemas.openxmlformats.org/officeDocument/2006/relationships/hyperlink" Target="https://github.com/TheGoatIA/univers_barca_api/issues?q=is%3Aissue+%22%5BAPI-WALL-16%5D%22" TargetMode="External"/><Relationship Id="rId457" Type="http://schemas.openxmlformats.org/officeDocument/2006/relationships/hyperlink" Target="https://github.com/TheGoatIA/univers_barca_api/issues?q=is%3Aissue+%22%5BAPI-WALL-17%5D%22" TargetMode="External"/><Relationship Id="rId458" Type="http://schemas.openxmlformats.org/officeDocument/2006/relationships/hyperlink" Target="https://github.com/TheGoatIA/univers_barca_api/issues?q=is%3Aissue+%22%5BAPI-WALL-18%5D%22" TargetMode="External"/><Relationship Id="rId459" Type="http://schemas.openxmlformats.org/officeDocument/2006/relationships/hyperlink" Target="https://github.com/TheGoatIA/univers_barca_api/issues?q=is%3Aissue+%22%5BAPI-WALL-19%5D%22" TargetMode="External"/><Relationship Id="rId460" Type="http://schemas.openxmlformats.org/officeDocument/2006/relationships/hyperlink" Target="https://github.com/TheGoatIA/univers_barca_api/issues?q=is%3Aissue+%22%5BAPI-WALL-20%5D%22" TargetMode="External"/><Relationship Id="rId461" Type="http://schemas.openxmlformats.org/officeDocument/2006/relationships/hyperlink" Target="https://github.com/TheGoatIA/univers_barca_api/issues?q=is%3Aissue+%22%5BAPI-WALL-21%5D%22" TargetMode="External"/><Relationship Id="rId462" Type="http://schemas.openxmlformats.org/officeDocument/2006/relationships/hyperlink" Target="https://github.com/TheGoatIA/univers_barca_api/issues?q=is%3Aissue+%22%5BAPI-WALL-22%5D%22" TargetMode="External"/><Relationship Id="rId463" Type="http://schemas.openxmlformats.org/officeDocument/2006/relationships/hyperlink" Target="https://github.com/TheGoatIA/univers_barca_api/issues?q=is%3Aissue+%22%5BAPI-WALL-23%5D%22" TargetMode="External"/><Relationship Id="rId464" Type="http://schemas.openxmlformats.org/officeDocument/2006/relationships/hyperlink" Target="https://github.com/TheGoatIA/univers_barca_api/issues?q=is%3Aissue+%22%5BAPI-WALL-24%5D%22" TargetMode="External"/><Relationship Id="rId465" Type="http://schemas.openxmlformats.org/officeDocument/2006/relationships/hyperlink" Target="https://github.com/TheGoatIA/univers_barca_api/issues?q=is%3Aissue+%22%5BAPI-WALL-25%5D%22" TargetMode="External"/><Relationship Id="rId466" Type="http://schemas.openxmlformats.org/officeDocument/2006/relationships/hyperlink" Target="https://github.com/TheGoatIA/univers_barca_api/issues?q=is%3Aissue+%22%5BAPI-WALL-26%5D%22" TargetMode="External"/><Relationship Id="rId467" Type="http://schemas.openxmlformats.org/officeDocument/2006/relationships/hyperlink" Target="https://github.com/TheGoatIA/univers_barca_api/issues?q=is%3Aissue+%22%5BAPI-WALL-27%5D%22" TargetMode="External"/><Relationship Id="rId468" Type="http://schemas.openxmlformats.org/officeDocument/2006/relationships/hyperlink" Target="https://github.com/TheGoatIA/univers_barca_api/issues?q=is%3Aissue+%22%5BAPI-WALL-28%5D%22" TargetMode="External"/><Relationship Id="rId469" Type="http://schemas.openxmlformats.org/officeDocument/2006/relationships/hyperlink" Target="https://github.com/TheGoatIA/univers_barca_api/issues?q=is%3Aissue+%22%5BAPI-WALL-29%5D%22" TargetMode="External"/><Relationship Id="rId470" Type="http://schemas.openxmlformats.org/officeDocument/2006/relationships/hyperlink" Target="https://github.com/TheGoatIA/univers_barca_api/issues?q=is%3Aissue+%22%5BAPI-WALL-30%5D%22" TargetMode="External"/><Relationship Id="rId471" Type="http://schemas.openxmlformats.org/officeDocument/2006/relationships/hyperlink" Target="https://github.com/TheGoatIA/univers_barca_api/issues?q=is%3Aissue+%22%5BAPI-WALL-31%5D%22" TargetMode="External"/><Relationship Id="rId472" Type="http://schemas.openxmlformats.org/officeDocument/2006/relationships/hyperlink" Target="https://github.com/TheGoatIA/univers_barca_mobile/issues?q=is%3Aissue+%22%5BMOB-FND-01%5D%22" TargetMode="External"/><Relationship Id="rId473" Type="http://schemas.openxmlformats.org/officeDocument/2006/relationships/hyperlink" Target="https://github.com/TheGoatIA/univers_barca_mobile/issues?q=is%3Aissue+%22%5BMOB-FND-02%5D%22" TargetMode="External"/><Relationship Id="rId474" Type="http://schemas.openxmlformats.org/officeDocument/2006/relationships/hyperlink" Target="https://github.com/TheGoatIA/univers_barca_mobile/issues?q=is%3Aissue+%22%5BMOB-FND-03%5D%22" TargetMode="External"/><Relationship Id="rId475" Type="http://schemas.openxmlformats.org/officeDocument/2006/relationships/hyperlink" Target="https://github.com/TheGoatIA/univers_barca_mobile/issues?q=is%3Aissue+%22%5BMOB-FND-04%5D%22" TargetMode="External"/><Relationship Id="rId476" Type="http://schemas.openxmlformats.org/officeDocument/2006/relationships/hyperlink" Target="https://github.com/TheGoatIA/univers_barca_mobile/issues?q=is%3Aissue+%22%5BMOB-FND-05%5D%22" TargetMode="External"/><Relationship Id="rId477" Type="http://schemas.openxmlformats.org/officeDocument/2006/relationships/hyperlink" Target="https://github.com/TheGoatIA/univers_barca_mobile/issues?q=is%3Aissue+%22%5BMOB-FND-06%5D%22" TargetMode="External"/><Relationship Id="rId478" Type="http://schemas.openxmlformats.org/officeDocument/2006/relationships/hyperlink" Target="https://github.com/TheGoatIA/univers_barca_mobile/issues?q=is%3Aissue+%22%5BMOB-FND-07%5D%22" TargetMode="External"/><Relationship Id="rId479" Type="http://schemas.openxmlformats.org/officeDocument/2006/relationships/hyperlink" Target="https://github.com/TheGoatIA/univers_barca_mobile/issues?q=is%3Aissue+%22%5BMOB-FND-08%5D%22" TargetMode="External"/><Relationship Id="rId480" Type="http://schemas.openxmlformats.org/officeDocument/2006/relationships/hyperlink" Target="https://github.com/TheGoatIA/univers_barca_mobile/issues?q=is%3Aissue+%22%5BMOB-FND-09%5D%22" TargetMode="External"/><Relationship Id="rId481" Type="http://schemas.openxmlformats.org/officeDocument/2006/relationships/hyperlink" Target="https://github.com/TheGoatIA/univers_barca_mobile/issues?q=is%3Aissue+%22%5BMOB-FND-10%5D%22" TargetMode="External"/><Relationship Id="rId482" Type="http://schemas.openxmlformats.org/officeDocument/2006/relationships/hyperlink" Target="https://github.com/TheGoatIA/univers_barca_mobile/issues?q=is%3Aissue+%22%5BMOB-FND-11%5D%22" TargetMode="External"/><Relationship Id="rId483" Type="http://schemas.openxmlformats.org/officeDocument/2006/relationships/hyperlink" Target="https://github.com/TheGoatIA/univers_barca_mobile/issues?q=is%3Aissue+%22%5BMOB-FND-12%5D%22" TargetMode="External"/><Relationship Id="rId484" Type="http://schemas.openxmlformats.org/officeDocument/2006/relationships/hyperlink" Target="https://github.com/TheGoatIA/univers_barca_mobile/issues?q=is%3Aissue+%22%5BMOB-FND-13%5D%22" TargetMode="External"/><Relationship Id="rId485" Type="http://schemas.openxmlformats.org/officeDocument/2006/relationships/hyperlink" Target="https://github.com/TheGoatIA/univers_barca_mobile/issues?q=is%3Aissue+%22%5BMOB-FND-14%5D%22" TargetMode="External"/><Relationship Id="rId486" Type="http://schemas.openxmlformats.org/officeDocument/2006/relationships/hyperlink" Target="https://github.com/TheGoatIA/univers_barca_mobile/issues?q=is%3Aissue+%22%5BMOB-FND-15%5D%22" TargetMode="External"/><Relationship Id="rId487" Type="http://schemas.openxmlformats.org/officeDocument/2006/relationships/hyperlink" Target="https://github.com/TheGoatIA/univers_barca_mobile/issues?q=is%3Aissue+%22%5BMOB-FND-16%5D%22" TargetMode="External"/><Relationship Id="rId488" Type="http://schemas.openxmlformats.org/officeDocument/2006/relationships/hyperlink" Target="https://github.com/TheGoatIA/univers_barca_mobile/issues?q=is%3Aissue+%22%5BMOB-FND-17%5D%22" TargetMode="External"/><Relationship Id="rId489" Type="http://schemas.openxmlformats.org/officeDocument/2006/relationships/hyperlink" Target="https://github.com/TheGoatIA/univers_barca_mobile/issues?q=is%3Aissue+%22%5BMOB-FND-18%5D%22" TargetMode="External"/><Relationship Id="rId490" Type="http://schemas.openxmlformats.org/officeDocument/2006/relationships/hyperlink" Target="https://github.com/TheGoatIA/univers_barca_mobile/issues?q=is%3Aissue+%22%5BMOB-FND-19%5D%22" TargetMode="External"/><Relationship Id="rId491" Type="http://schemas.openxmlformats.org/officeDocument/2006/relationships/hyperlink" Target="https://github.com/TheGoatIA/univers_barca_mobile/issues?q=is%3Aissue+%22%5BMOB-FND-20%5D%22" TargetMode="External"/><Relationship Id="rId492" Type="http://schemas.openxmlformats.org/officeDocument/2006/relationships/hyperlink" Target="https://github.com/TheGoatIA/univers_barca_mobile/issues?q=is%3Aissue+%22%5BMOB-FND-21%5D%22" TargetMode="External"/><Relationship Id="rId493" Type="http://schemas.openxmlformats.org/officeDocument/2006/relationships/hyperlink" Target="https://github.com/TheGoatIA/univers_barca_mobile/issues?q=is%3Aissue+%22%5BMOB-FND-22%5D%22" TargetMode="External"/><Relationship Id="rId494" Type="http://schemas.openxmlformats.org/officeDocument/2006/relationships/hyperlink" Target="https://github.com/TheGoatIA/univers_barca_mobile/issues?q=is%3Aissue+%22%5BMOB-FND-23%5D%22" TargetMode="External"/><Relationship Id="rId495" Type="http://schemas.openxmlformats.org/officeDocument/2006/relationships/hyperlink" Target="https://github.com/TheGoatIA/univers_barca_mobile/issues?q=is%3Aissue+%22%5BMOB-FND-24%5D%22" TargetMode="External"/><Relationship Id="rId496" Type="http://schemas.openxmlformats.org/officeDocument/2006/relationships/hyperlink" Target="https://github.com/TheGoatIA/univers_barca_mobile/issues?q=is%3Aissue+%22%5BMOB-FND-25%5D%22" TargetMode="External"/><Relationship Id="rId497" Type="http://schemas.openxmlformats.org/officeDocument/2006/relationships/hyperlink" Target="https://github.com/TheGoatIA/univers_barca_mobile/issues?q=is%3Aissue+%22%5BMOB-FND-26%5D%22" TargetMode="External"/><Relationship Id="rId498" Type="http://schemas.openxmlformats.org/officeDocument/2006/relationships/hyperlink" Target="https://github.com/TheGoatIA/univers_barca_mobile/issues?q=is%3Aissue+%22%5BMOB-FND-27%5D%22" TargetMode="External"/><Relationship Id="rId499" Type="http://schemas.openxmlformats.org/officeDocument/2006/relationships/hyperlink" Target="https://github.com/TheGoatIA/univers_barca_mobile/issues?q=is%3Aissue+%22%5BMOB-FND-28%5D%22" TargetMode="External"/><Relationship Id="rId500" Type="http://schemas.openxmlformats.org/officeDocument/2006/relationships/hyperlink" Target="https://github.com/TheGoatIA/univers_barca_mobile/issues?q=is%3Aissue+%22%5BMOB-FND-29%5D%22" TargetMode="External"/><Relationship Id="rId501" Type="http://schemas.openxmlformats.org/officeDocument/2006/relationships/hyperlink" Target="https://github.com/TheGoatIA/univers_barca_mobile/issues?q=is%3Aissue+%22%5BMOB-FND-30%5D%22" TargetMode="External"/><Relationship Id="rId502" Type="http://schemas.openxmlformats.org/officeDocument/2006/relationships/hyperlink" Target="https://github.com/TheGoatIA/univers_barca_mobile/issues?q=is%3Aissue+%22%5BMOB-FND-31%5D%22" TargetMode="External"/><Relationship Id="rId503" Type="http://schemas.openxmlformats.org/officeDocument/2006/relationships/hyperlink" Target="https://github.com/TheGoatIA/univers_barca_mobile/issues?q=is%3Aissue+%22%5BMOB-FND-32%5D%22" TargetMode="External"/><Relationship Id="rId504" Type="http://schemas.openxmlformats.org/officeDocument/2006/relationships/hyperlink" Target="https://github.com/TheGoatIA/univers_barca_mobile/issues?q=is%3Aissue+%22%5BMOB-FND-33%5D%22" TargetMode="External"/><Relationship Id="rId505" Type="http://schemas.openxmlformats.org/officeDocument/2006/relationships/hyperlink" Target="https://github.com/TheGoatIA/univers_barca_mobile/issues?q=is%3Aissue+%22%5BMOB-FND-34%5D%22" TargetMode="External"/><Relationship Id="rId506" Type="http://schemas.openxmlformats.org/officeDocument/2006/relationships/hyperlink" Target="https://github.com/TheGoatIA/univers_barca_mobile/issues?q=is%3Aissue+%22%5BMOB-FND-35%5D%22" TargetMode="External"/><Relationship Id="rId507" Type="http://schemas.openxmlformats.org/officeDocument/2006/relationships/hyperlink" Target="https://github.com/TheGoatIA/univers_barca_mobile/issues?q=is%3Aissue+%22%5BMOB-FND-36%5D%22" TargetMode="External"/><Relationship Id="rId508" Type="http://schemas.openxmlformats.org/officeDocument/2006/relationships/hyperlink" Target="https://github.com/TheGoatIA/univers_barca_mobile/issues?q=is%3Aissue+%22%5BMOB-FND-37%5D%22" TargetMode="External"/><Relationship Id="rId509" Type="http://schemas.openxmlformats.org/officeDocument/2006/relationships/hyperlink" Target="https://github.com/TheGoatIA/univers_barca_mobile/issues?q=is%3Aissue+%22%5BMOB-FND-38%5D%22" TargetMode="External"/><Relationship Id="rId510" Type="http://schemas.openxmlformats.org/officeDocument/2006/relationships/hyperlink" Target="https://github.com/TheGoatIA/univers_barca_mobile/issues?q=is%3Aissue+%22%5BMOB-FND-39%5D%22" TargetMode="External"/><Relationship Id="rId511" Type="http://schemas.openxmlformats.org/officeDocument/2006/relationships/hyperlink" Target="https://github.com/TheGoatIA/univers_barca_mobile/issues?q=is%3Aissue+%22%5BMOB-FND-40%5D%22" TargetMode="External"/><Relationship Id="rId512" Type="http://schemas.openxmlformats.org/officeDocument/2006/relationships/hyperlink" Target="https://github.com/TheGoatIA/univers_barca_mobile/issues?q=is%3Aissue+%22%5BMOB-FND-41%5D%22" TargetMode="External"/><Relationship Id="rId513" Type="http://schemas.openxmlformats.org/officeDocument/2006/relationships/hyperlink" Target="https://github.com/TheGoatIA/univers_barca_mobile/issues?q=is%3Aissue+%22%5BMOB-FND-42%5D%22" TargetMode="External"/><Relationship Id="rId514" Type="http://schemas.openxmlformats.org/officeDocument/2006/relationships/hyperlink" Target="https://github.com/TheGoatIA/univers_barca_mobile/issues?q=is%3Aissue+%22%5BMOB-FND-43%5D%22" TargetMode="External"/><Relationship Id="rId515" Type="http://schemas.openxmlformats.org/officeDocument/2006/relationships/hyperlink" Target="https://github.com/TheGoatIA/univers_barca_mobile/issues?q=is%3Aissue+%22%5BMOB-FND-44%5D%22" TargetMode="External"/><Relationship Id="rId516" Type="http://schemas.openxmlformats.org/officeDocument/2006/relationships/hyperlink" Target="https://github.com/TheGoatIA/univers_barca_mobile/issues?q=is%3Aissue+%22%5BMOB-FND-45%5D%22" TargetMode="External"/><Relationship Id="rId517" Type="http://schemas.openxmlformats.org/officeDocument/2006/relationships/hyperlink" Target="https://github.com/TheGoatIA/univers_barca_mobile/issues?q=is%3Aissue+%22%5BMOB-FND-46%5D%22" TargetMode="External"/><Relationship Id="rId518" Type="http://schemas.openxmlformats.org/officeDocument/2006/relationships/hyperlink" Target="https://github.com/TheGoatIA/univers_barca_mobile/issues?q=is%3Aissue+%22%5BMOB-FND-47%5D%22" TargetMode="External"/><Relationship Id="rId519" Type="http://schemas.openxmlformats.org/officeDocument/2006/relationships/hyperlink" Target="https://github.com/TheGoatIA/univers_barca_mobile/issues?q=is%3Aissue+%22%5BMOB-ZA-01%5D%22" TargetMode="External"/><Relationship Id="rId520" Type="http://schemas.openxmlformats.org/officeDocument/2006/relationships/hyperlink" Target="https://github.com/TheGoatIA/univers_barca_mobile/issues?q=is%3Aissue+%22%5BMOB-ZA-02%5D%22" TargetMode="External"/><Relationship Id="rId521" Type="http://schemas.openxmlformats.org/officeDocument/2006/relationships/hyperlink" Target="https://github.com/TheGoatIA/univers_barca_mobile/issues?q=is%3Aissue+%22%5BMOB-ZA-03%5D%22" TargetMode="External"/><Relationship Id="rId522" Type="http://schemas.openxmlformats.org/officeDocument/2006/relationships/hyperlink" Target="https://github.com/TheGoatIA/univers_barca_mobile/issues?q=is%3Aissue+%22%5BMOB-ZA-04%5D%22" TargetMode="External"/><Relationship Id="rId523" Type="http://schemas.openxmlformats.org/officeDocument/2006/relationships/hyperlink" Target="https://github.com/TheGoatIA/univers_barca_mobile/issues?q=is%3Aissue+%22%5BMOB-ZA-05%5D%22" TargetMode="External"/><Relationship Id="rId524" Type="http://schemas.openxmlformats.org/officeDocument/2006/relationships/hyperlink" Target="https://github.com/TheGoatIA/univers_barca_mobile/issues?q=is%3Aissue+%22%5BMOB-ZA-06%5D%22" TargetMode="External"/><Relationship Id="rId525" Type="http://schemas.openxmlformats.org/officeDocument/2006/relationships/hyperlink" Target="https://github.com/TheGoatIA/univers_barca_mobile/issues?q=is%3Aissue+%22%5BMOB-ZA-07%5D%22" TargetMode="External"/><Relationship Id="rId526" Type="http://schemas.openxmlformats.org/officeDocument/2006/relationships/hyperlink" Target="https://github.com/TheGoatIA/univers_barca_mobile/issues?q=is%3Aissue+%22%5BMOB-ZA-08%5D%22" TargetMode="External"/><Relationship Id="rId527" Type="http://schemas.openxmlformats.org/officeDocument/2006/relationships/hyperlink" Target="https://github.com/TheGoatIA/univers_barca_mobile/issues?q=is%3Aissue+%22%5BMOB-ZA-09%5D%22" TargetMode="External"/><Relationship Id="rId528" Type="http://schemas.openxmlformats.org/officeDocument/2006/relationships/hyperlink" Target="https://github.com/TheGoatIA/univers_barca_mobile/issues?q=is%3Aissue+%22%5BMOB-ZA-10%5D%22" TargetMode="External"/><Relationship Id="rId529" Type="http://schemas.openxmlformats.org/officeDocument/2006/relationships/hyperlink" Target="https://github.com/TheGoatIA/univers_barca_mobile/issues?q=is%3Aissue+%22%5BMOB-ZA-11%5D%22" TargetMode="External"/><Relationship Id="rId530" Type="http://schemas.openxmlformats.org/officeDocument/2006/relationships/hyperlink" Target="https://github.com/TheGoatIA/univers_barca_mobile/issues?q=is%3Aissue+%22%5BMOB-ZA-12%5D%22" TargetMode="External"/><Relationship Id="rId531" Type="http://schemas.openxmlformats.org/officeDocument/2006/relationships/hyperlink" Target="https://github.com/TheGoatIA/univers_barca_mobile/issues?q=is%3Aissue+%22%5BMOB-ZA-13%5D%22" TargetMode="External"/><Relationship Id="rId532" Type="http://schemas.openxmlformats.org/officeDocument/2006/relationships/hyperlink" Target="https://github.com/TheGoatIA/univers_barca_mobile/issues?q=is%3Aissue+%22%5BMOB-ZA-14%5D%22" TargetMode="External"/><Relationship Id="rId533" Type="http://schemas.openxmlformats.org/officeDocument/2006/relationships/hyperlink" Target="https://github.com/TheGoatIA/univers_barca_mobile/issues?q=is%3Aissue+%22%5BMOB-ZA-15%5D%22" TargetMode="External"/><Relationship Id="rId534" Type="http://schemas.openxmlformats.org/officeDocument/2006/relationships/hyperlink" Target="https://github.com/TheGoatIA/univers_barca_mobile/issues?q=is%3Aissue+%22%5BMOB-ZA-16%5D%22" TargetMode="External"/><Relationship Id="rId535" Type="http://schemas.openxmlformats.org/officeDocument/2006/relationships/hyperlink" Target="https://github.com/TheGoatIA/univers_barca_mobile/issues?q=is%3Aissue+%22%5BMOB-ZB-01%5D%22" TargetMode="External"/><Relationship Id="rId536" Type="http://schemas.openxmlformats.org/officeDocument/2006/relationships/hyperlink" Target="https://github.com/TheGoatIA/univers_barca_mobile/issues?q=is%3Aissue+%22%5BMOB-ZB-02%5D%22" TargetMode="External"/><Relationship Id="rId537" Type="http://schemas.openxmlformats.org/officeDocument/2006/relationships/hyperlink" Target="https://github.com/TheGoatIA/univers_barca_mobile/issues?q=is%3Aissue+%22%5BMOB-ZB-03%5D%22" TargetMode="External"/><Relationship Id="rId538" Type="http://schemas.openxmlformats.org/officeDocument/2006/relationships/hyperlink" Target="https://github.com/TheGoatIA/univers_barca_mobile/issues?q=is%3Aissue+%22%5BMOB-ZB-04%5D%22" TargetMode="External"/><Relationship Id="rId539" Type="http://schemas.openxmlformats.org/officeDocument/2006/relationships/hyperlink" Target="https://github.com/TheGoatIA/univers_barca_mobile/issues?q=is%3Aissue+%22%5BMOB-ZB-05%5D%22" TargetMode="External"/><Relationship Id="rId540" Type="http://schemas.openxmlformats.org/officeDocument/2006/relationships/hyperlink" Target="https://github.com/TheGoatIA/univers_barca_mobile/issues?q=is%3Aissue+%22%5BMOB-ZB-06%5D%22" TargetMode="External"/><Relationship Id="rId541" Type="http://schemas.openxmlformats.org/officeDocument/2006/relationships/hyperlink" Target="https://github.com/TheGoatIA/univers_barca_mobile/issues?q=is%3Aissue+%22%5BMOB-ZB-07%5D%22" TargetMode="External"/><Relationship Id="rId542" Type="http://schemas.openxmlformats.org/officeDocument/2006/relationships/hyperlink" Target="https://github.com/TheGoatIA/univers_barca_mobile/issues?q=is%3Aissue+%22%5BMOB-ZB-08%5D%22" TargetMode="External"/><Relationship Id="rId543" Type="http://schemas.openxmlformats.org/officeDocument/2006/relationships/hyperlink" Target="https://github.com/TheGoatIA/univers_barca_mobile/issues?q=is%3Aissue+%22%5BMOB-ZB-09%5D%22" TargetMode="External"/><Relationship Id="rId544" Type="http://schemas.openxmlformats.org/officeDocument/2006/relationships/hyperlink" Target="https://github.com/TheGoatIA/univers_barca_mobile/issues?q=is%3Aissue+%22%5BMOB-ZB-10%5D%22" TargetMode="External"/><Relationship Id="rId545" Type="http://schemas.openxmlformats.org/officeDocument/2006/relationships/hyperlink" Target="https://github.com/TheGoatIA/univers_barca_mobile/issues?q=is%3Aissue+%22%5BMOB-ZB-11%5D%22" TargetMode="External"/><Relationship Id="rId546" Type="http://schemas.openxmlformats.org/officeDocument/2006/relationships/hyperlink" Target="https://github.com/TheGoatIA/univers_barca_mobile/issues?q=is%3Aissue+%22%5BMOB-ZB-12%5D%22" TargetMode="External"/><Relationship Id="rId547" Type="http://schemas.openxmlformats.org/officeDocument/2006/relationships/hyperlink" Target="https://github.com/TheGoatIA/univers_barca_mobile/issues?q=is%3Aissue+%22%5BMOB-ZB-13%5D%22" TargetMode="External"/><Relationship Id="rId548" Type="http://schemas.openxmlformats.org/officeDocument/2006/relationships/hyperlink" Target="https://github.com/TheGoatIA/univers_barca_mobile/issues?q=is%3Aissue+%22%5BMOB-ZB-14%5D%22" TargetMode="External"/><Relationship Id="rId549" Type="http://schemas.openxmlformats.org/officeDocument/2006/relationships/hyperlink" Target="https://github.com/TheGoatIA/univers_barca_mobile/issues?q=is%3Aissue+%22%5BMOB-ZB-15%5D%22" TargetMode="External"/><Relationship Id="rId550" Type="http://schemas.openxmlformats.org/officeDocument/2006/relationships/hyperlink" Target="https://github.com/TheGoatIA/univers_barca_mobile/issues?q=is%3Aissue+%22%5BMOB-ZB-16%5D%22" TargetMode="External"/><Relationship Id="rId551" Type="http://schemas.openxmlformats.org/officeDocument/2006/relationships/hyperlink" Target="https://github.com/TheGoatIA/univers_barca_mobile/issues?q=is%3Aissue+%22%5BMOB-ZB-17%5D%22" TargetMode="External"/><Relationship Id="rId552" Type="http://schemas.openxmlformats.org/officeDocument/2006/relationships/hyperlink" Target="https://github.com/TheGoatIA/univers_barca_mobile/issues?q=is%3Aissue+%22%5BMOB-ZB-18%5D%22" TargetMode="External"/><Relationship Id="rId553" Type="http://schemas.openxmlformats.org/officeDocument/2006/relationships/hyperlink" Target="https://github.com/TheGoatIA/univers_barca_mobile/issues?q=is%3Aissue+%22%5BMOB-ZC-01%5D%22" TargetMode="External"/><Relationship Id="rId554" Type="http://schemas.openxmlformats.org/officeDocument/2006/relationships/hyperlink" Target="https://github.com/TheGoatIA/univers_barca_mobile/issues?q=is%3Aissue+%22%5BMOB-ZC-02%5D%22" TargetMode="External"/><Relationship Id="rId555" Type="http://schemas.openxmlformats.org/officeDocument/2006/relationships/hyperlink" Target="https://github.com/TheGoatIA/univers_barca_mobile/issues?q=is%3Aissue+%22%5BMOB-ZC-03%5D%22" TargetMode="External"/><Relationship Id="rId556" Type="http://schemas.openxmlformats.org/officeDocument/2006/relationships/hyperlink" Target="https://github.com/TheGoatIA/univers_barca_mobile/issues?q=is%3Aissue+%22%5BMOB-ZC-04%5D%22" TargetMode="External"/><Relationship Id="rId557" Type="http://schemas.openxmlformats.org/officeDocument/2006/relationships/hyperlink" Target="https://github.com/TheGoatIA/univers_barca_mobile/issues?q=is%3Aissue+%22%5BMOB-ZC-05%5D%22" TargetMode="External"/><Relationship Id="rId558" Type="http://schemas.openxmlformats.org/officeDocument/2006/relationships/hyperlink" Target="https://github.com/TheGoatIA/univers_barca_mobile/issues?q=is%3Aissue+%22%5BMOB-ZC-06%5D%22" TargetMode="External"/><Relationship Id="rId559" Type="http://schemas.openxmlformats.org/officeDocument/2006/relationships/hyperlink" Target="https://github.com/TheGoatIA/univers_barca_mobile/issues?q=is%3Aissue+%22%5BMOB-ZC-07%5D%22" TargetMode="External"/><Relationship Id="rId560" Type="http://schemas.openxmlformats.org/officeDocument/2006/relationships/hyperlink" Target="https://github.com/TheGoatIA/univers_barca_mobile/issues?q=is%3Aissue+%22%5BMOB-ZC-08%5D%22" TargetMode="External"/><Relationship Id="rId561" Type="http://schemas.openxmlformats.org/officeDocument/2006/relationships/hyperlink" Target="https://github.com/TheGoatIA/univers_barca_mobile/issues?q=is%3Aissue+%22%5BMOB-ZC-09%5D%22" TargetMode="External"/><Relationship Id="rId562" Type="http://schemas.openxmlformats.org/officeDocument/2006/relationships/hyperlink" Target="https://github.com/TheGoatIA/univers_barca_mobile/issues?q=is%3Aissue+%22%5BMOB-ZC-10%5D%22" TargetMode="External"/><Relationship Id="rId563" Type="http://schemas.openxmlformats.org/officeDocument/2006/relationships/hyperlink" Target="https://github.com/TheGoatIA/univers_barca_mobile/issues?q=is%3Aissue+%22%5BMOB-ZC-11%5D%22" TargetMode="External"/><Relationship Id="rId564" Type="http://schemas.openxmlformats.org/officeDocument/2006/relationships/hyperlink" Target="https://github.com/TheGoatIA/univers_barca_mobile/issues?q=is%3Aissue+%22%5BMOB-ZC-12%5D%22" TargetMode="External"/><Relationship Id="rId565" Type="http://schemas.openxmlformats.org/officeDocument/2006/relationships/hyperlink" Target="https://github.com/TheGoatIA/univers_barca_mobile/issues?q=is%3Aissue+%22%5BMOB-ZC-13%5D%22" TargetMode="External"/><Relationship Id="rId566" Type="http://schemas.openxmlformats.org/officeDocument/2006/relationships/hyperlink" Target="https://github.com/TheGoatIA/univers_barca_mobile/issues?q=is%3Aissue+%22%5BMOB-ZC-14%5D%22" TargetMode="External"/><Relationship Id="rId567" Type="http://schemas.openxmlformats.org/officeDocument/2006/relationships/hyperlink" Target="https://github.com/TheGoatIA/univers_barca_mobile/issues?q=is%3Aissue+%22%5BMOB-ZC-15%5D%22" TargetMode="External"/><Relationship Id="rId568" Type="http://schemas.openxmlformats.org/officeDocument/2006/relationships/hyperlink" Target="https://github.com/TheGoatIA/univers_barca_mobile/issues?q=is%3Aissue+%22%5BMOB-ZC-16%5D%22" TargetMode="External"/><Relationship Id="rId569" Type="http://schemas.openxmlformats.org/officeDocument/2006/relationships/hyperlink" Target="https://github.com/TheGoatIA/univers_barca_mobile/issues?q=is%3Aissue+%22%5BMOB-ZC-17%5D%22" TargetMode="External"/><Relationship Id="rId570" Type="http://schemas.openxmlformats.org/officeDocument/2006/relationships/hyperlink" Target="https://github.com/TheGoatIA/univers_barca_mobile/issues?q=is%3Aissue+%22%5BMOB-ZD-01%5D%22" TargetMode="External"/><Relationship Id="rId571" Type="http://schemas.openxmlformats.org/officeDocument/2006/relationships/hyperlink" Target="https://github.com/TheGoatIA/univers_barca_mobile/issues?q=is%3Aissue+%22%5BMOB-ZD-02%5D%22" TargetMode="External"/><Relationship Id="rId572" Type="http://schemas.openxmlformats.org/officeDocument/2006/relationships/hyperlink" Target="https://github.com/TheGoatIA/univers_barca_mobile/issues?q=is%3Aissue+%22%5BMOB-ZD-03%5D%22" TargetMode="External"/><Relationship Id="rId573" Type="http://schemas.openxmlformats.org/officeDocument/2006/relationships/hyperlink" Target="https://github.com/TheGoatIA/univers_barca_mobile/issues?q=is%3Aissue+%22%5BMOB-ZD-04%5D%22" TargetMode="External"/><Relationship Id="rId574" Type="http://schemas.openxmlformats.org/officeDocument/2006/relationships/hyperlink" Target="https://github.com/TheGoatIA/univers_barca_mobile/issues?q=is%3Aissue+%22%5BMOB-ZD-05%5D%22" TargetMode="External"/><Relationship Id="rId575" Type="http://schemas.openxmlformats.org/officeDocument/2006/relationships/hyperlink" Target="https://github.com/TheGoatIA/univers_barca_mobile/issues?q=is%3Aissue+%22%5BMOB-ZD-06%5D%22" TargetMode="External"/><Relationship Id="rId576" Type="http://schemas.openxmlformats.org/officeDocument/2006/relationships/hyperlink" Target="https://github.com/TheGoatIA/univers_barca_mobile/issues?q=is%3Aissue+%22%5BMOB-ZD-07%5D%22" TargetMode="External"/><Relationship Id="rId577" Type="http://schemas.openxmlformats.org/officeDocument/2006/relationships/hyperlink" Target="https://github.com/TheGoatIA/univers_barca_mobile/issues?q=is%3Aissue+%22%5BMOB-ZD-08%5D%22" TargetMode="External"/><Relationship Id="rId578" Type="http://schemas.openxmlformats.org/officeDocument/2006/relationships/hyperlink" Target="https://github.com/TheGoatIA/univers_barca_mobile/issues?q=is%3Aissue+%22%5BMOB-ZD-09%5D%22" TargetMode="External"/><Relationship Id="rId579" Type="http://schemas.openxmlformats.org/officeDocument/2006/relationships/hyperlink" Target="https://github.com/TheGoatIA/univers_barca_mobile/issues?q=is%3Aissue+%22%5BMOB-ZD-10%5D%22" TargetMode="External"/><Relationship Id="rId580" Type="http://schemas.openxmlformats.org/officeDocument/2006/relationships/hyperlink" Target="https://github.com/TheGoatIA/univers_barca_mobile/issues?q=is%3Aissue+%22%5BMOB-ZD-11%5D%22" TargetMode="External"/><Relationship Id="rId581" Type="http://schemas.openxmlformats.org/officeDocument/2006/relationships/hyperlink" Target="https://github.com/TheGoatIA/univers_barca_mobile/issues?q=is%3Aissue+%22%5BMOB-ZD-12%5D%22" TargetMode="External"/><Relationship Id="rId582" Type="http://schemas.openxmlformats.org/officeDocument/2006/relationships/hyperlink" Target="https://github.com/TheGoatIA/univers_barca_mobile/issues?q=is%3Aissue+%22%5BMOB-ZD-13%5D%22" TargetMode="External"/><Relationship Id="rId583" Type="http://schemas.openxmlformats.org/officeDocument/2006/relationships/hyperlink" Target="https://github.com/TheGoatIA/univers_barca_mobile/issues?q=is%3Aissue+%22%5BMOB-ZD-14%5D%22" TargetMode="External"/><Relationship Id="rId584" Type="http://schemas.openxmlformats.org/officeDocument/2006/relationships/hyperlink" Target="https://github.com/TheGoatIA/univers_barca_mobile/issues?q=is%3Aissue+%22%5BMOB-ZE-01%5D%22" TargetMode="External"/><Relationship Id="rId585" Type="http://schemas.openxmlformats.org/officeDocument/2006/relationships/hyperlink" Target="https://github.com/TheGoatIA/univers_barca_mobile/issues?q=is%3Aissue+%22%5BMOB-ZE-02%5D%22" TargetMode="External"/><Relationship Id="rId586" Type="http://schemas.openxmlformats.org/officeDocument/2006/relationships/hyperlink" Target="https://github.com/TheGoatIA/univers_barca_mobile/issues?q=is%3Aissue+%22%5BMOB-ZE-03%5D%22" TargetMode="External"/><Relationship Id="rId587" Type="http://schemas.openxmlformats.org/officeDocument/2006/relationships/hyperlink" Target="https://github.com/TheGoatIA/univers_barca_mobile/issues?q=is%3Aissue+%22%5BMOB-ZE-04%5D%22" TargetMode="External"/><Relationship Id="rId588" Type="http://schemas.openxmlformats.org/officeDocument/2006/relationships/hyperlink" Target="https://github.com/TheGoatIA/univers_barca_mobile/issues?q=is%3Aissue+%22%5BMOB-ZE-05%5D%22" TargetMode="External"/><Relationship Id="rId589" Type="http://schemas.openxmlformats.org/officeDocument/2006/relationships/hyperlink" Target="https://github.com/TheGoatIA/univers_barca_mobile/issues?q=is%3Aissue+%22%5BMOB-ZE-06%5D%22" TargetMode="External"/><Relationship Id="rId590" Type="http://schemas.openxmlformats.org/officeDocument/2006/relationships/hyperlink" Target="https://github.com/TheGoatIA/univers_barca_mobile/issues?q=is%3Aissue+%22%5BMOB-ZE-07%5D%22" TargetMode="External"/><Relationship Id="rId591" Type="http://schemas.openxmlformats.org/officeDocument/2006/relationships/hyperlink" Target="https://github.com/TheGoatIA/univers_barca_mobile/issues?q=is%3Aissue+%22%5BMOB-ZE-08%5D%22" TargetMode="External"/><Relationship Id="rId592" Type="http://schemas.openxmlformats.org/officeDocument/2006/relationships/hyperlink" Target="https://github.com/TheGoatIA/univers_barca_mobile/issues?q=is%3Aissue+%22%5BMOB-ZE-09%5D%22" TargetMode="External"/><Relationship Id="rId593" Type="http://schemas.openxmlformats.org/officeDocument/2006/relationships/hyperlink" Target="https://github.com/TheGoatIA/univers_barca_mobile/issues?q=is%3Aissue+%22%5BMOB-ZE-10%5D%22" TargetMode="External"/><Relationship Id="rId594" Type="http://schemas.openxmlformats.org/officeDocument/2006/relationships/hyperlink" Target="https://github.com/TheGoatIA/univers_barca_mobile/issues?q=is%3Aissue+%22%5BMOB-ZE-11%5D%22" TargetMode="External"/><Relationship Id="rId595" Type="http://schemas.openxmlformats.org/officeDocument/2006/relationships/hyperlink" Target="https://github.com/TheGoatIA/univers_barca_mobile/issues?q=is%3Aissue+%22%5BMOB-ZE-12%5D%22" TargetMode="External"/><Relationship Id="rId596" Type="http://schemas.openxmlformats.org/officeDocument/2006/relationships/hyperlink" Target="https://github.com/TheGoatIA/univers_barca_mobile/issues?q=is%3Aissue+%22%5BMOB-ZE-13%5D%22" TargetMode="External"/><Relationship Id="rId597" Type="http://schemas.openxmlformats.org/officeDocument/2006/relationships/hyperlink" Target="https://github.com/TheGoatIA/univers_barca_mobile/issues?q=is%3Aissue+%22%5BMOB-ZE-14%5D%22" TargetMode="External"/><Relationship Id="rId598" Type="http://schemas.openxmlformats.org/officeDocument/2006/relationships/hyperlink" Target="https://github.com/TheGoatIA/univers_barca_mobile/issues?q=is%3Aissue+%22%5BMOB-ZE-15%5D%22" TargetMode="External"/><Relationship Id="rId599" Type="http://schemas.openxmlformats.org/officeDocument/2006/relationships/hyperlink" Target="https://github.com/TheGoatIA/univers_barca_mobile/issues?q=is%3Aissue+%22%5BMOB-ZE-16%5D%22" TargetMode="External"/><Relationship Id="rId600" Type="http://schemas.openxmlformats.org/officeDocument/2006/relationships/hyperlink" Target="https://github.com/TheGoatIA/univers_barca_mobile/issues?q=is%3Aissue+%22%5BMOB-ZE-17%5D%22" TargetMode="External"/><Relationship Id="rId601" Type="http://schemas.openxmlformats.org/officeDocument/2006/relationships/hyperlink" Target="https://github.com/TheGoatIA/univers_barca_mobile/issues?q=is%3Aissue+%22%5BMOB-ZE-18%5D%22" TargetMode="External"/><Relationship Id="rId602" Type="http://schemas.openxmlformats.org/officeDocument/2006/relationships/hyperlink" Target="https://github.com/TheGoatIA/univers_barca_mobile/issues?q=is%3Aissue+%22%5BMOB-A-01%5D%22" TargetMode="External"/><Relationship Id="rId603" Type="http://schemas.openxmlformats.org/officeDocument/2006/relationships/hyperlink" Target="https://github.com/TheGoatIA/univers_barca_mobile/issues?q=is%3Aissue+%22%5BMOB-A-02%5D%22" TargetMode="External"/><Relationship Id="rId604" Type="http://schemas.openxmlformats.org/officeDocument/2006/relationships/hyperlink" Target="https://github.com/TheGoatIA/univers_barca_mobile/issues?q=is%3Aissue+%22%5BMOB-A-03%5D%22" TargetMode="External"/><Relationship Id="rId605" Type="http://schemas.openxmlformats.org/officeDocument/2006/relationships/hyperlink" Target="https://github.com/TheGoatIA/univers_barca_mobile/issues?q=is%3Aissue+%22%5BMOB-A-04%5D%22" TargetMode="External"/><Relationship Id="rId606" Type="http://schemas.openxmlformats.org/officeDocument/2006/relationships/hyperlink" Target="https://github.com/TheGoatIA/univers_barca_mobile/issues?q=is%3Aissue+%22%5BMOB-A-05%5D%22" TargetMode="External"/><Relationship Id="rId607" Type="http://schemas.openxmlformats.org/officeDocument/2006/relationships/hyperlink" Target="https://github.com/TheGoatIA/univers_barca_mobile/issues?q=is%3Aissue+%22%5BMOB-A-06%5D%22" TargetMode="External"/><Relationship Id="rId608" Type="http://schemas.openxmlformats.org/officeDocument/2006/relationships/hyperlink" Target="https://github.com/TheGoatIA/univers_barca_mobile/issues?q=is%3Aissue+%22%5BMOB-A-07%5D%22" TargetMode="External"/><Relationship Id="rId609" Type="http://schemas.openxmlformats.org/officeDocument/2006/relationships/hyperlink" Target="https://github.com/TheGoatIA/univers_barca_mobile/issues?q=is%3Aissue+%22%5BMOB-A-08%5D%22" TargetMode="External"/><Relationship Id="rId610" Type="http://schemas.openxmlformats.org/officeDocument/2006/relationships/hyperlink" Target="https://github.com/TheGoatIA/univers_barca_mobile/issues?q=is%3Aissue+%22%5BMOB-A-09%5D%22" TargetMode="External"/><Relationship Id="rId611" Type="http://schemas.openxmlformats.org/officeDocument/2006/relationships/hyperlink" Target="https://github.com/TheGoatIA/univers_barca_mobile/issues?q=is%3Aissue+%22%5BMOB-A-10%5D%22" TargetMode="External"/><Relationship Id="rId612" Type="http://schemas.openxmlformats.org/officeDocument/2006/relationships/hyperlink" Target="https://github.com/TheGoatIA/univers_barca_mobile/issues?q=is%3Aissue+%22%5BMOB-A-11%5D%22" TargetMode="External"/><Relationship Id="rId613" Type="http://schemas.openxmlformats.org/officeDocument/2006/relationships/hyperlink" Target="https://github.com/TheGoatIA/univers_barca_mobile/issues?q=is%3Aissue+%22%5BMOB-A-12%5D%22" TargetMode="External"/><Relationship Id="rId614" Type="http://schemas.openxmlformats.org/officeDocument/2006/relationships/hyperlink" Target="https://github.com/TheGoatIA/univers_barca_mobile/issues?q=is%3Aissue+%22%5BMOB-A-13%5D%22" TargetMode="External"/><Relationship Id="rId615" Type="http://schemas.openxmlformats.org/officeDocument/2006/relationships/hyperlink" Target="https://github.com/TheGoatIA/univers_barca_mobile/issues?q=is%3Aissue+%22%5BMOB-A-14%5D%22" TargetMode="External"/><Relationship Id="rId616" Type="http://schemas.openxmlformats.org/officeDocument/2006/relationships/hyperlink" Target="https://github.com/TheGoatIA/univers_barca_mobile/issues?q=is%3Aissue+%22%5BMOB-A-15%5D%22" TargetMode="External"/><Relationship Id="rId617" Type="http://schemas.openxmlformats.org/officeDocument/2006/relationships/hyperlink" Target="https://github.com/TheGoatIA/univers_barca_mobile/issues?q=is%3Aissue+%22%5BMOB-A-16%5D%22" TargetMode="External"/><Relationship Id="rId618" Type="http://schemas.openxmlformats.org/officeDocument/2006/relationships/hyperlink" Target="https://github.com/TheGoatIA/univers_barca_mobile/issues?q=is%3Aissue+%22%5BMOB-A-17%5D%22" TargetMode="External"/><Relationship Id="rId619" Type="http://schemas.openxmlformats.org/officeDocument/2006/relationships/hyperlink" Target="https://github.com/TheGoatIA/univers_barca_mobile/issues?q=is%3Aissue+%22%5BMOB-A-18%5D%22" TargetMode="External"/><Relationship Id="rId620" Type="http://schemas.openxmlformats.org/officeDocument/2006/relationships/hyperlink" Target="https://github.com/TheGoatIA/univers_barca_mobile/issues?q=is%3Aissue+%22%5BMOB-A-19%5D%22" TargetMode="External"/><Relationship Id="rId621" Type="http://schemas.openxmlformats.org/officeDocument/2006/relationships/hyperlink" Target="https://github.com/TheGoatIA/univers_barca_mobile/issues?q=is%3Aissue+%22%5BMOB-B-01%5D%22" TargetMode="External"/><Relationship Id="rId622" Type="http://schemas.openxmlformats.org/officeDocument/2006/relationships/hyperlink" Target="https://github.com/TheGoatIA/univers_barca_mobile/issues?q=is%3Aissue+%22%5BMOB-B-02%5D%22" TargetMode="External"/><Relationship Id="rId623" Type="http://schemas.openxmlformats.org/officeDocument/2006/relationships/hyperlink" Target="https://github.com/TheGoatIA/univers_barca_mobile/issues?q=is%3Aissue+%22%5BMOB-B-03%5D%22" TargetMode="External"/><Relationship Id="rId624" Type="http://schemas.openxmlformats.org/officeDocument/2006/relationships/hyperlink" Target="https://github.com/TheGoatIA/univers_barca_mobile/issues?q=is%3Aissue+%22%5BMOB-B-04%5D%22" TargetMode="External"/><Relationship Id="rId625" Type="http://schemas.openxmlformats.org/officeDocument/2006/relationships/hyperlink" Target="https://github.com/TheGoatIA/univers_barca_mobile/issues?q=is%3Aissue+%22%5BMOB-B-05%5D%22" TargetMode="External"/><Relationship Id="rId626" Type="http://schemas.openxmlformats.org/officeDocument/2006/relationships/hyperlink" Target="https://github.com/TheGoatIA/univers_barca_mobile/issues?q=is%3Aissue+%22%5BMOB-B-06%5D%22" TargetMode="External"/><Relationship Id="rId627" Type="http://schemas.openxmlformats.org/officeDocument/2006/relationships/hyperlink" Target="https://github.com/TheGoatIA/univers_barca_mobile/issues?q=is%3Aissue+%22%5BMOB-B-07%5D%22" TargetMode="External"/><Relationship Id="rId628" Type="http://schemas.openxmlformats.org/officeDocument/2006/relationships/hyperlink" Target="https://github.com/TheGoatIA/univers_barca_mobile/issues?q=is%3Aissue+%22%5BMOB-B-08%5D%22" TargetMode="External"/><Relationship Id="rId629" Type="http://schemas.openxmlformats.org/officeDocument/2006/relationships/hyperlink" Target="https://github.com/TheGoatIA/univers_barca_mobile/issues?q=is%3Aissue+%22%5BMOB-B-09%5D%22" TargetMode="External"/><Relationship Id="rId630" Type="http://schemas.openxmlformats.org/officeDocument/2006/relationships/hyperlink" Target="https://github.com/TheGoatIA/univers_barca_mobile/issues?q=is%3Aissue+%22%5BMOB-B-10%5D%22" TargetMode="External"/><Relationship Id="rId631" Type="http://schemas.openxmlformats.org/officeDocument/2006/relationships/hyperlink" Target="https://github.com/TheGoatIA/univers_barca_mobile/issues?q=is%3Aissue+%22%5BMOB-B-11%5D%22" TargetMode="External"/><Relationship Id="rId632" Type="http://schemas.openxmlformats.org/officeDocument/2006/relationships/hyperlink" Target="https://github.com/TheGoatIA/univers_barca_mobile/issues?q=is%3Aissue+%22%5BMOB-B-12%5D%22" TargetMode="External"/><Relationship Id="rId633" Type="http://schemas.openxmlformats.org/officeDocument/2006/relationships/hyperlink" Target="https://github.com/TheGoatIA/univers_barca_mobile/issues?q=is%3Aissue+%22%5BMOB-B-13%5D%22" TargetMode="External"/><Relationship Id="rId634" Type="http://schemas.openxmlformats.org/officeDocument/2006/relationships/hyperlink" Target="https://github.com/TheGoatIA/univers_barca_mobile/issues?q=is%3Aissue+%22%5BMOB-B-14%5D%22" TargetMode="External"/><Relationship Id="rId635" Type="http://schemas.openxmlformats.org/officeDocument/2006/relationships/hyperlink" Target="https://github.com/TheGoatIA/univers_barca_mobile/issues?q=is%3Aissue+%22%5BMOB-B-15%5D%22" TargetMode="External"/><Relationship Id="rId636" Type="http://schemas.openxmlformats.org/officeDocument/2006/relationships/hyperlink" Target="https://github.com/TheGoatIA/univers_barca_mobile/issues?q=is%3Aissue+%22%5BMOB-B-16%5D%22" TargetMode="External"/><Relationship Id="rId637" Type="http://schemas.openxmlformats.org/officeDocument/2006/relationships/hyperlink" Target="https://github.com/TheGoatIA/univers_barca_mobile/issues?q=is%3Aissue+%22%5BMOB-B-17%5D%22" TargetMode="External"/><Relationship Id="rId638" Type="http://schemas.openxmlformats.org/officeDocument/2006/relationships/hyperlink" Target="https://github.com/TheGoatIA/univers_barca_mobile/issues?q=is%3Aissue+%22%5BMOB-B-18%5D%22" TargetMode="External"/><Relationship Id="rId639" Type="http://schemas.openxmlformats.org/officeDocument/2006/relationships/hyperlink" Target="https://github.com/TheGoatIA/univers_barca_mobile/issues?q=is%3Aissue+%22%5BMOB-B-19%5D%22" TargetMode="External"/><Relationship Id="rId640" Type="http://schemas.openxmlformats.org/officeDocument/2006/relationships/hyperlink" Target="https://github.com/TheGoatIA/univers_barca_mobile/issues?q=is%3Aissue+%22%5BMOB-B-20%5D%22" TargetMode="External"/><Relationship Id="rId641" Type="http://schemas.openxmlformats.org/officeDocument/2006/relationships/hyperlink" Target="https://github.com/TheGoatIA/univers_barca_mobile/issues?q=is%3Aissue+%22%5BMOB-B-21%5D%22" TargetMode="External"/><Relationship Id="rId642" Type="http://schemas.openxmlformats.org/officeDocument/2006/relationships/hyperlink" Target="https://github.com/TheGoatIA/univers_barca_mobile/issues?q=is%3Aissue+%22%5BMOB-B-22%5D%22" TargetMode="External"/><Relationship Id="rId643" Type="http://schemas.openxmlformats.org/officeDocument/2006/relationships/hyperlink" Target="https://github.com/TheGoatIA/univers_barca_mobile/issues?q=is%3Aissue+%22%5BMOB-B-23%5D%22" TargetMode="External"/><Relationship Id="rId644" Type="http://schemas.openxmlformats.org/officeDocument/2006/relationships/hyperlink" Target="https://github.com/TheGoatIA/univers_barca_mobile/issues?q=is%3Aissue+%22%5BMOB-B-24%5D%22" TargetMode="External"/><Relationship Id="rId645" Type="http://schemas.openxmlformats.org/officeDocument/2006/relationships/hyperlink" Target="https://github.com/TheGoatIA/univers_barca_mobile/issues?q=is%3Aissue+%22%5BMOB-B-25%5D%22" TargetMode="External"/><Relationship Id="rId646" Type="http://schemas.openxmlformats.org/officeDocument/2006/relationships/hyperlink" Target="https://github.com/TheGoatIA/univers_barca_mobile/issues?q=is%3Aissue+%22%5BMOB-B-26%5D%22" TargetMode="External"/><Relationship Id="rId647" Type="http://schemas.openxmlformats.org/officeDocument/2006/relationships/hyperlink" Target="https://github.com/TheGoatIA/univers_barca_mobile/issues?q=is%3Aissue+%22%5BMOB-B-27%5D%22" TargetMode="External"/><Relationship Id="rId648" Type="http://schemas.openxmlformats.org/officeDocument/2006/relationships/hyperlink" Target="https://github.com/TheGoatIA/univers_barca_mobile/issues?q=is%3Aissue+%22%5BMOB-B-28%5D%22" TargetMode="External"/><Relationship Id="rId649" Type="http://schemas.openxmlformats.org/officeDocument/2006/relationships/hyperlink" Target="https://github.com/TheGoatIA/univers_barca_mobile/issues?q=is%3Aissue+%22%5BMOB-B-29%5D%22" TargetMode="External"/><Relationship Id="rId650" Type="http://schemas.openxmlformats.org/officeDocument/2006/relationships/hyperlink" Target="https://github.com/TheGoatIA/univers_barca_mobile/issues?q=is%3Aissue+%22%5BMOB-Q-01%5D%22" TargetMode="External"/><Relationship Id="rId651" Type="http://schemas.openxmlformats.org/officeDocument/2006/relationships/hyperlink" Target="https://github.com/TheGoatIA/univers_barca_mobile/issues?q=is%3Aissue+%22%5BMOB-Q-02%5D%22" TargetMode="External"/><Relationship Id="rId652" Type="http://schemas.openxmlformats.org/officeDocument/2006/relationships/hyperlink" Target="https://github.com/TheGoatIA/univers_barca_mobile/issues?q=is%3Aissue+%22%5BMOB-Q-03%5D%22" TargetMode="External"/><Relationship Id="rId653" Type="http://schemas.openxmlformats.org/officeDocument/2006/relationships/hyperlink" Target="https://github.com/TheGoatIA/univers_barca_mobile/issues?q=is%3Aissue+%22%5BMOB-Q-04%5D%22" TargetMode="External"/><Relationship Id="rId654" Type="http://schemas.openxmlformats.org/officeDocument/2006/relationships/hyperlink" Target="https://github.com/TheGoatIA/univers_barca_mobile/issues?q=is%3Aissue+%22%5BMOB-Q-05%5D%22" TargetMode="External"/><Relationship Id="rId655" Type="http://schemas.openxmlformats.org/officeDocument/2006/relationships/hyperlink" Target="https://github.com/TheGoatIA/univers_barca_mobile/issues?q=is%3Aissue+%22%5BMOB-Q-06%5D%22" TargetMode="External"/><Relationship Id="rId656" Type="http://schemas.openxmlformats.org/officeDocument/2006/relationships/hyperlink" Target="https://github.com/TheGoatIA/univers_barca_mobile/issues?q=is%3Aissue+%22%5BMOB-Q-07%5D%22" TargetMode="External"/><Relationship Id="rId657" Type="http://schemas.openxmlformats.org/officeDocument/2006/relationships/hyperlink" Target="https://github.com/TheGoatIA/univers_barca_mobile/issues?q=is%3Aissue+%22%5BMOB-Q-08%5D%22" TargetMode="External"/><Relationship Id="rId658" Type="http://schemas.openxmlformats.org/officeDocument/2006/relationships/hyperlink" Target="https://github.com/TheGoatIA/univers_barca_mobile/issues?q=is%3Aissue+%22%5BMOB-Q-09%5D%22" TargetMode="External"/><Relationship Id="rId659" Type="http://schemas.openxmlformats.org/officeDocument/2006/relationships/hyperlink" Target="https://github.com/TheGoatIA/univers_barca_mobile/issues?q=is%3Aissue+%22%5BMOB-Q-10%5D%22" TargetMode="External"/><Relationship Id="rId660" Type="http://schemas.openxmlformats.org/officeDocument/2006/relationships/hyperlink" Target="https://github.com/TheGoatIA/univers_barca_mobile/issues?q=is%3Aissue+%22%5BMOB-Q-11%5D%22" TargetMode="External"/><Relationship Id="rId661" Type="http://schemas.openxmlformats.org/officeDocument/2006/relationships/hyperlink" Target="https://github.com/TheGoatIA/univers_barca_mobile/issues?q=is%3Aissue+%22%5BMOB-Q-12%5D%22" TargetMode="External"/><Relationship Id="rId662" Type="http://schemas.openxmlformats.org/officeDocument/2006/relationships/hyperlink" Target="https://github.com/TheGoatIA/univers_barca_mobile/issues?q=is%3Aissue+%22%5BMOB-Q-13%5D%22" TargetMode="External"/><Relationship Id="rId663" Type="http://schemas.openxmlformats.org/officeDocument/2006/relationships/hyperlink" Target="https://github.com/TheGoatIA/univers_barca_mobile/issues?q=is%3Aissue+%22%5BMOB-Q-14%5D%22" TargetMode="External"/><Relationship Id="rId664" Type="http://schemas.openxmlformats.org/officeDocument/2006/relationships/hyperlink" Target="https://github.com/TheGoatIA/univers_barca_mobile/issues?q=is%3Aissue+%22%5BMOB-Q-15%5D%22" TargetMode="External"/><Relationship Id="rId665" Type="http://schemas.openxmlformats.org/officeDocument/2006/relationships/hyperlink" Target="https://github.com/TheGoatIA/univers_barca_mobile/issues?q=is%3Aissue+%22%5BMOB-Q-16%5D%22" TargetMode="External"/><Relationship Id="rId666" Type="http://schemas.openxmlformats.org/officeDocument/2006/relationships/hyperlink" Target="https://github.com/TheGoatIA/univers_barca_mobile/issues?q=is%3Aissue+%22%5BMOB-Q-17%5D%22" TargetMode="External"/><Relationship Id="rId667" Type="http://schemas.openxmlformats.org/officeDocument/2006/relationships/hyperlink" Target="https://github.com/TheGoatIA/univers_barca_mobile/issues?q=is%3Aissue+%22%5BMOB-Q-18%5D%22" TargetMode="External"/><Relationship Id="rId668" Type="http://schemas.openxmlformats.org/officeDocument/2006/relationships/hyperlink" Target="https://github.com/TheGoatIA/univers_barca_mobile/issues?q=is%3Aissue+%22%5BMOB-Q-19%5D%22" TargetMode="External"/><Relationship Id="rId669" Type="http://schemas.openxmlformats.org/officeDocument/2006/relationships/hyperlink" Target="https://github.com/TheGoatIA/univers_barca_mobile/issues?q=is%3Aissue+%22%5BMOB-Q-20%5D%22" TargetMode="External"/><Relationship Id="rId670" Type="http://schemas.openxmlformats.org/officeDocument/2006/relationships/hyperlink" Target="https://github.com/TheGoatIA/univers_barca_mobile/issues?q=is%3Aissue+%22%5BMOB-Q-21%5D%22" TargetMode="External"/><Relationship Id="rId671" Type="http://schemas.openxmlformats.org/officeDocument/2006/relationships/hyperlink" Target="https://github.com/TheGoatIA/univers_barca_mobile/issues?q=is%3Aissue+%22%5BMOB-Q-22%5D%22" TargetMode="External"/><Relationship Id="rId672" Type="http://schemas.openxmlformats.org/officeDocument/2006/relationships/hyperlink" Target="https://github.com/TheGoatIA/univers_barca_mobile/issues?q=is%3Aissue+%22%5BMOB-Q-23%5D%22" TargetMode="External"/><Relationship Id="rId673" Type="http://schemas.openxmlformats.org/officeDocument/2006/relationships/hyperlink" Target="https://github.com/TheGoatIA/univers_barca_mobile/issues?q=is%3Aissue+%22%5BMOB-Q-24%5D%22" TargetMode="External"/><Relationship Id="rId674" Type="http://schemas.openxmlformats.org/officeDocument/2006/relationships/hyperlink" Target="https://github.com/TheGoatIA/univers_barca_mobile/issues?q=is%3Aissue+%22%5BMOB-Q-25%5D%22" TargetMode="External"/><Relationship Id="rId675" Type="http://schemas.openxmlformats.org/officeDocument/2006/relationships/hyperlink" Target="https://github.com/TheGoatIA/univers_barca_mobile/issues?q=is%3Aissue+%22%5BMOB-Q-26%5D%22" TargetMode="External"/><Relationship Id="rId676" Type="http://schemas.openxmlformats.org/officeDocument/2006/relationships/hyperlink" Target="https://github.com/TheGoatIA/univers_barca_mobile/issues?q=is%3Aissue+%22%5BMOB-Q-27%5D%22" TargetMode="External"/><Relationship Id="rId677" Type="http://schemas.openxmlformats.org/officeDocument/2006/relationships/hyperlink" Target="https://github.com/TheGoatIA/univers_barca_mobile/issues?q=is%3Aissue+%22%5BMOB-Q-28%5D%22" TargetMode="External"/><Relationship Id="rId678" Type="http://schemas.openxmlformats.org/officeDocument/2006/relationships/hyperlink" Target="https://github.com/TheGoatIA/univers_barca_mobile/issues?q=is%3Aissue+%22%5BMOB-Q-29%5D%22" TargetMode="External"/><Relationship Id="rId679" Type="http://schemas.openxmlformats.org/officeDocument/2006/relationships/hyperlink" Target="https://github.com/TheGoatIA/univers_barca_mobile/issues?q=is%3Aissue+%22%5BMOB-Q-30%5D%22" TargetMode="External"/><Relationship Id="rId680" Type="http://schemas.openxmlformats.org/officeDocument/2006/relationships/hyperlink" Target="https://github.com/TheGoatIA/univers_barca_mobile/issues?q=is%3Aissue+%22%5BMOB-Q-31%5D%22" TargetMode="External"/><Relationship Id="rId681" Type="http://schemas.openxmlformats.org/officeDocument/2006/relationships/hyperlink" Target="https://github.com/TheGoatIA/univers_barca_mobile/issues?q=is%3Aissue+%22%5BMOB-C-01%5D%22" TargetMode="External"/><Relationship Id="rId682" Type="http://schemas.openxmlformats.org/officeDocument/2006/relationships/hyperlink" Target="https://github.com/TheGoatIA/univers_barca_mobile/issues?q=is%3Aissue+%22%5BMOB-C-02%5D%22" TargetMode="External"/><Relationship Id="rId683" Type="http://schemas.openxmlformats.org/officeDocument/2006/relationships/hyperlink" Target="https://github.com/TheGoatIA/univers_barca_mobile/issues?q=is%3Aissue+%22%5BMOB-C-03%5D%22" TargetMode="External"/><Relationship Id="rId684" Type="http://schemas.openxmlformats.org/officeDocument/2006/relationships/hyperlink" Target="https://github.com/TheGoatIA/univers_barca_mobile/issues?q=is%3Aissue+%22%5BMOB-C-04%5D%22" TargetMode="External"/><Relationship Id="rId685" Type="http://schemas.openxmlformats.org/officeDocument/2006/relationships/hyperlink" Target="https://github.com/TheGoatIA/univers_barca_mobile/issues?q=is%3Aissue+%22%5BMOB-C-05%5D%22" TargetMode="External"/><Relationship Id="rId686" Type="http://schemas.openxmlformats.org/officeDocument/2006/relationships/hyperlink" Target="https://github.com/TheGoatIA/univers_barca_mobile/issues?q=is%3Aissue+%22%5BMOB-C-06%5D%22" TargetMode="External"/><Relationship Id="rId687" Type="http://schemas.openxmlformats.org/officeDocument/2006/relationships/hyperlink" Target="https://github.com/TheGoatIA/univers_barca_mobile/issues?q=is%3Aissue+%22%5BMOB-C-07%5D%22" TargetMode="External"/><Relationship Id="rId688" Type="http://schemas.openxmlformats.org/officeDocument/2006/relationships/hyperlink" Target="https://github.com/TheGoatIA/univers_barca_mobile/issues?q=is%3Aissue+%22%5BMOB-C-08%5D%22" TargetMode="External"/><Relationship Id="rId689" Type="http://schemas.openxmlformats.org/officeDocument/2006/relationships/hyperlink" Target="https://github.com/TheGoatIA/univers_barca_mobile/issues?q=is%3Aissue+%22%5BMOB-C-09%5D%22" TargetMode="External"/><Relationship Id="rId690" Type="http://schemas.openxmlformats.org/officeDocument/2006/relationships/hyperlink" Target="https://github.com/TheGoatIA/univers_barca_mobile/issues?q=is%3Aissue+%22%5BMOB-C-10%5D%22" TargetMode="External"/><Relationship Id="rId691" Type="http://schemas.openxmlformats.org/officeDocument/2006/relationships/hyperlink" Target="https://github.com/TheGoatIA/univers_barca_mobile/issues?q=is%3Aissue+%22%5BMOB-C-11%5D%22" TargetMode="External"/><Relationship Id="rId692" Type="http://schemas.openxmlformats.org/officeDocument/2006/relationships/hyperlink" Target="https://github.com/TheGoatIA/univers_barca_mobile/issues?q=is%3Aissue+%22%5BMOB-C-12%5D%22" TargetMode="External"/><Relationship Id="rId693" Type="http://schemas.openxmlformats.org/officeDocument/2006/relationships/hyperlink" Target="https://github.com/TheGoatIA/univers_barca_mobile/issues?q=is%3Aissue+%22%5BMOB-C-13%5D%22" TargetMode="External"/><Relationship Id="rId694" Type="http://schemas.openxmlformats.org/officeDocument/2006/relationships/hyperlink" Target="https://github.com/TheGoatIA/univers_barca_mobile/issues?q=is%3Aissue+%22%5BMOB-C-14%5D%22" TargetMode="External"/><Relationship Id="rId695" Type="http://schemas.openxmlformats.org/officeDocument/2006/relationships/hyperlink" Target="https://github.com/TheGoatIA/univers_barca_mobile/issues?q=is%3Aissue+%22%5BMOB-C-15%5D%22" TargetMode="External"/><Relationship Id="rId696" Type="http://schemas.openxmlformats.org/officeDocument/2006/relationships/hyperlink" Target="https://github.com/TheGoatIA/univers_barca_mobile/issues?q=is%3Aissue+%22%5BMOB-C-16%5D%22" TargetMode="External"/><Relationship Id="rId697" Type="http://schemas.openxmlformats.org/officeDocument/2006/relationships/hyperlink" Target="https://github.com/TheGoatIA/univers_barca_mobile/issues?q=is%3Aissue+%22%5BMOB-C-17%5D%22" TargetMode="External"/><Relationship Id="rId698" Type="http://schemas.openxmlformats.org/officeDocument/2006/relationships/hyperlink" Target="https://github.com/TheGoatIA/univers_barca_mobile/issues?q=is%3Aissue+%22%5BMOB-C-18%5D%22" TargetMode="External"/><Relationship Id="rId699" Type="http://schemas.openxmlformats.org/officeDocument/2006/relationships/hyperlink" Target="https://github.com/TheGoatIA/univers_barca_mobile/issues?q=is%3Aissue+%22%5BMOB-C-19%5D%22" TargetMode="External"/><Relationship Id="rId700" Type="http://schemas.openxmlformats.org/officeDocument/2006/relationships/hyperlink" Target="https://github.com/TheGoatIA/univers_barca_mobile/issues?q=is%3Aissue+%22%5BMOB-C-20%5D%22" TargetMode="External"/><Relationship Id="rId701" Type="http://schemas.openxmlformats.org/officeDocument/2006/relationships/hyperlink" Target="https://github.com/TheGoatIA/univers_barca_mobile/issues?q=is%3Aissue+%22%5BMOB-C-21%5D%22" TargetMode="External"/><Relationship Id="rId702" Type="http://schemas.openxmlformats.org/officeDocument/2006/relationships/hyperlink" Target="https://github.com/TheGoatIA/univers_barca_mobile/issues?q=is%3Aissue+%22%5BMOB-C-22%5D%22" TargetMode="External"/><Relationship Id="rId703" Type="http://schemas.openxmlformats.org/officeDocument/2006/relationships/hyperlink" Target="https://github.com/TheGoatIA/univers_barca_mobile/issues?q=is%3Aissue+%22%5BMOB-C-23%5D%22" TargetMode="External"/><Relationship Id="rId704" Type="http://schemas.openxmlformats.org/officeDocument/2006/relationships/hyperlink" Target="https://github.com/TheGoatIA/univers_barca_mobile/issues?q=is%3Aissue+%22%5BMOB-C-24%5D%22" TargetMode="External"/><Relationship Id="rId705" Type="http://schemas.openxmlformats.org/officeDocument/2006/relationships/hyperlink" Target="https://github.com/TheGoatIA/univers_barca_mobile/issues?q=is%3Aissue+%22%5BMOB-C-25%5D%22" TargetMode="External"/><Relationship Id="rId706" Type="http://schemas.openxmlformats.org/officeDocument/2006/relationships/hyperlink" Target="https://github.com/TheGoatIA/univers_barca_mobile/issues?q=is%3Aissue+%22%5BMOB-C-26%5D%22" TargetMode="External"/><Relationship Id="rId707" Type="http://schemas.openxmlformats.org/officeDocument/2006/relationships/hyperlink" Target="https://github.com/TheGoatIA/univers_barca_mobile/issues?q=is%3Aissue+%22%5BMOB-C-27%5D%22" TargetMode="External"/><Relationship Id="rId708" Type="http://schemas.openxmlformats.org/officeDocument/2006/relationships/hyperlink" Target="https://github.com/TheGoatIA/univers_barca_mobile/issues?q=is%3Aissue+%22%5BMOB-F-01%5D%22" TargetMode="External"/><Relationship Id="rId709" Type="http://schemas.openxmlformats.org/officeDocument/2006/relationships/hyperlink" Target="https://github.com/TheGoatIA/univers_barca_mobile/issues?q=is%3Aissue+%22%5BMOB-F-02%5D%22" TargetMode="External"/><Relationship Id="rId710" Type="http://schemas.openxmlformats.org/officeDocument/2006/relationships/hyperlink" Target="https://github.com/TheGoatIA/univers_barca_mobile/issues?q=is%3Aissue+%22%5BMOB-F-03%5D%22" TargetMode="External"/><Relationship Id="rId711" Type="http://schemas.openxmlformats.org/officeDocument/2006/relationships/hyperlink" Target="https://github.com/TheGoatIA/univers_barca_mobile/issues?q=is%3Aissue+%22%5BMOB-F-04%5D%22" TargetMode="External"/><Relationship Id="rId712" Type="http://schemas.openxmlformats.org/officeDocument/2006/relationships/hyperlink" Target="https://github.com/TheGoatIA/univers_barca_mobile/issues?q=is%3Aissue+%22%5BMOB-F-05%5D%22" TargetMode="External"/><Relationship Id="rId713" Type="http://schemas.openxmlformats.org/officeDocument/2006/relationships/hyperlink" Target="https://github.com/TheGoatIA/univers_barca_mobile/issues?q=is%3Aissue+%22%5BMOB-F-06%5D%22" TargetMode="External"/><Relationship Id="rId714" Type="http://schemas.openxmlformats.org/officeDocument/2006/relationships/hyperlink" Target="https://github.com/TheGoatIA/univers_barca_mobile/issues?q=is%3Aissue+%22%5BMOB-F-07%5D%22" TargetMode="External"/><Relationship Id="rId715" Type="http://schemas.openxmlformats.org/officeDocument/2006/relationships/hyperlink" Target="https://github.com/TheGoatIA/univers_barca_mobile/issues?q=is%3Aissue+%22%5BMOB-F-08%5D%22" TargetMode="External"/><Relationship Id="rId716" Type="http://schemas.openxmlformats.org/officeDocument/2006/relationships/hyperlink" Target="https://github.com/TheGoatIA/univers_barca_mobile/issues?q=is%3Aissue+%22%5BMOB-F-09%5D%22" TargetMode="External"/><Relationship Id="rId717" Type="http://schemas.openxmlformats.org/officeDocument/2006/relationships/hyperlink" Target="https://github.com/TheGoatIA/univers_barca_mobile/issues?q=is%3Aissue+%22%5BMOB-F-10%5D%22" TargetMode="External"/><Relationship Id="rId718" Type="http://schemas.openxmlformats.org/officeDocument/2006/relationships/hyperlink" Target="https://github.com/TheGoatIA/univers_barca_mobile/issues?q=is%3Aissue+%22%5BMOB-F-11%5D%22" TargetMode="External"/><Relationship Id="rId719" Type="http://schemas.openxmlformats.org/officeDocument/2006/relationships/hyperlink" Target="https://github.com/TheGoatIA/univers_barca_mobile/issues?q=is%3Aissue+%22%5BMOB-F-12%5D%22" TargetMode="External"/><Relationship Id="rId720" Type="http://schemas.openxmlformats.org/officeDocument/2006/relationships/hyperlink" Target="https://github.com/TheGoatIA/univers_barca_mobile/issues?q=is%3Aissue+%22%5BMOB-F-13%5D%22" TargetMode="External"/><Relationship Id="rId721" Type="http://schemas.openxmlformats.org/officeDocument/2006/relationships/hyperlink" Target="https://github.com/TheGoatIA/univers_barca_mobile/issues?q=is%3Aissue+%22%5BMOB-F-14%5D%22" TargetMode="External"/><Relationship Id="rId722" Type="http://schemas.openxmlformats.org/officeDocument/2006/relationships/hyperlink" Target="https://github.com/TheGoatIA/univers_barca_mobile/issues?q=is%3Aissue+%22%5BMOB-F-15%5D%22" TargetMode="External"/><Relationship Id="rId723" Type="http://schemas.openxmlformats.org/officeDocument/2006/relationships/hyperlink" Target="https://github.com/TheGoatIA/univers_barca_mobile/issues?q=is%3Aissue+%22%5BMOB-F-16%5D%22" TargetMode="External"/><Relationship Id="rId724" Type="http://schemas.openxmlformats.org/officeDocument/2006/relationships/hyperlink" Target="https://github.com/TheGoatIA/univers_barca_mobile/issues?q=is%3Aissue+%22%5BMOB-F-17%5D%22" TargetMode="External"/><Relationship Id="rId725" Type="http://schemas.openxmlformats.org/officeDocument/2006/relationships/hyperlink" Target="https://github.com/TheGoatIA/univers_barca_mobile/issues?q=is%3Aissue+%22%5BMOB-F-18%5D%22" TargetMode="External"/><Relationship Id="rId726" Type="http://schemas.openxmlformats.org/officeDocument/2006/relationships/hyperlink" Target="https://github.com/TheGoatIA/univers_barca_mobile/issues?q=is%3Aissue+%22%5BMOB-F-19%5D%22" TargetMode="External"/><Relationship Id="rId727" Type="http://schemas.openxmlformats.org/officeDocument/2006/relationships/hyperlink" Target="https://github.com/TheGoatIA/univers_barca_mobile/issues?q=is%3Aissue+%22%5BMOB-F-20%5D%22" TargetMode="External"/><Relationship Id="rId728" Type="http://schemas.openxmlformats.org/officeDocument/2006/relationships/hyperlink" Target="https://github.com/TheGoatIA/univers_barca_mobile/issues?q=is%3Aissue+%22%5BMOB-F-21%5D%22" TargetMode="External"/><Relationship Id="rId729" Type="http://schemas.openxmlformats.org/officeDocument/2006/relationships/hyperlink" Target="https://github.com/TheGoatIA/univers_barca_mobile/issues?q=is%3Aissue+%22%5BMOB-F-22%5D%22" TargetMode="External"/><Relationship Id="rId730" Type="http://schemas.openxmlformats.org/officeDocument/2006/relationships/hyperlink" Target="https://github.com/TheGoatIA/univers_barca_mobile/issues?q=is%3Aissue+%22%5BMOB-F-23%5D%22" TargetMode="External"/><Relationship Id="rId731" Type="http://schemas.openxmlformats.org/officeDocument/2006/relationships/hyperlink" Target="https://github.com/TheGoatIA/univers_barca_mobile/issues?q=is%3Aissue+%22%5BMOB-F-24%5D%22" TargetMode="External"/><Relationship Id="rId732" Type="http://schemas.openxmlformats.org/officeDocument/2006/relationships/hyperlink" Target="https://github.com/TheGoatIA/univers_barca_mobile/issues?q=is%3Aissue+%22%5BMOB-F-25%5D%22" TargetMode="External"/><Relationship Id="rId733" Type="http://schemas.openxmlformats.org/officeDocument/2006/relationships/hyperlink" Target="https://github.com/TheGoatIA/univers_barca_mobile/issues?q=is%3Aissue+%22%5BMOB-F-26%5D%22" TargetMode="External"/><Relationship Id="rId734" Type="http://schemas.openxmlformats.org/officeDocument/2006/relationships/hyperlink" Target="https://github.com/TheGoatIA/univers_barca_mobile/issues?q=is%3Aissue+%22%5BMOB-F-27%5D%22" TargetMode="External"/><Relationship Id="rId735" Type="http://schemas.openxmlformats.org/officeDocument/2006/relationships/hyperlink" Target="https://github.com/TheGoatIA/univers_barca_mobile/issues?q=is%3Aissue+%22%5BMOB-L-01%5D%22" TargetMode="External"/><Relationship Id="rId736" Type="http://schemas.openxmlformats.org/officeDocument/2006/relationships/hyperlink" Target="https://github.com/TheGoatIA/univers_barca_mobile/issues?q=is%3Aissue+%22%5BMOB-L-02%5D%22" TargetMode="External"/><Relationship Id="rId737" Type="http://schemas.openxmlformats.org/officeDocument/2006/relationships/hyperlink" Target="https://github.com/TheGoatIA/univers_barca_mobile/issues?q=is%3Aissue+%22%5BMOB-L-03%5D%22" TargetMode="External"/><Relationship Id="rId738" Type="http://schemas.openxmlformats.org/officeDocument/2006/relationships/hyperlink" Target="https://github.com/TheGoatIA/univers_barca_mobile/issues?q=is%3Aissue+%22%5BMOB-L-04%5D%22" TargetMode="External"/><Relationship Id="rId739" Type="http://schemas.openxmlformats.org/officeDocument/2006/relationships/hyperlink" Target="https://github.com/TheGoatIA/univers_barca_mobile/issues?q=is%3Aissue+%22%5BMOB-L-05%5D%22" TargetMode="External"/><Relationship Id="rId740" Type="http://schemas.openxmlformats.org/officeDocument/2006/relationships/hyperlink" Target="https://github.com/TheGoatIA/univers_barca_mobile/issues?q=is%3Aissue+%22%5BMOB-L-06%5D%22" TargetMode="External"/><Relationship Id="rId741" Type="http://schemas.openxmlformats.org/officeDocument/2006/relationships/hyperlink" Target="https://github.com/TheGoatIA/univers_barca_mobile/issues?q=is%3Aissue+%22%5BMOB-L-07%5D%22" TargetMode="External"/><Relationship Id="rId742" Type="http://schemas.openxmlformats.org/officeDocument/2006/relationships/hyperlink" Target="https://github.com/TheGoatIA/univers_barca_mobile/issues?q=is%3Aissue+%22%5BMOB-L-08%5D%22" TargetMode="External"/><Relationship Id="rId743" Type="http://schemas.openxmlformats.org/officeDocument/2006/relationships/hyperlink" Target="https://github.com/TheGoatIA/univers_barca_mobile/issues?q=is%3Aissue+%22%5BMOB-L-09%5D%22" TargetMode="External"/><Relationship Id="rId744" Type="http://schemas.openxmlformats.org/officeDocument/2006/relationships/hyperlink" Target="https://github.com/TheGoatIA/univers_barca_mobile/issues?q=is%3Aissue+%22%5BMOB-L-10%5D%22" TargetMode="External"/><Relationship Id="rId745" Type="http://schemas.openxmlformats.org/officeDocument/2006/relationships/hyperlink" Target="https://github.com/TheGoatIA/univers_barca_mobile/issues?q=is%3Aissue+%22%5BMOB-L-11%5D%22" TargetMode="External"/><Relationship Id="rId746" Type="http://schemas.openxmlformats.org/officeDocument/2006/relationships/hyperlink" Target="https://github.com/TheGoatIA/univers_barca_mobile/issues?q=is%3Aissue+%22%5BMOB-L-12%5D%22" TargetMode="External"/><Relationship Id="rId747" Type="http://schemas.openxmlformats.org/officeDocument/2006/relationships/hyperlink" Target="https://github.com/TheGoatIA/univers_barca_mobile/issues?q=is%3Aissue+%22%5BMOB-L-13%5D%22" TargetMode="External"/><Relationship Id="rId748" Type="http://schemas.openxmlformats.org/officeDocument/2006/relationships/hyperlink" Target="https://github.com/TheGoatIA/univers_barca_mobile/issues?q=is%3Aissue+%22%5BMOB-L-14%5D%22" TargetMode="External"/><Relationship Id="rId749" Type="http://schemas.openxmlformats.org/officeDocument/2006/relationships/hyperlink" Target="https://github.com/TheGoatIA/univers_barca_mobile/issues?q=is%3Aissue+%22%5BMOB-L-15%5D%22" TargetMode="External"/><Relationship Id="rId750" Type="http://schemas.openxmlformats.org/officeDocument/2006/relationships/hyperlink" Target="https://github.com/TheGoatIA/univers_barca_mobile/issues?q=is%3Aissue+%22%5BMOB-L-16%5D%22" TargetMode="External"/><Relationship Id="rId751" Type="http://schemas.openxmlformats.org/officeDocument/2006/relationships/hyperlink" Target="https://github.com/TheGoatIA/univers_barca_mobile/issues?q=is%3Aissue+%22%5BMOB-L-17%5D%22" TargetMode="External"/><Relationship Id="rId752" Type="http://schemas.openxmlformats.org/officeDocument/2006/relationships/hyperlink" Target="https://github.com/TheGoatIA/univers_barca_mobile/issues?q=is%3Aissue+%22%5BMOB-L-18%5D%22" TargetMode="External"/><Relationship Id="rId753" Type="http://schemas.openxmlformats.org/officeDocument/2006/relationships/hyperlink" Target="https://github.com/TheGoatIA/univers_barca_mobile/issues?q=is%3Aissue+%22%5BMOB-L-19%5D%22" TargetMode="External"/><Relationship Id="rId754" Type="http://schemas.openxmlformats.org/officeDocument/2006/relationships/hyperlink" Target="https://github.com/TheGoatIA/univers_barca_mobile/issues?q=is%3Aissue+%22%5BMOB-L-20%5D%22" TargetMode="External"/><Relationship Id="rId755" Type="http://schemas.openxmlformats.org/officeDocument/2006/relationships/hyperlink" Target="https://github.com/TheGoatIA/univers_barca_mobile/issues?q=is%3Aissue+%22%5BMOB-L-21%5D%22" TargetMode="External"/><Relationship Id="rId756" Type="http://schemas.openxmlformats.org/officeDocument/2006/relationships/hyperlink" Target="https://github.com/TheGoatIA/univers_barca_mobile/issues?q=is%3Aissue+%22%5BMOB-L-22%5D%22" TargetMode="External"/><Relationship Id="rId757" Type="http://schemas.openxmlformats.org/officeDocument/2006/relationships/hyperlink" Target="https://github.com/TheGoatIA/univers_barca_mobile/issues?q=is%3Aissue+%22%5BMOB-L-23%5D%22" TargetMode="External"/><Relationship Id="rId758" Type="http://schemas.openxmlformats.org/officeDocument/2006/relationships/hyperlink" Target="https://github.com/TheGoatIA/univers_barca_mobile/issues?q=is%3Aissue+%22%5BMOB-L-24%5D%22" TargetMode="External"/><Relationship Id="rId759" Type="http://schemas.openxmlformats.org/officeDocument/2006/relationships/hyperlink" Target="https://github.com/TheGoatIA/univers_barca_mobile/issues?q=is%3Aissue+%22%5BMOB-L-25%5D%22" TargetMode="External"/><Relationship Id="rId760" Type="http://schemas.openxmlformats.org/officeDocument/2006/relationships/hyperlink" Target="https://github.com/TheGoatIA/univers_barca_mobile/issues?q=is%3Aissue+%22%5BMOB-L-26%5D%22" TargetMode="External"/><Relationship Id="rId761" Type="http://schemas.openxmlformats.org/officeDocument/2006/relationships/hyperlink" Target="https://github.com/TheGoatIA/univers_barca_mobile/issues?q=is%3Aissue+%22%5BMOB-L-27%5D%22" TargetMode="External"/><Relationship Id="rId762" Type="http://schemas.openxmlformats.org/officeDocument/2006/relationships/hyperlink" Target="https://github.com/TheGoatIA/univers_barca_mobile/issues?q=is%3Aissue+%22%5BMOB-L-28%5D%22" TargetMode="External"/><Relationship Id="rId763" Type="http://schemas.openxmlformats.org/officeDocument/2006/relationships/hyperlink" Target="https://github.com/TheGoatIA/univers_barca_mobile/issues?q=is%3Aissue+%22%5BMOB-L-29%5D%22" TargetMode="External"/><Relationship Id="rId764" Type="http://schemas.openxmlformats.org/officeDocument/2006/relationships/hyperlink" Target="https://github.com/TheGoatIA/univers_barca_mobile/issues?q=is%3Aissue+%22%5BMOB-D-01%5D%22" TargetMode="External"/><Relationship Id="rId765" Type="http://schemas.openxmlformats.org/officeDocument/2006/relationships/hyperlink" Target="https://github.com/TheGoatIA/univers_barca_mobile/issues?q=is%3Aissue+%22%5BMOB-D-02%5D%22" TargetMode="External"/><Relationship Id="rId766" Type="http://schemas.openxmlformats.org/officeDocument/2006/relationships/hyperlink" Target="https://github.com/TheGoatIA/univers_barca_mobile/issues?q=is%3Aissue+%22%5BMOB-D-03%5D%22" TargetMode="External"/><Relationship Id="rId767" Type="http://schemas.openxmlformats.org/officeDocument/2006/relationships/hyperlink" Target="https://github.com/TheGoatIA/univers_barca_mobile/issues?q=is%3Aissue+%22%5BMOB-D-04%5D%22" TargetMode="External"/><Relationship Id="rId768" Type="http://schemas.openxmlformats.org/officeDocument/2006/relationships/hyperlink" Target="https://github.com/TheGoatIA/univers_barca_mobile/issues?q=is%3Aissue+%22%5BMOB-D-05%5D%22" TargetMode="External"/><Relationship Id="rId769" Type="http://schemas.openxmlformats.org/officeDocument/2006/relationships/hyperlink" Target="https://github.com/TheGoatIA/univers_barca_mobile/issues?q=is%3Aissue+%22%5BMOB-D-06%5D%22" TargetMode="External"/><Relationship Id="rId770" Type="http://schemas.openxmlformats.org/officeDocument/2006/relationships/hyperlink" Target="https://github.com/TheGoatIA/univers_barca_mobile/issues?q=is%3Aissue+%22%5BMOB-D-07%5D%22" TargetMode="External"/><Relationship Id="rId771" Type="http://schemas.openxmlformats.org/officeDocument/2006/relationships/hyperlink" Target="https://github.com/TheGoatIA/univers_barca_mobile/issues?q=is%3Aissue+%22%5BMOB-D-08%5D%22" TargetMode="External"/><Relationship Id="rId772" Type="http://schemas.openxmlformats.org/officeDocument/2006/relationships/hyperlink" Target="https://github.com/TheGoatIA/univers_barca_mobile/issues?q=is%3Aissue+%22%5BMOB-D-09%5D%22" TargetMode="External"/><Relationship Id="rId773" Type="http://schemas.openxmlformats.org/officeDocument/2006/relationships/hyperlink" Target="https://github.com/TheGoatIA/univers_barca_mobile/issues?q=is%3Aissue+%22%5BMOB-D-10%5D%22" TargetMode="External"/><Relationship Id="rId774" Type="http://schemas.openxmlformats.org/officeDocument/2006/relationships/hyperlink" Target="https://github.com/TheGoatIA/univers_barca_mobile/issues?q=is%3Aissue+%22%5BMOB-D-11%5D%22" TargetMode="External"/><Relationship Id="rId775" Type="http://schemas.openxmlformats.org/officeDocument/2006/relationships/hyperlink" Target="https://github.com/TheGoatIA/univers_barca_mobile/issues?q=is%3Aissue+%22%5BMOB-D-12%5D%22" TargetMode="External"/><Relationship Id="rId776" Type="http://schemas.openxmlformats.org/officeDocument/2006/relationships/hyperlink" Target="https://github.com/TheGoatIA/univers_barca_mobile/issues?q=is%3Aissue+%22%5BMOB-D-13%5D%22" TargetMode="External"/><Relationship Id="rId777" Type="http://schemas.openxmlformats.org/officeDocument/2006/relationships/hyperlink" Target="https://github.com/TheGoatIA/univers_barca_mobile/issues?q=is%3Aissue+%22%5BMOB-D-14%5D%22" TargetMode="External"/><Relationship Id="rId778" Type="http://schemas.openxmlformats.org/officeDocument/2006/relationships/hyperlink" Target="https://github.com/TheGoatIA/univers_barca_mobile/issues?q=is%3Aissue+%22%5BMOB-D-15%5D%22" TargetMode="External"/><Relationship Id="rId779" Type="http://schemas.openxmlformats.org/officeDocument/2006/relationships/hyperlink" Target="https://github.com/TheGoatIA/univers_barca_mobile/issues?q=is%3Aissue+%22%5BMOB-D-16%5D%22" TargetMode="External"/><Relationship Id="rId780" Type="http://schemas.openxmlformats.org/officeDocument/2006/relationships/hyperlink" Target="https://github.com/TheGoatIA/univers_barca_mobile/issues?q=is%3Aissue+%22%5BMOB-D-17%5D%22" TargetMode="External"/><Relationship Id="rId781" Type="http://schemas.openxmlformats.org/officeDocument/2006/relationships/hyperlink" Target="https://github.com/TheGoatIA/univers_barca_mobile/issues?q=is%3Aissue+%22%5BMOB-D-18%5D%22" TargetMode="External"/><Relationship Id="rId782" Type="http://schemas.openxmlformats.org/officeDocument/2006/relationships/hyperlink" Target="https://github.com/TheGoatIA/univers_barca_mobile/issues?q=is%3Aissue+%22%5BMOB-D-19%5D%22" TargetMode="External"/><Relationship Id="rId783" Type="http://schemas.openxmlformats.org/officeDocument/2006/relationships/hyperlink" Target="https://github.com/TheGoatIA/univers_barca_mobile/issues?q=is%3Aissue+%22%5BMOB-D-20%5D%22" TargetMode="External"/><Relationship Id="rId784" Type="http://schemas.openxmlformats.org/officeDocument/2006/relationships/hyperlink" Target="https://github.com/TheGoatIA/univers_barca_mobile/issues?q=is%3Aissue+%22%5BMOB-D-21%5D%22" TargetMode="External"/><Relationship Id="rId785" Type="http://schemas.openxmlformats.org/officeDocument/2006/relationships/hyperlink" Target="https://github.com/TheGoatIA/univers_barca_mobile/issues?q=is%3Aissue+%22%5BMOB-D-22%5D%22" TargetMode="External"/><Relationship Id="rId786" Type="http://schemas.openxmlformats.org/officeDocument/2006/relationships/hyperlink" Target="https://github.com/TheGoatIA/univers_barca_mobile/issues?q=is%3Aissue+%22%5BMOB-D-23%5D%22" TargetMode="External"/><Relationship Id="rId787" Type="http://schemas.openxmlformats.org/officeDocument/2006/relationships/hyperlink" Target="https://github.com/TheGoatIA/univers_barca_mobile/issues?q=is%3Aissue+%22%5BMOB-D-24%5D%22" TargetMode="External"/><Relationship Id="rId788" Type="http://schemas.openxmlformats.org/officeDocument/2006/relationships/hyperlink" Target="https://github.com/TheGoatIA/univers_barca_mobile/issues?q=is%3Aissue+%22%5BMOB-D-25%5D%22" TargetMode="External"/><Relationship Id="rId789" Type="http://schemas.openxmlformats.org/officeDocument/2006/relationships/hyperlink" Target="https://github.com/TheGoatIA/univers_barca_mobile/issues?q=is%3Aissue+%22%5BMOB-D-26%5D%22" TargetMode="External"/><Relationship Id="rId790" Type="http://schemas.openxmlformats.org/officeDocument/2006/relationships/hyperlink" Target="https://github.com/TheGoatIA/univers_barca_mobile/issues?q=is%3Aissue+%22%5BMOB-D-27%5D%22" TargetMode="External"/><Relationship Id="rId791" Type="http://schemas.openxmlformats.org/officeDocument/2006/relationships/hyperlink" Target="https://github.com/TheGoatIA/univers_barca_mobile/issues?q=is%3Aissue+%22%5BMOB-D-28%5D%22" TargetMode="External"/><Relationship Id="rId792" Type="http://schemas.openxmlformats.org/officeDocument/2006/relationships/hyperlink" Target="https://github.com/TheGoatIA/univers_barca_mobile/issues?q=is%3Aissue+%22%5BMOB-D-29%5D%22" TargetMode="External"/><Relationship Id="rId793" Type="http://schemas.openxmlformats.org/officeDocument/2006/relationships/hyperlink" Target="https://github.com/TheGoatIA/univers_barca_mobile/issues?q=is%3Aissue+%22%5BMOB-D-30%5D%22" TargetMode="External"/><Relationship Id="rId794" Type="http://schemas.openxmlformats.org/officeDocument/2006/relationships/hyperlink" Target="https://github.com/TheGoatIA/univers_barca_mobile/issues?q=is%3Aissue+%22%5BMOB-E-01%5D%22" TargetMode="External"/><Relationship Id="rId795" Type="http://schemas.openxmlformats.org/officeDocument/2006/relationships/hyperlink" Target="https://github.com/TheGoatIA/univers_barca_mobile/issues?q=is%3Aissue+%22%5BMOB-E-02%5D%22" TargetMode="External"/><Relationship Id="rId796" Type="http://schemas.openxmlformats.org/officeDocument/2006/relationships/hyperlink" Target="https://github.com/TheGoatIA/univers_barca_mobile/issues?q=is%3Aissue+%22%5BMOB-E-03%5D%22" TargetMode="External"/><Relationship Id="rId797" Type="http://schemas.openxmlformats.org/officeDocument/2006/relationships/hyperlink" Target="https://github.com/TheGoatIA/univers_barca_mobile/issues?q=is%3Aissue+%22%5BMOB-E-04%5D%22" TargetMode="External"/><Relationship Id="rId798" Type="http://schemas.openxmlformats.org/officeDocument/2006/relationships/hyperlink" Target="https://github.com/TheGoatIA/univers_barca_mobile/issues?q=is%3Aissue+%22%5BMOB-E-05%5D%22" TargetMode="External"/><Relationship Id="rId799" Type="http://schemas.openxmlformats.org/officeDocument/2006/relationships/hyperlink" Target="https://github.com/TheGoatIA/univers_barca_mobile/issues?q=is%3Aissue+%22%5BMOB-E-06%5D%22" TargetMode="External"/><Relationship Id="rId800" Type="http://schemas.openxmlformats.org/officeDocument/2006/relationships/hyperlink" Target="https://github.com/TheGoatIA/univers_barca_mobile/issues?q=is%3Aissue+%22%5BMOB-E-07%5D%22" TargetMode="External"/><Relationship Id="rId801" Type="http://schemas.openxmlformats.org/officeDocument/2006/relationships/hyperlink" Target="https://github.com/TheGoatIA/univers_barca_mobile/issues?q=is%3Aissue+%22%5BMOB-E-08%5D%22" TargetMode="External"/><Relationship Id="rId802" Type="http://schemas.openxmlformats.org/officeDocument/2006/relationships/hyperlink" Target="https://github.com/TheGoatIA/univers_barca_mobile/issues?q=is%3Aissue+%22%5BMOB-E-09%5D%22" TargetMode="External"/><Relationship Id="rId803" Type="http://schemas.openxmlformats.org/officeDocument/2006/relationships/hyperlink" Target="https://github.com/TheGoatIA/univers_barca_mobile/issues?q=is%3Aissue+%22%5BMOB-E-10%5D%22" TargetMode="External"/><Relationship Id="rId804" Type="http://schemas.openxmlformats.org/officeDocument/2006/relationships/hyperlink" Target="https://github.com/TheGoatIA/univers_barca_mobile/issues?q=is%3Aissue+%22%5BMOB-E-11%5D%22" TargetMode="External"/><Relationship Id="rId805" Type="http://schemas.openxmlformats.org/officeDocument/2006/relationships/hyperlink" Target="https://github.com/TheGoatIA/univers_barca_mobile/issues?q=is%3Aissue+%22%5BMOB-E-12%5D%22" TargetMode="External"/><Relationship Id="rId806" Type="http://schemas.openxmlformats.org/officeDocument/2006/relationships/hyperlink" Target="https://github.com/TheGoatIA/univers_barca_mobile/issues?q=is%3Aissue+%22%5BMOB-E-13%5D%22" TargetMode="External"/><Relationship Id="rId807" Type="http://schemas.openxmlformats.org/officeDocument/2006/relationships/hyperlink" Target="https://github.com/TheGoatIA/univers_barca_mobile/issues?q=is%3Aissue+%22%5BMOB-E-14%5D%22" TargetMode="External"/><Relationship Id="rId808" Type="http://schemas.openxmlformats.org/officeDocument/2006/relationships/hyperlink" Target="https://github.com/TheGoatIA/univers_barca_mobile/issues?q=is%3Aissue+%22%5BMOB-E-15%5D%22" TargetMode="External"/><Relationship Id="rId809" Type="http://schemas.openxmlformats.org/officeDocument/2006/relationships/hyperlink" Target="https://github.com/TheGoatIA/univers_barca_mobile/issues?q=is%3Aissue+%22%5BMOB-E-16%5D%22" TargetMode="External"/><Relationship Id="rId810" Type="http://schemas.openxmlformats.org/officeDocument/2006/relationships/hyperlink" Target="https://github.com/TheGoatIA/univers_barca_mobile/issues?q=is%3Aissue+%22%5BMOB-E-17%5D%22" TargetMode="External"/><Relationship Id="rId811" Type="http://schemas.openxmlformats.org/officeDocument/2006/relationships/hyperlink" Target="https://github.com/TheGoatIA/univers_barca_mobile/issues?q=is%3Aissue+%22%5BMOB-E-18%5D%22" TargetMode="External"/><Relationship Id="rId812" Type="http://schemas.openxmlformats.org/officeDocument/2006/relationships/hyperlink" Target="https://github.com/TheGoatIA/univers_barca_mobile/issues?q=is%3Aissue+%22%5BMOB-E-19%5D%22" TargetMode="External"/><Relationship Id="rId813" Type="http://schemas.openxmlformats.org/officeDocument/2006/relationships/hyperlink" Target="https://github.com/TheGoatIA/univers_barca_mobile/issues?q=is%3Aissue+%22%5BMOB-E-20%5D%22" TargetMode="External"/><Relationship Id="rId814" Type="http://schemas.openxmlformats.org/officeDocument/2006/relationships/hyperlink" Target="https://github.com/TheGoatIA/univers_barca_mobile/issues?q=is%3Aissue+%22%5BMOB-E-21%5D%22" TargetMode="External"/><Relationship Id="rId815" Type="http://schemas.openxmlformats.org/officeDocument/2006/relationships/hyperlink" Target="https://github.com/TheGoatIA/univers_barca_mobile/issues?q=is%3Aissue+%22%5BMOB-E-22%5D%22" TargetMode="External"/><Relationship Id="rId816" Type="http://schemas.openxmlformats.org/officeDocument/2006/relationships/hyperlink" Target="https://github.com/TheGoatIA/univers_barca_mobile/issues?q=is%3Aissue+%22%5BMOB-E-23%5D%22" TargetMode="External"/><Relationship Id="rId817" Type="http://schemas.openxmlformats.org/officeDocument/2006/relationships/hyperlink" Target="https://github.com/TheGoatIA/univers_barca_mobile/issues?q=is%3Aissue+%22%5BMOB-E-24%5D%22" TargetMode="External"/><Relationship Id="rId818" Type="http://schemas.openxmlformats.org/officeDocument/2006/relationships/hyperlink" Target="https://github.com/TheGoatIA/univers_barca_mobile/issues?q=is%3Aissue+%22%5BMOB-E-25%5D%22" TargetMode="External"/><Relationship Id="rId819" Type="http://schemas.openxmlformats.org/officeDocument/2006/relationships/hyperlink" Target="https://github.com/TheGoatIA/univers_barca_mobile/issues?q=is%3Aissue+%22%5BMOB-E-26%5D%22" TargetMode="External"/><Relationship Id="rId820" Type="http://schemas.openxmlformats.org/officeDocument/2006/relationships/hyperlink" Target="https://github.com/TheGoatIA/univers_barca_mobile/issues?q=is%3Aissue+%22%5BMOB-E-27%5D%22" TargetMode="External"/><Relationship Id="rId821" Type="http://schemas.openxmlformats.org/officeDocument/2006/relationships/hyperlink" Target="https://github.com/TheGoatIA/univers_barca_mobile/issues?q=is%3Aissue+%22%5BMOB-E-28%5D%22" TargetMode="External"/><Relationship Id="rId822" Type="http://schemas.openxmlformats.org/officeDocument/2006/relationships/hyperlink" Target="https://github.com/TheGoatIA/univers_barca_mobile/issues?q=is%3Aissue+%22%5BMOB-E-29%5D%22" TargetMode="External"/><Relationship Id="rId823" Type="http://schemas.openxmlformats.org/officeDocument/2006/relationships/hyperlink" Target="https://github.com/TheGoatIA/univers_barca_mobile/issues?q=is%3Aissue+%22%5BMOB-E-30%5D%22" TargetMode="External"/><Relationship Id="rId824" Type="http://schemas.openxmlformats.org/officeDocument/2006/relationships/hyperlink" Target="https://github.com/TheGoatIA/univers_barca_mobile/issues?q=is%3Aissue+%22%5BMOB-E-31%5D%22" TargetMode="External"/><Relationship Id="rId825" Type="http://schemas.openxmlformats.org/officeDocument/2006/relationships/hyperlink" Target="https://github.com/TheGoatIA/univers_barca_mobile/issues?q=is%3Aissue+%22%5BMOB-E-32%5D%22" TargetMode="External"/><Relationship Id="rId826" Type="http://schemas.openxmlformats.org/officeDocument/2006/relationships/hyperlink" Target="https://github.com/TheGoatIA/univers_barca_mobile/issues?q=is%3Aissue+%22%5BMOB-E-33%5D%22" TargetMode="External"/><Relationship Id="rId827" Type="http://schemas.openxmlformats.org/officeDocument/2006/relationships/hyperlink" Target="https://github.com/TheGoatIA/univers_barca_mobile/issues?q=is%3Aissue+%22%5BMOB-E-34%5D%22" TargetMode="External"/><Relationship Id="rId828" Type="http://schemas.openxmlformats.org/officeDocument/2006/relationships/hyperlink" Target="https://github.com/TheGoatIA/univers_barca_mobile/issues?q=is%3Aissue+%22%5BMOB-N-01%5D%22" TargetMode="External"/><Relationship Id="rId829" Type="http://schemas.openxmlformats.org/officeDocument/2006/relationships/hyperlink" Target="https://github.com/TheGoatIA/univers_barca_mobile/issues?q=is%3Aissue+%22%5BMOB-N-02%5D%22" TargetMode="External"/><Relationship Id="rId830" Type="http://schemas.openxmlformats.org/officeDocument/2006/relationships/hyperlink" Target="https://github.com/TheGoatIA/univers_barca_mobile/issues?q=is%3Aissue+%22%5BMOB-N-03%5D%22" TargetMode="External"/><Relationship Id="rId831" Type="http://schemas.openxmlformats.org/officeDocument/2006/relationships/hyperlink" Target="https://github.com/TheGoatIA/univers_barca_mobile/issues?q=is%3Aissue+%22%5BMOB-N-04%5D%22" TargetMode="External"/><Relationship Id="rId832" Type="http://schemas.openxmlformats.org/officeDocument/2006/relationships/hyperlink" Target="https://github.com/TheGoatIA/univers_barca_mobile/issues?q=is%3Aissue+%22%5BMOB-N-05%5D%22" TargetMode="External"/><Relationship Id="rId833" Type="http://schemas.openxmlformats.org/officeDocument/2006/relationships/hyperlink" Target="https://github.com/TheGoatIA/univers_barca_mobile/issues?q=is%3Aissue+%22%5BMOB-N-06%5D%22" TargetMode="External"/><Relationship Id="rId834" Type="http://schemas.openxmlformats.org/officeDocument/2006/relationships/hyperlink" Target="https://github.com/TheGoatIA/univers_barca_mobile/issues?q=is%3Aissue+%22%5BMOB-N-07%5D%22" TargetMode="External"/><Relationship Id="rId835" Type="http://schemas.openxmlformats.org/officeDocument/2006/relationships/hyperlink" Target="https://github.com/TheGoatIA/univers_barca_mobile/issues?q=is%3Aissue+%22%5BMOB-N-08%5D%22" TargetMode="External"/><Relationship Id="rId836" Type="http://schemas.openxmlformats.org/officeDocument/2006/relationships/hyperlink" Target="https://github.com/TheGoatIA/univers_barca_mobile/issues?q=is%3Aissue+%22%5BMOB-N-09%5D%22" TargetMode="External"/><Relationship Id="rId837" Type="http://schemas.openxmlformats.org/officeDocument/2006/relationships/hyperlink" Target="https://github.com/TheGoatIA/univers_barca_mobile/issues?q=is%3Aissue+%22%5BMOB-N-10%5D%22" TargetMode="External"/><Relationship Id="rId838" Type="http://schemas.openxmlformats.org/officeDocument/2006/relationships/hyperlink" Target="https://github.com/TheGoatIA/univers_barca_mobile/issues?q=is%3Aissue+%22%5BMOB-N-11%5D%22" TargetMode="External"/><Relationship Id="rId839" Type="http://schemas.openxmlformats.org/officeDocument/2006/relationships/hyperlink" Target="https://github.com/TheGoatIA/univers_barca_mobile/issues?q=is%3Aissue+%22%5BMOB-N-12%5D%22" TargetMode="External"/><Relationship Id="rId840" Type="http://schemas.openxmlformats.org/officeDocument/2006/relationships/hyperlink" Target="https://github.com/TheGoatIA/univers_barca_mobile/issues?q=is%3Aissue+%22%5BMOB-N-13%5D%22" TargetMode="External"/><Relationship Id="rId841" Type="http://schemas.openxmlformats.org/officeDocument/2006/relationships/hyperlink" Target="https://github.com/TheGoatIA/univers_barca_mobile/issues?q=is%3Aissue+%22%5BMOB-N-14%5D%22" TargetMode="External"/><Relationship Id="rId842" Type="http://schemas.openxmlformats.org/officeDocument/2006/relationships/hyperlink" Target="https://github.com/TheGoatIA/univers_barca_mobile/issues?q=is%3Aissue+%22%5BMOB-N-15%5D%22" TargetMode="External"/><Relationship Id="rId843" Type="http://schemas.openxmlformats.org/officeDocument/2006/relationships/hyperlink" Target="https://github.com/TheGoatIA/univers_barca_mobile/issues?q=is%3Aissue+%22%5BMOB-N-16%5D%22" TargetMode="External"/><Relationship Id="rId844" Type="http://schemas.openxmlformats.org/officeDocument/2006/relationships/hyperlink" Target="https://github.com/TheGoatIA/univers_barca_mobile/issues?q=is%3Aissue+%22%5BMOB-N-17%5D%22" TargetMode="External"/><Relationship Id="rId845" Type="http://schemas.openxmlformats.org/officeDocument/2006/relationships/hyperlink" Target="https://github.com/TheGoatIA/univers_barca_mobile/issues?q=is%3Aissue+%22%5BMOB-N-18%5D%22" TargetMode="External"/><Relationship Id="rId846" Type="http://schemas.openxmlformats.org/officeDocument/2006/relationships/hyperlink" Target="https://github.com/TheGoatIA/univers_barca_mobile/issues?q=is%3Aissue+%22%5BMOB-N-19%5D%22" TargetMode="External"/><Relationship Id="rId847" Type="http://schemas.openxmlformats.org/officeDocument/2006/relationships/hyperlink" Target="https://github.com/TheGoatIA/univers_barca_mobile/issues?q=is%3Aissue+%22%5BMOB-N-20%5D%22" TargetMode="External"/><Relationship Id="rId848" Type="http://schemas.openxmlformats.org/officeDocument/2006/relationships/hyperlink" Target="https://github.com/TheGoatIA/univers_barca_mobile/issues?q=is%3Aissue+%22%5BMOB-N-21%5D%22" TargetMode="External"/><Relationship Id="rId849" Type="http://schemas.openxmlformats.org/officeDocument/2006/relationships/hyperlink" Target="https://github.com/TheGoatIA/univers_barca_mobile/issues?q=is%3Aissue+%22%5BMOB-N-22%5D%22" TargetMode="External"/><Relationship Id="rId850" Type="http://schemas.openxmlformats.org/officeDocument/2006/relationships/hyperlink" Target="https://github.com/TheGoatIA/univers_barca_mobile/issues?q=is%3Aissue+%22%5BMOB-N-23%5D%22" TargetMode="External"/><Relationship Id="rId851" Type="http://schemas.openxmlformats.org/officeDocument/2006/relationships/hyperlink" Target="https://github.com/TheGoatIA/univers_barca_mobile/issues?q=is%3Aissue+%22%5BMOB-N-24%5D%22" TargetMode="External"/><Relationship Id="rId852" Type="http://schemas.openxmlformats.org/officeDocument/2006/relationships/hyperlink" Target="https://github.com/TheGoatIA/univers_barca_mobile/issues?q=is%3Aissue+%22%5BMOB-N-25%5D%22" TargetMode="External"/><Relationship Id="rId853" Type="http://schemas.openxmlformats.org/officeDocument/2006/relationships/hyperlink" Target="https://github.com/TheGoatIA/univers_barca_mobile/issues?q=is%3Aissue+%22%5BMOB-N-26%5D%22" TargetMode="External"/><Relationship Id="rId854" Type="http://schemas.openxmlformats.org/officeDocument/2006/relationships/hyperlink" Target="https://github.com/TheGoatIA/univers_barca_mobile/issues?q=is%3Aissue+%22%5BMOB-N-27%5D%22" TargetMode="External"/><Relationship Id="rId855" Type="http://schemas.openxmlformats.org/officeDocument/2006/relationships/hyperlink" Target="https://github.com/TheGoatIA/univers_barca_mobile/issues?q=is%3Aissue+%22%5BMOB-N-28%5D%22" TargetMode="External"/><Relationship Id="rId856" Type="http://schemas.openxmlformats.org/officeDocument/2006/relationships/hyperlink" Target="https://github.com/TheGoatIA/univers_barca_mobile/issues?q=is%3Aissue+%22%5BMOB-N-29%5D%22" TargetMode="External"/><Relationship Id="rId857" Type="http://schemas.openxmlformats.org/officeDocument/2006/relationships/hyperlink" Target="https://github.com/TheGoatIA/univers_barca_mobile/issues?q=is%3Aissue+%22%5BMOB-N-30%5D%22" TargetMode="External"/><Relationship Id="rId858" Type="http://schemas.openxmlformats.org/officeDocument/2006/relationships/hyperlink" Target="https://github.com/TheGoatIA/univers_barca_mobile/issues?q=is%3Aissue+%22%5BMOB-N-31%5D%22" TargetMode="External"/><Relationship Id="rId859" Type="http://schemas.openxmlformats.org/officeDocument/2006/relationships/hyperlink" Target="https://github.com/TheGoatIA/univers_barca_mobile/issues?q=is%3Aissue+%22%5BMOB-O-01%5D%22" TargetMode="External"/><Relationship Id="rId860" Type="http://schemas.openxmlformats.org/officeDocument/2006/relationships/hyperlink" Target="https://github.com/TheGoatIA/univers_barca_mobile/issues?q=is%3Aissue+%22%5BMOB-O-02%5D%22" TargetMode="External"/><Relationship Id="rId861" Type="http://schemas.openxmlformats.org/officeDocument/2006/relationships/hyperlink" Target="https://github.com/TheGoatIA/univers_barca_mobile/issues?q=is%3Aissue+%22%5BMOB-O-03%5D%22" TargetMode="External"/><Relationship Id="rId862" Type="http://schemas.openxmlformats.org/officeDocument/2006/relationships/hyperlink" Target="https://github.com/TheGoatIA/univers_barca_mobile/issues?q=is%3Aissue+%22%5BMOB-O-04%5D%22" TargetMode="External"/><Relationship Id="rId863" Type="http://schemas.openxmlformats.org/officeDocument/2006/relationships/hyperlink" Target="https://github.com/TheGoatIA/univers_barca_mobile/issues?q=is%3Aissue+%22%5BMOB-O-05%5D%22" TargetMode="External"/><Relationship Id="rId864" Type="http://schemas.openxmlformats.org/officeDocument/2006/relationships/hyperlink" Target="https://github.com/TheGoatIA/univers_barca_mobile/issues?q=is%3Aissue+%22%5BMOB-O-06%5D%22" TargetMode="External"/><Relationship Id="rId865" Type="http://schemas.openxmlformats.org/officeDocument/2006/relationships/hyperlink" Target="https://github.com/TheGoatIA/univers_barca_mobile/issues?q=is%3Aissue+%22%5BMOB-O-07%5D%22" TargetMode="External"/><Relationship Id="rId866" Type="http://schemas.openxmlformats.org/officeDocument/2006/relationships/hyperlink" Target="https://github.com/TheGoatIA/univers_barca_mobile/issues?q=is%3Aissue+%22%5BMOB-O-08%5D%22" TargetMode="External"/><Relationship Id="rId867" Type="http://schemas.openxmlformats.org/officeDocument/2006/relationships/hyperlink" Target="https://github.com/TheGoatIA/univers_barca_mobile/issues?q=is%3Aissue+%22%5BMOB-O-09%5D%22" TargetMode="External"/><Relationship Id="rId868" Type="http://schemas.openxmlformats.org/officeDocument/2006/relationships/hyperlink" Target="https://github.com/TheGoatIA/univers_barca_mobile/issues?q=is%3Aissue+%22%5BMOB-O-10%5D%22" TargetMode="External"/><Relationship Id="rId869" Type="http://schemas.openxmlformats.org/officeDocument/2006/relationships/hyperlink" Target="https://github.com/TheGoatIA/univers_barca_mobile/issues?q=is%3Aissue+%22%5BMOB-O-11%5D%22" TargetMode="External"/><Relationship Id="rId870" Type="http://schemas.openxmlformats.org/officeDocument/2006/relationships/hyperlink" Target="https://github.com/TheGoatIA/univers_barca_mobile/issues?q=is%3Aissue+%22%5BMOB-O-12%5D%22" TargetMode="External"/><Relationship Id="rId871" Type="http://schemas.openxmlformats.org/officeDocument/2006/relationships/hyperlink" Target="https://github.com/TheGoatIA/univers_barca_mobile/issues?q=is%3Aissue+%22%5BMOB-O-13%5D%22" TargetMode="External"/><Relationship Id="rId872" Type="http://schemas.openxmlformats.org/officeDocument/2006/relationships/hyperlink" Target="https://github.com/TheGoatIA/univers_barca_mobile/issues?q=is%3Aissue+%22%5BMOB-O-14%5D%22" TargetMode="External"/><Relationship Id="rId873" Type="http://schemas.openxmlformats.org/officeDocument/2006/relationships/hyperlink" Target="https://github.com/TheGoatIA/univers_barca_mobile/issues?q=is%3Aissue+%22%5BMOB-O-15%5D%22" TargetMode="External"/><Relationship Id="rId874" Type="http://schemas.openxmlformats.org/officeDocument/2006/relationships/hyperlink" Target="https://github.com/TheGoatIA/univers_barca_mobile/issues?q=is%3Aissue+%22%5BMOB-O-16%5D%22" TargetMode="External"/><Relationship Id="rId875" Type="http://schemas.openxmlformats.org/officeDocument/2006/relationships/hyperlink" Target="https://github.com/TheGoatIA/univers_barca_mobile/issues?q=is%3Aissue+%22%5BMOB-O-17%5D%22" TargetMode="External"/><Relationship Id="rId876" Type="http://schemas.openxmlformats.org/officeDocument/2006/relationships/hyperlink" Target="https://github.com/TheGoatIA/univers_barca_mobile/issues?q=is%3Aissue+%22%5BMOB-O-18%5D%22" TargetMode="External"/><Relationship Id="rId877" Type="http://schemas.openxmlformats.org/officeDocument/2006/relationships/hyperlink" Target="https://github.com/TheGoatIA/univers_barca_mobile/issues?q=is%3Aissue+%22%5BMOB-O-19%5D%22" TargetMode="External"/><Relationship Id="rId878" Type="http://schemas.openxmlformats.org/officeDocument/2006/relationships/hyperlink" Target="https://github.com/TheGoatIA/univers_barca_mobile/issues?q=is%3Aissue+%22%5BMOB-O-20%5D%22" TargetMode="External"/><Relationship Id="rId879" Type="http://schemas.openxmlformats.org/officeDocument/2006/relationships/hyperlink" Target="https://github.com/TheGoatIA/univers_barca_mobile/issues?q=is%3Aissue+%22%5BMOB-O-21%5D%22" TargetMode="External"/><Relationship Id="rId880" Type="http://schemas.openxmlformats.org/officeDocument/2006/relationships/hyperlink" Target="https://github.com/TheGoatIA/univers_barca_mobile/issues?q=is%3Aissue+%22%5BMOB-O-22%5D%22" TargetMode="External"/><Relationship Id="rId881" Type="http://schemas.openxmlformats.org/officeDocument/2006/relationships/hyperlink" Target="https://github.com/TheGoatIA/univers_barca_mobile/issues?q=is%3Aissue+%22%5BMOB-O-23%5D%22" TargetMode="External"/><Relationship Id="rId882" Type="http://schemas.openxmlformats.org/officeDocument/2006/relationships/hyperlink" Target="https://github.com/TheGoatIA/univers_barca_mobile/issues?q=is%3Aissue+%22%5BMOB-O-24%5D%22" TargetMode="External"/><Relationship Id="rId883" Type="http://schemas.openxmlformats.org/officeDocument/2006/relationships/hyperlink" Target="https://github.com/TheGoatIA/univers_barca_mobile/issues?q=is%3Aissue+%22%5BMOB-O-25%5D%22" TargetMode="External"/><Relationship Id="rId884" Type="http://schemas.openxmlformats.org/officeDocument/2006/relationships/hyperlink" Target="https://github.com/TheGoatIA/univers_barca_mobile/issues?q=is%3Aissue+%22%5BMOB-O-26%5D%22" TargetMode="External"/><Relationship Id="rId885" Type="http://schemas.openxmlformats.org/officeDocument/2006/relationships/hyperlink" Target="https://github.com/TheGoatIA/univers_barca_mobile/issues?q=is%3Aissue+%22%5BMOB-O-27%5D%22" TargetMode="External"/><Relationship Id="rId886" Type="http://schemas.openxmlformats.org/officeDocument/2006/relationships/hyperlink" Target="https://github.com/TheGoatIA/univers_barca_mobile/issues?q=is%3Aissue+%22%5BMOB-O-28%5D%22" TargetMode="External"/><Relationship Id="rId887" Type="http://schemas.openxmlformats.org/officeDocument/2006/relationships/hyperlink" Target="https://github.com/TheGoatIA/univers_barca_mobile/issues?q=is%3Aissue+%22%5BMOB-G-01%5D%22" TargetMode="External"/><Relationship Id="rId888" Type="http://schemas.openxmlformats.org/officeDocument/2006/relationships/hyperlink" Target="https://github.com/TheGoatIA/univers_barca_mobile/issues?q=is%3Aissue+%22%5BMOB-G-02%5D%22" TargetMode="External"/><Relationship Id="rId889" Type="http://schemas.openxmlformats.org/officeDocument/2006/relationships/hyperlink" Target="https://github.com/TheGoatIA/univers_barca_mobile/issues?q=is%3Aissue+%22%5BMOB-G-03%5D%22" TargetMode="External"/><Relationship Id="rId890" Type="http://schemas.openxmlformats.org/officeDocument/2006/relationships/hyperlink" Target="https://github.com/TheGoatIA/univers_barca_mobile/issues?q=is%3Aissue+%22%5BMOB-G-04%5D%22" TargetMode="External"/><Relationship Id="rId891" Type="http://schemas.openxmlformats.org/officeDocument/2006/relationships/hyperlink" Target="https://github.com/TheGoatIA/univers_barca_mobile/issues?q=is%3Aissue+%22%5BMOB-G-05%5D%22" TargetMode="External"/><Relationship Id="rId892" Type="http://schemas.openxmlformats.org/officeDocument/2006/relationships/hyperlink" Target="https://github.com/TheGoatIA/univers_barca_mobile/issues?q=is%3Aissue+%22%5BMOB-G-06%5D%22" TargetMode="External"/><Relationship Id="rId893" Type="http://schemas.openxmlformats.org/officeDocument/2006/relationships/hyperlink" Target="https://github.com/TheGoatIA/univers_barca_mobile/issues?q=is%3Aissue+%22%5BMOB-G-07%5D%22" TargetMode="External"/><Relationship Id="rId894" Type="http://schemas.openxmlformats.org/officeDocument/2006/relationships/hyperlink" Target="https://github.com/TheGoatIA/univers_barca_mobile/issues?q=is%3Aissue+%22%5BMOB-G-08%5D%22" TargetMode="External"/><Relationship Id="rId895" Type="http://schemas.openxmlformats.org/officeDocument/2006/relationships/hyperlink" Target="https://github.com/TheGoatIA/univers_barca_mobile/issues?q=is%3Aissue+%22%5BMOB-G-09%5D%22" TargetMode="External"/><Relationship Id="rId896" Type="http://schemas.openxmlformats.org/officeDocument/2006/relationships/hyperlink" Target="https://github.com/TheGoatIA/univers_barca_mobile/issues?q=is%3Aissue+%22%5BMOB-G-10%5D%22" TargetMode="External"/><Relationship Id="rId897" Type="http://schemas.openxmlformats.org/officeDocument/2006/relationships/hyperlink" Target="https://github.com/TheGoatIA/univers_barca_mobile/issues?q=is%3Aissue+%22%5BMOB-G-11%5D%22" TargetMode="External"/><Relationship Id="rId898" Type="http://schemas.openxmlformats.org/officeDocument/2006/relationships/hyperlink" Target="https://github.com/TheGoatIA/univers_barca_mobile/issues?q=is%3Aissue+%22%5BMOB-G-12%5D%22" TargetMode="External"/><Relationship Id="rId899" Type="http://schemas.openxmlformats.org/officeDocument/2006/relationships/hyperlink" Target="https://github.com/TheGoatIA/univers_barca_mobile/issues?q=is%3Aissue+%22%5BMOB-G-13%5D%22" TargetMode="External"/><Relationship Id="rId900" Type="http://schemas.openxmlformats.org/officeDocument/2006/relationships/hyperlink" Target="https://github.com/TheGoatIA/univers_barca_mobile/issues?q=is%3Aissue+%22%5BMOB-G-14%5D%22" TargetMode="External"/><Relationship Id="rId901" Type="http://schemas.openxmlformats.org/officeDocument/2006/relationships/hyperlink" Target="https://github.com/TheGoatIA/univers_barca_mobile/issues?q=is%3Aissue+%22%5BMOB-G-15%5D%22" TargetMode="External"/><Relationship Id="rId902" Type="http://schemas.openxmlformats.org/officeDocument/2006/relationships/hyperlink" Target="https://github.com/TheGoatIA/univers_barca_mobile/issues?q=is%3Aissue+%22%5BMOB-G-16%5D%22" TargetMode="External"/><Relationship Id="rId903" Type="http://schemas.openxmlformats.org/officeDocument/2006/relationships/hyperlink" Target="https://github.com/TheGoatIA/univers_barca_mobile/issues?q=is%3Aissue+%22%5BMOB-G-17%5D%22" TargetMode="External"/><Relationship Id="rId904" Type="http://schemas.openxmlformats.org/officeDocument/2006/relationships/hyperlink" Target="https://github.com/TheGoatIA/univers_barca_mobile/issues?q=is%3Aissue+%22%5BMOB-H-01%5D%22" TargetMode="External"/><Relationship Id="rId905" Type="http://schemas.openxmlformats.org/officeDocument/2006/relationships/hyperlink" Target="https://github.com/TheGoatIA/univers_barca_mobile/issues?q=is%3Aissue+%22%5BMOB-H-02%5D%22" TargetMode="External"/><Relationship Id="rId906" Type="http://schemas.openxmlformats.org/officeDocument/2006/relationships/hyperlink" Target="https://github.com/TheGoatIA/univers_barca_mobile/issues?q=is%3Aissue+%22%5BMOB-H-03%5D%22" TargetMode="External"/><Relationship Id="rId907" Type="http://schemas.openxmlformats.org/officeDocument/2006/relationships/hyperlink" Target="https://github.com/TheGoatIA/univers_barca_mobile/issues?q=is%3Aissue+%22%5BMOB-H-04%5D%22" TargetMode="External"/><Relationship Id="rId908" Type="http://schemas.openxmlformats.org/officeDocument/2006/relationships/hyperlink" Target="https://github.com/TheGoatIA/univers_barca_mobile/issues?q=is%3Aissue+%22%5BMOB-H-05%5D%22" TargetMode="External"/><Relationship Id="rId909" Type="http://schemas.openxmlformats.org/officeDocument/2006/relationships/hyperlink" Target="https://github.com/TheGoatIA/univers_barca_mobile/issues?q=is%3Aissue+%22%5BMOB-H-06%5D%22" TargetMode="External"/><Relationship Id="rId910" Type="http://schemas.openxmlformats.org/officeDocument/2006/relationships/hyperlink" Target="https://github.com/TheGoatIA/univers_barca_mobile/issues?q=is%3Aissue+%22%5BMOB-H-07%5D%22" TargetMode="External"/><Relationship Id="rId911" Type="http://schemas.openxmlformats.org/officeDocument/2006/relationships/hyperlink" Target="https://github.com/TheGoatIA/univers_barca_mobile/issues?q=is%3Aissue+%22%5BMOB-H-08%5D%22" TargetMode="External"/><Relationship Id="rId912" Type="http://schemas.openxmlformats.org/officeDocument/2006/relationships/hyperlink" Target="https://github.com/TheGoatIA/univers_barca_mobile/issues?q=is%3Aissue+%22%5BMOB-H-09%5D%22" TargetMode="External"/><Relationship Id="rId913" Type="http://schemas.openxmlformats.org/officeDocument/2006/relationships/hyperlink" Target="https://github.com/TheGoatIA/univers_barca_mobile/issues?q=is%3Aissue+%22%5BMOB-H-10%5D%22" TargetMode="External"/><Relationship Id="rId914" Type="http://schemas.openxmlformats.org/officeDocument/2006/relationships/hyperlink" Target="https://github.com/TheGoatIA/univers_barca_mobile/issues?q=is%3Aissue+%22%5BMOB-H-11%5D%22" TargetMode="External"/><Relationship Id="rId915" Type="http://schemas.openxmlformats.org/officeDocument/2006/relationships/hyperlink" Target="https://github.com/TheGoatIA/univers_barca_mobile/issues?q=is%3Aissue+%22%5BMOB-H-12%5D%22" TargetMode="External"/><Relationship Id="rId916" Type="http://schemas.openxmlformats.org/officeDocument/2006/relationships/hyperlink" Target="https://github.com/TheGoatIA/univers_barca_mobile/issues?q=is%3Aissue+%22%5BMOB-H-13%5D%22" TargetMode="External"/><Relationship Id="rId917" Type="http://schemas.openxmlformats.org/officeDocument/2006/relationships/hyperlink" Target="https://github.com/TheGoatIA/univers_barca_mobile/issues?q=is%3Aissue+%22%5BMOB-H-14%5D%22" TargetMode="External"/><Relationship Id="rId918" Type="http://schemas.openxmlformats.org/officeDocument/2006/relationships/hyperlink" Target="https://github.com/TheGoatIA/univers_barca_mobile/issues?q=is%3Aissue+%22%5BMOB-H-15%5D%22" TargetMode="External"/><Relationship Id="rId919" Type="http://schemas.openxmlformats.org/officeDocument/2006/relationships/hyperlink" Target="https://github.com/TheGoatIA/univers_barca_mobile/issues?q=is%3Aissue+%22%5BMOB-H-16%5D%22" TargetMode="External"/><Relationship Id="rId920" Type="http://schemas.openxmlformats.org/officeDocument/2006/relationships/hyperlink" Target="https://github.com/TheGoatIA/univers_barca_mobile/issues?q=is%3Aissue+%22%5BMOB-H-17%5D%22" TargetMode="External"/><Relationship Id="rId921" Type="http://schemas.openxmlformats.org/officeDocument/2006/relationships/hyperlink" Target="https://github.com/TheGoatIA/univers_barca_mobile/issues?q=is%3Aissue+%22%5BMOB-H-18%5D%22" TargetMode="External"/><Relationship Id="rId922" Type="http://schemas.openxmlformats.org/officeDocument/2006/relationships/hyperlink" Target="https://github.com/TheGoatIA/univers_barca_mobile/issues?q=is%3Aissue+%22%5BMOB-H-19%5D%22" TargetMode="External"/><Relationship Id="rId923" Type="http://schemas.openxmlformats.org/officeDocument/2006/relationships/hyperlink" Target="https://github.com/TheGoatIA/univers_barca_mobile/issues?q=is%3Aissue+%22%5BMOB-H-20%5D%22" TargetMode="External"/><Relationship Id="rId924" Type="http://schemas.openxmlformats.org/officeDocument/2006/relationships/hyperlink" Target="https://github.com/TheGoatIA/univers_barca_mobile/issues?q=is%3Aissue+%22%5BMOB-H-21%5D%22" TargetMode="External"/><Relationship Id="rId925" Type="http://schemas.openxmlformats.org/officeDocument/2006/relationships/hyperlink" Target="https://github.com/TheGoatIA/univers_barca_mobile/issues?q=is%3Aissue+%22%5BMOB-H-22%5D%22" TargetMode="External"/><Relationship Id="rId926" Type="http://schemas.openxmlformats.org/officeDocument/2006/relationships/hyperlink" Target="https://github.com/TheGoatIA/univers_barca_mobile/issues?q=is%3Aissue+%22%5BMOB-H-23%5D%22" TargetMode="External"/><Relationship Id="rId927" Type="http://schemas.openxmlformats.org/officeDocument/2006/relationships/hyperlink" Target="https://github.com/TheGoatIA/univers_barca_mobile/issues?q=is%3Aissue+%22%5BMOB-H-24%5D%22" TargetMode="External"/><Relationship Id="rId928" Type="http://schemas.openxmlformats.org/officeDocument/2006/relationships/hyperlink" Target="https://github.com/TheGoatIA/univers_barca_mobile/issues?q=is%3Aissue+%22%5BMOB-H-25%5D%22" TargetMode="External"/><Relationship Id="rId929" Type="http://schemas.openxmlformats.org/officeDocument/2006/relationships/hyperlink" Target="https://github.com/TheGoatIA/univers_barca_mobile/issues?q=is%3Aissue+%22%5BMOB-H-26%5D%22" TargetMode="External"/><Relationship Id="rId930" Type="http://schemas.openxmlformats.org/officeDocument/2006/relationships/hyperlink" Target="https://github.com/TheGoatIA/univers_barca_mobile/issues?q=is%3Aissue+%22%5BMOB-H-27%5D%22" TargetMode="External"/><Relationship Id="rId931" Type="http://schemas.openxmlformats.org/officeDocument/2006/relationships/hyperlink" Target="https://github.com/TheGoatIA/univers_barca_mobile/issues?q=is%3Aissue+%22%5BMOB-H-28%5D%22" TargetMode="External"/><Relationship Id="rId932" Type="http://schemas.openxmlformats.org/officeDocument/2006/relationships/hyperlink" Target="https://github.com/TheGoatIA/univers_barca_mobile/issues?q=is%3Aissue+%22%5BMOB-H-29%5D%22" TargetMode="External"/><Relationship Id="rId933" Type="http://schemas.openxmlformats.org/officeDocument/2006/relationships/hyperlink" Target="https://github.com/TheGoatIA/univers_barca_mobile/issues?q=is%3Aissue+%22%5BMOB-H-30%5D%22" TargetMode="External"/><Relationship Id="rId934" Type="http://schemas.openxmlformats.org/officeDocument/2006/relationships/hyperlink" Target="https://github.com/TheGoatIA/univers_barca_mobile/issues?q=is%3Aissue+%22%5BMOB-H-31%5D%22" TargetMode="External"/><Relationship Id="rId935" Type="http://schemas.openxmlformats.org/officeDocument/2006/relationships/hyperlink" Target="https://github.com/TheGoatIA/univers_barca_mobile/issues?q=is%3Aissue+%22%5BMOB-H-32%5D%22" TargetMode="External"/><Relationship Id="rId936" Type="http://schemas.openxmlformats.org/officeDocument/2006/relationships/hyperlink" Target="https://github.com/TheGoatIA/univers_barca_mobile/issues?q=is%3Aissue+%22%5BMOB-H-33%5D%22" TargetMode="External"/><Relationship Id="rId937" Type="http://schemas.openxmlformats.org/officeDocument/2006/relationships/hyperlink" Target="https://github.com/TheGoatIA/univers_barca_mobile/issues?q=is%3Aissue+%22%5BMOB-H-34%5D%22" TargetMode="External"/><Relationship Id="rId938" Type="http://schemas.openxmlformats.org/officeDocument/2006/relationships/hyperlink" Target="https://github.com/TheGoatIA/univers_barca_mobile/issues?q=is%3Aissue+%22%5BMOB-H-35%5D%22" TargetMode="External"/><Relationship Id="rId939" Type="http://schemas.openxmlformats.org/officeDocument/2006/relationships/hyperlink" Target="https://github.com/TheGoatIA/univers_barca_mobile/issues?q=is%3Aissue+%22%5BMOB-J-01%5D%22" TargetMode="External"/><Relationship Id="rId940" Type="http://schemas.openxmlformats.org/officeDocument/2006/relationships/hyperlink" Target="https://github.com/TheGoatIA/univers_barca_mobile/issues?q=is%3Aissue+%22%5BMOB-J-02%5D%22" TargetMode="External"/><Relationship Id="rId941" Type="http://schemas.openxmlformats.org/officeDocument/2006/relationships/hyperlink" Target="https://github.com/TheGoatIA/univers_barca_mobile/issues?q=is%3Aissue+%22%5BMOB-J-03%5D%22" TargetMode="External"/><Relationship Id="rId942" Type="http://schemas.openxmlformats.org/officeDocument/2006/relationships/hyperlink" Target="https://github.com/TheGoatIA/univers_barca_mobile/issues?q=is%3Aissue+%22%5BMOB-J-04%5D%22" TargetMode="External"/><Relationship Id="rId943" Type="http://schemas.openxmlformats.org/officeDocument/2006/relationships/hyperlink" Target="https://github.com/TheGoatIA/univers_barca_mobile/issues?q=is%3Aissue+%22%5BMOB-J-05%5D%22" TargetMode="External"/><Relationship Id="rId944" Type="http://schemas.openxmlformats.org/officeDocument/2006/relationships/hyperlink" Target="https://github.com/TheGoatIA/univers_barca_mobile/issues?q=is%3Aissue+%22%5BMOB-J-06%5D%22" TargetMode="External"/><Relationship Id="rId945" Type="http://schemas.openxmlformats.org/officeDocument/2006/relationships/hyperlink" Target="https://github.com/TheGoatIA/univers_barca_mobile/issues?q=is%3Aissue+%22%5BMOB-J-07%5D%22" TargetMode="External"/><Relationship Id="rId946" Type="http://schemas.openxmlformats.org/officeDocument/2006/relationships/hyperlink" Target="https://github.com/TheGoatIA/univers_barca_mobile/issues?q=is%3Aissue+%22%5BMOB-J-08%5D%22" TargetMode="External"/><Relationship Id="rId947" Type="http://schemas.openxmlformats.org/officeDocument/2006/relationships/hyperlink" Target="https://github.com/TheGoatIA/univers_barca_mobile/issues?q=is%3Aissue+%22%5BMOB-J-09%5D%22" TargetMode="External"/><Relationship Id="rId948" Type="http://schemas.openxmlformats.org/officeDocument/2006/relationships/hyperlink" Target="https://github.com/TheGoatIA/univers_barca_mobile/issues?q=is%3Aissue+%22%5BMOB-J-10%5D%22" TargetMode="External"/><Relationship Id="rId949" Type="http://schemas.openxmlformats.org/officeDocument/2006/relationships/hyperlink" Target="https://github.com/TheGoatIA/univers_barca_mobile/issues?q=is%3Aissue+%22%5BMOB-J-11%5D%22" TargetMode="External"/><Relationship Id="rId950" Type="http://schemas.openxmlformats.org/officeDocument/2006/relationships/hyperlink" Target="https://github.com/TheGoatIA/univers_barca_mobile/issues?q=is%3Aissue+%22%5BMOB-J-12%5D%22" TargetMode="External"/><Relationship Id="rId951" Type="http://schemas.openxmlformats.org/officeDocument/2006/relationships/hyperlink" Target="https://github.com/TheGoatIA/univers_barca_mobile/issues?q=is%3Aissue+%22%5BMOB-J-13%5D%22" TargetMode="External"/><Relationship Id="rId952" Type="http://schemas.openxmlformats.org/officeDocument/2006/relationships/hyperlink" Target="https://github.com/TheGoatIA/univers_barca_mobile/issues?q=is%3Aissue+%22%5BMOB-J-14%5D%22" TargetMode="External"/><Relationship Id="rId953" Type="http://schemas.openxmlformats.org/officeDocument/2006/relationships/hyperlink" Target="https://github.com/TheGoatIA/univers_barca_mobile/issues?q=is%3Aissue+%22%5BMOB-J-15%5D%22" TargetMode="External"/><Relationship Id="rId954" Type="http://schemas.openxmlformats.org/officeDocument/2006/relationships/hyperlink" Target="https://github.com/TheGoatIA/univers_barca_mobile/issues?q=is%3Aissue+%22%5BMOB-J-16%5D%22" TargetMode="External"/><Relationship Id="rId955" Type="http://schemas.openxmlformats.org/officeDocument/2006/relationships/hyperlink" Target="https://github.com/TheGoatIA/univers_barca_mobile/issues?q=is%3Aissue+%22%5BMOB-J-17%5D%22" TargetMode="External"/><Relationship Id="rId956" Type="http://schemas.openxmlformats.org/officeDocument/2006/relationships/hyperlink" Target="https://github.com/TheGoatIA/univers_barca_mobile/issues?q=is%3Aissue+%22%5BMOB-J-18%5D%22" TargetMode="External"/><Relationship Id="rId957" Type="http://schemas.openxmlformats.org/officeDocument/2006/relationships/hyperlink" Target="https://github.com/TheGoatIA/univers_barca_mobile/issues?q=is%3Aissue+%22%5BMOB-J-19%5D%22" TargetMode="External"/><Relationship Id="rId958" Type="http://schemas.openxmlformats.org/officeDocument/2006/relationships/hyperlink" Target="https://github.com/TheGoatIA/univers_barca_mobile/issues?q=is%3Aissue+%22%5BMOB-J-20%5D%22" TargetMode="External"/><Relationship Id="rId959" Type="http://schemas.openxmlformats.org/officeDocument/2006/relationships/hyperlink" Target="https://github.com/TheGoatIA/univers_barca_mobile/issues?q=is%3Aissue+%22%5BMOB-J-21%5D%22" TargetMode="External"/><Relationship Id="rId960" Type="http://schemas.openxmlformats.org/officeDocument/2006/relationships/hyperlink" Target="https://github.com/TheGoatIA/univers_barca_mobile/issues?q=is%3Aissue+%22%5BMOB-J-22%5D%22" TargetMode="External"/><Relationship Id="rId961" Type="http://schemas.openxmlformats.org/officeDocument/2006/relationships/hyperlink" Target="https://github.com/TheGoatIA/univers_barca_mobile/issues?q=is%3Aissue+%22%5BMOB-J-23%5D%22" TargetMode="External"/><Relationship Id="rId962" Type="http://schemas.openxmlformats.org/officeDocument/2006/relationships/hyperlink" Target="https://github.com/TheGoatIA/univers_barca_mobile/issues?q=is%3Aissue+%22%5BMOB-J-24%5D%22" TargetMode="External"/><Relationship Id="rId963" Type="http://schemas.openxmlformats.org/officeDocument/2006/relationships/hyperlink" Target="https://github.com/TheGoatIA/univers_barca_mobile/issues?q=is%3Aissue+%22%5BMOB-J-25%5D%22" TargetMode="External"/><Relationship Id="rId964" Type="http://schemas.openxmlformats.org/officeDocument/2006/relationships/hyperlink" Target="https://github.com/TheGoatIA/univers_barca_mobile/issues?q=is%3Aissue+%22%5BMOB-J-26%5D%22" TargetMode="External"/><Relationship Id="rId965" Type="http://schemas.openxmlformats.org/officeDocument/2006/relationships/hyperlink" Target="https://github.com/TheGoatIA/univers_barca_mobile/issues?q=is%3Aissue+%22%5BMOB-J-27%5D%22" TargetMode="External"/><Relationship Id="rId966" Type="http://schemas.openxmlformats.org/officeDocument/2006/relationships/hyperlink" Target="https://github.com/TheGoatIA/univers_barca_mobile/issues?q=is%3Aissue+%22%5BMOB-K-01%5D%22" TargetMode="External"/><Relationship Id="rId967" Type="http://schemas.openxmlformats.org/officeDocument/2006/relationships/hyperlink" Target="https://github.com/TheGoatIA/univers_barca_mobile/issues?q=is%3Aissue+%22%5BMOB-K-02%5D%22" TargetMode="External"/><Relationship Id="rId968" Type="http://schemas.openxmlformats.org/officeDocument/2006/relationships/hyperlink" Target="https://github.com/TheGoatIA/univers_barca_mobile/issues?q=is%3Aissue+%22%5BMOB-K-03%5D%22" TargetMode="External"/><Relationship Id="rId969" Type="http://schemas.openxmlformats.org/officeDocument/2006/relationships/hyperlink" Target="https://github.com/TheGoatIA/univers_barca_mobile/issues?q=is%3Aissue+%22%5BMOB-K-04%5D%22" TargetMode="External"/><Relationship Id="rId970" Type="http://schemas.openxmlformats.org/officeDocument/2006/relationships/hyperlink" Target="https://github.com/TheGoatIA/univers_barca_mobile/issues?q=is%3Aissue+%22%5BMOB-K-05%5D%22" TargetMode="External"/><Relationship Id="rId971" Type="http://schemas.openxmlformats.org/officeDocument/2006/relationships/hyperlink" Target="https://github.com/TheGoatIA/univers_barca_mobile/issues?q=is%3Aissue+%22%5BMOB-K-06%5D%22" TargetMode="External"/><Relationship Id="rId972" Type="http://schemas.openxmlformats.org/officeDocument/2006/relationships/hyperlink" Target="https://github.com/TheGoatIA/univers_barca_mobile/issues?q=is%3Aissue+%22%5BMOB-K-07%5D%22" TargetMode="External"/><Relationship Id="rId973" Type="http://schemas.openxmlformats.org/officeDocument/2006/relationships/hyperlink" Target="https://github.com/TheGoatIA/univers_barca_mobile/issues?q=is%3Aissue+%22%5BMOB-K-08%5D%22" TargetMode="External"/><Relationship Id="rId974" Type="http://schemas.openxmlformats.org/officeDocument/2006/relationships/hyperlink" Target="https://github.com/TheGoatIA/univers_barca_mobile/issues?q=is%3Aissue+%22%5BMOB-K-09%5D%22" TargetMode="External"/><Relationship Id="rId975" Type="http://schemas.openxmlformats.org/officeDocument/2006/relationships/hyperlink" Target="https://github.com/TheGoatIA/univers_barca_mobile/issues?q=is%3Aissue+%22%5BMOB-K-10%5D%22" TargetMode="External"/><Relationship Id="rId976" Type="http://schemas.openxmlformats.org/officeDocument/2006/relationships/hyperlink" Target="https://github.com/TheGoatIA/univers_barca_mobile/issues?q=is%3Aissue+%22%5BMOB-K-11%5D%22" TargetMode="External"/><Relationship Id="rId977" Type="http://schemas.openxmlformats.org/officeDocument/2006/relationships/hyperlink" Target="https://github.com/TheGoatIA/univers_barca_mobile/issues?q=is%3Aissue+%22%5BMOB-K-12%5D%22" TargetMode="External"/><Relationship Id="rId978" Type="http://schemas.openxmlformats.org/officeDocument/2006/relationships/hyperlink" Target="https://github.com/TheGoatIA/univers_barca_mobile/issues?q=is%3Aissue+%22%5BMOB-K-13%5D%22" TargetMode="External"/><Relationship Id="rId979" Type="http://schemas.openxmlformats.org/officeDocument/2006/relationships/hyperlink" Target="https://github.com/TheGoatIA/univers_barca_mobile/issues?q=is%3Aissue+%22%5BMOB-K-14%5D%22" TargetMode="External"/><Relationship Id="rId980" Type="http://schemas.openxmlformats.org/officeDocument/2006/relationships/hyperlink" Target="https://github.com/TheGoatIA/univers_barca_mobile/issues?q=is%3Aissue+%22%5BMOB-K-15%5D%22" TargetMode="External"/><Relationship Id="rId981" Type="http://schemas.openxmlformats.org/officeDocument/2006/relationships/hyperlink" Target="https://github.com/TheGoatIA/univers_barca_mobile/issues?q=is%3Aissue+%22%5BMOB-K-16%5D%22" TargetMode="External"/><Relationship Id="rId982" Type="http://schemas.openxmlformats.org/officeDocument/2006/relationships/hyperlink" Target="https://github.com/TheGoatIA/univers_barca_mobile/issues?q=is%3Aissue+%22%5BMOB-K-17%5D%22" TargetMode="External"/><Relationship Id="rId983" Type="http://schemas.openxmlformats.org/officeDocument/2006/relationships/hyperlink" Target="https://github.com/TheGoatIA/univers_barca_mobile/issues?q=is%3Aissue+%22%5BMOB-K-18%5D%22" TargetMode="External"/><Relationship Id="rId984" Type="http://schemas.openxmlformats.org/officeDocument/2006/relationships/hyperlink" Target="https://github.com/TheGoatIA/univers_barca_mobile/issues?q=is%3Aissue+%22%5BMOB-K-19%5D%22" TargetMode="External"/><Relationship Id="rId985" Type="http://schemas.openxmlformats.org/officeDocument/2006/relationships/hyperlink" Target="https://github.com/TheGoatIA/univers_barca_mobile/issues?q=is%3Aissue+%22%5BMOB-K-20%5D%22" TargetMode="External"/><Relationship Id="rId986" Type="http://schemas.openxmlformats.org/officeDocument/2006/relationships/hyperlink" Target="https://github.com/TheGoatIA/univers_barca_mobile/issues?q=is%3Aissue+%22%5BMOB-K-21%5D%22" TargetMode="External"/><Relationship Id="rId987" Type="http://schemas.openxmlformats.org/officeDocument/2006/relationships/hyperlink" Target="https://github.com/TheGoatIA/univers_barca_mobile/issues?q=is%3Aissue+%22%5BMOB-K-22%5D%22" TargetMode="External"/><Relationship Id="rId988" Type="http://schemas.openxmlformats.org/officeDocument/2006/relationships/hyperlink" Target="https://github.com/TheGoatIA/univers_barca_mobile/issues?q=is%3Aissue+%22%5BMOB-K-23%5D%22" TargetMode="External"/><Relationship Id="rId989" Type="http://schemas.openxmlformats.org/officeDocument/2006/relationships/hyperlink" Target="https://github.com/TheGoatIA/univers_barca_mobile/issues?q=is%3Aissue+%22%5BMOB-K-24%5D%22" TargetMode="External"/><Relationship Id="rId990" Type="http://schemas.openxmlformats.org/officeDocument/2006/relationships/hyperlink" Target="https://github.com/TheGoatIA/univers_barca_mobile/issues?q=is%3Aissue+%22%5BMOB-K-25%5D%22" TargetMode="External"/><Relationship Id="rId991" Type="http://schemas.openxmlformats.org/officeDocument/2006/relationships/hyperlink" Target="https://github.com/TheGoatIA/univers_barca_mobile/issues?q=is%3Aissue+%22%5BMOB-K-26%5D%22" TargetMode="External"/><Relationship Id="rId992" Type="http://schemas.openxmlformats.org/officeDocument/2006/relationships/hyperlink" Target="https://github.com/TheGoatIA/univers_barca_mobile/issues?q=is%3Aissue+%22%5BMOB-K-27%5D%22" TargetMode="External"/><Relationship Id="rId993" Type="http://schemas.openxmlformats.org/officeDocument/2006/relationships/hyperlink" Target="https://github.com/TheGoatIA/univers_barca_mobile/issues?q=is%3Aissue+%22%5BMOB-K-28%5D%22" TargetMode="External"/><Relationship Id="rId994" Type="http://schemas.openxmlformats.org/officeDocument/2006/relationships/hyperlink" Target="https://github.com/TheGoatIA/univers_barca_mobile/issues?q=is%3Aissue+%22%5BMOB-K-29%5D%22" TargetMode="External"/><Relationship Id="rId995" Type="http://schemas.openxmlformats.org/officeDocument/2006/relationships/hyperlink" Target="https://github.com/TheGoatIA/univers_barca_mobile/issues?q=is%3Aissue+%22%5BMOB-K-30%5D%22" TargetMode="External"/><Relationship Id="rId996" Type="http://schemas.openxmlformats.org/officeDocument/2006/relationships/hyperlink" Target="https://github.com/TheGoatIA/univers_barca_mobile/issues?q=is%3Aissue+%22%5BMOB-K-31%5D%22" TargetMode="External"/><Relationship Id="rId997" Type="http://schemas.openxmlformats.org/officeDocument/2006/relationships/hyperlink" Target="https://github.com/TheGoatIA/univers_barca_mobile/issues?q=is%3Aissue+%22%5BMOB-P-01%5D%22" TargetMode="External"/><Relationship Id="rId998" Type="http://schemas.openxmlformats.org/officeDocument/2006/relationships/hyperlink" Target="https://github.com/TheGoatIA/univers_barca_mobile/issues?q=is%3Aissue+%22%5BMOB-P-02%5D%22" TargetMode="External"/><Relationship Id="rId999" Type="http://schemas.openxmlformats.org/officeDocument/2006/relationships/hyperlink" Target="https://github.com/TheGoatIA/univers_barca_mobile/issues?q=is%3Aissue+%22%5BMOB-P-03%5D%22" TargetMode="External"/><Relationship Id="rId1000" Type="http://schemas.openxmlformats.org/officeDocument/2006/relationships/hyperlink" Target="https://github.com/TheGoatIA/univers_barca_mobile/issues?q=is%3Aissue+%22%5BMOB-P-04%5D%22" TargetMode="External"/><Relationship Id="rId1001" Type="http://schemas.openxmlformats.org/officeDocument/2006/relationships/hyperlink" Target="https://github.com/TheGoatIA/univers_barca_mobile/issues?q=is%3Aissue+%22%5BMOB-P-05%5D%22" TargetMode="External"/><Relationship Id="rId1002" Type="http://schemas.openxmlformats.org/officeDocument/2006/relationships/hyperlink" Target="https://github.com/TheGoatIA/univers_barca_mobile/issues?q=is%3Aissue+%22%5BMOB-P-06%5D%22" TargetMode="External"/><Relationship Id="rId1003" Type="http://schemas.openxmlformats.org/officeDocument/2006/relationships/hyperlink" Target="https://github.com/TheGoatIA/univers_barca_mobile/issues?q=is%3Aissue+%22%5BMOB-P-07%5D%22" TargetMode="External"/><Relationship Id="rId1004" Type="http://schemas.openxmlformats.org/officeDocument/2006/relationships/hyperlink" Target="https://github.com/TheGoatIA/univers_barca_mobile/issues?q=is%3Aissue+%22%5BMOB-P-08%5D%22" TargetMode="External"/><Relationship Id="rId1005" Type="http://schemas.openxmlformats.org/officeDocument/2006/relationships/hyperlink" Target="https://github.com/TheGoatIA/univers_barca_mobile/issues?q=is%3Aissue+%22%5BMOB-P-09%5D%22" TargetMode="External"/><Relationship Id="rId1006" Type="http://schemas.openxmlformats.org/officeDocument/2006/relationships/hyperlink" Target="https://github.com/TheGoatIA/univers_barca_mobile/issues?q=is%3Aissue+%22%5BMOB-P-10%5D%22" TargetMode="External"/><Relationship Id="rId1007" Type="http://schemas.openxmlformats.org/officeDocument/2006/relationships/hyperlink" Target="https://github.com/TheGoatIA/univers_barca_mobile/issues?q=is%3Aissue+%22%5BMOB-P-11%5D%22" TargetMode="External"/><Relationship Id="rId1008" Type="http://schemas.openxmlformats.org/officeDocument/2006/relationships/hyperlink" Target="https://github.com/TheGoatIA/univers_barca_mobile/issues?q=is%3Aissue+%22%5BMOB-P-12%5D%22" TargetMode="External"/><Relationship Id="rId1009" Type="http://schemas.openxmlformats.org/officeDocument/2006/relationships/hyperlink" Target="https://github.com/TheGoatIA/univers_barca_mobile/issues?q=is%3Aissue+%22%5BMOB-P-13%5D%22" TargetMode="External"/><Relationship Id="rId1010" Type="http://schemas.openxmlformats.org/officeDocument/2006/relationships/hyperlink" Target="https://github.com/TheGoatIA/univers_barca_mobile/issues?q=is%3Aissue+%22%5BMOB-P-14%5D%22" TargetMode="External"/><Relationship Id="rId1011" Type="http://schemas.openxmlformats.org/officeDocument/2006/relationships/hyperlink" Target="https://github.com/TheGoatIA/univers_barca_mobile/issues?q=is%3Aissue+%22%5BMOB-P-15%5D%22" TargetMode="External"/><Relationship Id="rId1012" Type="http://schemas.openxmlformats.org/officeDocument/2006/relationships/hyperlink" Target="https://github.com/TheGoatIA/univers_barca_mobile/issues?q=is%3Aissue+%22%5BMOB-P-16%5D%22" TargetMode="External"/><Relationship Id="rId1013" Type="http://schemas.openxmlformats.org/officeDocument/2006/relationships/hyperlink" Target="https://github.com/TheGoatIA/univers_barca_mobile/issues?q=is%3Aissue+%22%5BMOB-P-17%5D%22" TargetMode="External"/><Relationship Id="rId1014" Type="http://schemas.openxmlformats.org/officeDocument/2006/relationships/hyperlink" Target="https://github.com/TheGoatIA/univers_barca_mobile/issues?q=is%3Aissue+%22%5BMOB-P-18%5D%22" TargetMode="External"/><Relationship Id="rId1015" Type="http://schemas.openxmlformats.org/officeDocument/2006/relationships/hyperlink" Target="https://github.com/TheGoatIA/univers_barca_mobile/issues?q=is%3Aissue+%22%5BMOB-P-19%5D%22" TargetMode="External"/><Relationship Id="rId1016" Type="http://schemas.openxmlformats.org/officeDocument/2006/relationships/hyperlink" Target="https://github.com/TheGoatIA/univers_barca_mobile/issues?q=is%3Aissue+%22%5BMOB-P-20%5D%22" TargetMode="External"/><Relationship Id="rId1017" Type="http://schemas.openxmlformats.org/officeDocument/2006/relationships/hyperlink" Target="https://github.com/TheGoatIA/univers_barca_mobile/issues?q=is%3Aissue+%22%5BMOB-P-21%5D%22" TargetMode="External"/><Relationship Id="rId1018" Type="http://schemas.openxmlformats.org/officeDocument/2006/relationships/hyperlink" Target="https://github.com/TheGoatIA/univers_barca_mobile/issues?q=is%3Aissue+%22%5BMOB-I-01%5D%22" TargetMode="External"/><Relationship Id="rId1019" Type="http://schemas.openxmlformats.org/officeDocument/2006/relationships/hyperlink" Target="https://github.com/TheGoatIA/univers_barca_mobile/issues?q=is%3Aissue+%22%5BMOB-I-02%5D%22" TargetMode="External"/><Relationship Id="rId1020" Type="http://schemas.openxmlformats.org/officeDocument/2006/relationships/hyperlink" Target="https://github.com/TheGoatIA/univers_barca_mobile/issues?q=is%3Aissue+%22%5BMOB-I-03%5D%22" TargetMode="External"/><Relationship Id="rId1021" Type="http://schemas.openxmlformats.org/officeDocument/2006/relationships/hyperlink" Target="https://github.com/TheGoatIA/univers_barca_mobile/issues?q=is%3Aissue+%22%5BMOB-I-04%5D%22" TargetMode="External"/><Relationship Id="rId1022" Type="http://schemas.openxmlformats.org/officeDocument/2006/relationships/hyperlink" Target="https://github.com/TheGoatIA/univers_barca_mobile/issues?q=is%3Aissue+%22%5BMOB-I-05%5D%22" TargetMode="External"/><Relationship Id="rId1023" Type="http://schemas.openxmlformats.org/officeDocument/2006/relationships/hyperlink" Target="https://github.com/TheGoatIA/univers_barca_mobile/issues?q=is%3Aissue+%22%5BMOB-I-06%5D%22" TargetMode="External"/><Relationship Id="rId1024" Type="http://schemas.openxmlformats.org/officeDocument/2006/relationships/hyperlink" Target="https://github.com/TheGoatIA/univers_barca_mobile/issues?q=is%3Aissue+%22%5BMOB-I-07%5D%22" TargetMode="External"/><Relationship Id="rId1025" Type="http://schemas.openxmlformats.org/officeDocument/2006/relationships/hyperlink" Target="https://github.com/TheGoatIA/univers_barca_mobile/issues?q=is%3Aissue+%22%5BMOB-I-08%5D%22" TargetMode="External"/><Relationship Id="rId1026" Type="http://schemas.openxmlformats.org/officeDocument/2006/relationships/hyperlink" Target="https://github.com/TheGoatIA/univers_barca_mobile/issues?q=is%3Aissue+%22%5BMOB-I-09%5D%22" TargetMode="External"/><Relationship Id="rId1027" Type="http://schemas.openxmlformats.org/officeDocument/2006/relationships/hyperlink" Target="https://github.com/TheGoatIA/univers_barca_mobile/issues?q=is%3Aissue+%22%5BMOB-I-10%5D%22" TargetMode="External"/><Relationship Id="rId1028" Type="http://schemas.openxmlformats.org/officeDocument/2006/relationships/hyperlink" Target="https://github.com/TheGoatIA/univers_barca_mobile/issues?q=is%3Aissue+%22%5BMOB-I-11%5D%22" TargetMode="External"/><Relationship Id="rId1029" Type="http://schemas.openxmlformats.org/officeDocument/2006/relationships/hyperlink" Target="https://github.com/TheGoatIA/univers_barca_mobile/issues?q=is%3Aissue+%22%5BMOB-I-12%5D%22" TargetMode="External"/><Relationship Id="rId1030" Type="http://schemas.openxmlformats.org/officeDocument/2006/relationships/hyperlink" Target="https://github.com/TheGoatIA/univers_barca_mobile/issues?q=is%3Aissue+%22%5BMOB-I-13%5D%22" TargetMode="External"/><Relationship Id="rId1031" Type="http://schemas.openxmlformats.org/officeDocument/2006/relationships/hyperlink" Target="https://github.com/TheGoatIA/univers_barca_mobile/issues?q=is%3Aissue+%22%5BMOB-I-14%5D%22" TargetMode="External"/><Relationship Id="rId1032" Type="http://schemas.openxmlformats.org/officeDocument/2006/relationships/hyperlink" Target="https://github.com/TheGoatIA/univers_barca_mobile/issues?q=is%3Aissue+%22%5BMOB-I-15%5D%22" TargetMode="External"/><Relationship Id="rId1033" Type="http://schemas.openxmlformats.org/officeDocument/2006/relationships/hyperlink" Target="https://github.com/TheGoatIA/univers_barca_mobile/issues?q=is%3Aissue+%22%5BMOB-I-16%5D%22" TargetMode="External"/><Relationship Id="rId1034" Type="http://schemas.openxmlformats.org/officeDocument/2006/relationships/hyperlink" Target="https://github.com/TheGoatIA/univers_barca_mobile/issues?q=is%3Aissue+%22%5BMOB-I-17%5D%22" TargetMode="External"/><Relationship Id="rId1035" Type="http://schemas.openxmlformats.org/officeDocument/2006/relationships/hyperlink" Target="https://github.com/TheGoatIA/univers_barca_mobile/issues?q=is%3Aissue+%22%5BMOB-I-18%5D%22" TargetMode="External"/><Relationship Id="rId1036" Type="http://schemas.openxmlformats.org/officeDocument/2006/relationships/hyperlink" Target="https://github.com/TheGoatIA/univers_barca_mobile/issues?q=is%3Aissue+%22%5BMOB-I-19%5D%22" TargetMode="External"/><Relationship Id="rId1037" Type="http://schemas.openxmlformats.org/officeDocument/2006/relationships/hyperlink" Target="https://github.com/TheGoatIA/univers_barca_mobile/issues?q=is%3Aissue+%22%5BMOB-I-20%5D%22" TargetMode="External"/><Relationship Id="rId1038" Type="http://schemas.openxmlformats.org/officeDocument/2006/relationships/hyperlink" Target="https://github.com/TheGoatIA/univers_barca_mobile/issues?q=is%3Aissue+%22%5BMOB-I-21%5D%22" TargetMode="External"/><Relationship Id="rId1039" Type="http://schemas.openxmlformats.org/officeDocument/2006/relationships/hyperlink" Target="https://github.com/TheGoatIA/univers_barca_mobile/issues?q=is%3Aissue+%22%5BMOB-I-22%5D%22" TargetMode="External"/><Relationship Id="rId1040" Type="http://schemas.openxmlformats.org/officeDocument/2006/relationships/hyperlink" Target="https://github.com/TheGoatIA/univers_barca_mobile/issues?q=is%3Aissue+%22%5BMOB-M-01%5D%22" TargetMode="External"/><Relationship Id="rId1041" Type="http://schemas.openxmlformats.org/officeDocument/2006/relationships/hyperlink" Target="https://github.com/TheGoatIA/univers_barca_mobile/issues?q=is%3Aissue+%22%5BMOB-M-02%5D%22" TargetMode="External"/><Relationship Id="rId1042" Type="http://schemas.openxmlformats.org/officeDocument/2006/relationships/hyperlink" Target="https://github.com/TheGoatIA/univers_barca_mobile/issues?q=is%3Aissue+%22%5BMOB-M-03%5D%22" TargetMode="External"/><Relationship Id="rId1043" Type="http://schemas.openxmlformats.org/officeDocument/2006/relationships/hyperlink" Target="https://github.com/TheGoatIA/univers_barca_mobile/issues?q=is%3Aissue+%22%5BMOB-M-04%5D%22" TargetMode="External"/><Relationship Id="rId1044" Type="http://schemas.openxmlformats.org/officeDocument/2006/relationships/hyperlink" Target="https://github.com/TheGoatIA/univers_barca_mobile/issues?q=is%3Aissue+%22%5BMOB-M-05%5D%22" TargetMode="External"/><Relationship Id="rId1045" Type="http://schemas.openxmlformats.org/officeDocument/2006/relationships/hyperlink" Target="https://github.com/TheGoatIA/univers_barca_mobile/issues?q=is%3Aissue+%22%5BMOB-M-06%5D%22" TargetMode="External"/><Relationship Id="rId1046" Type="http://schemas.openxmlformats.org/officeDocument/2006/relationships/hyperlink" Target="https://github.com/TheGoatIA/univers_barca_mobile/issues?q=is%3Aissue+%22%5BMOB-M-07%5D%22" TargetMode="External"/><Relationship Id="rId1047" Type="http://schemas.openxmlformats.org/officeDocument/2006/relationships/hyperlink" Target="https://github.com/TheGoatIA/univers_barca_mobile/issues?q=is%3Aissue+%22%5BMOB-M-08%5D%22" TargetMode="External"/><Relationship Id="rId1048" Type="http://schemas.openxmlformats.org/officeDocument/2006/relationships/hyperlink" Target="https://github.com/TheGoatIA/univers_barca_mobile/issues?q=is%3Aissue+%22%5BMOB-M-09%5D%22" TargetMode="External"/><Relationship Id="rId1049" Type="http://schemas.openxmlformats.org/officeDocument/2006/relationships/hyperlink" Target="https://github.com/TheGoatIA/univers_barca_mobile/issues?q=is%3Aissue+%22%5BMOB-M-10%5D%22" TargetMode="External"/><Relationship Id="rId1050" Type="http://schemas.openxmlformats.org/officeDocument/2006/relationships/hyperlink" Target="https://github.com/TheGoatIA/univers_barca_mobile/issues?q=is%3Aissue+%22%5BMOB-M-11%5D%22" TargetMode="External"/><Relationship Id="rId1051" Type="http://schemas.openxmlformats.org/officeDocument/2006/relationships/hyperlink" Target="https://github.com/TheGoatIA/univers_barca_mobile/issues?q=is%3Aissue+%22%5BMOB-M-12%5D%22" TargetMode="External"/><Relationship Id="rId1052" Type="http://schemas.openxmlformats.org/officeDocument/2006/relationships/hyperlink" Target="https://github.com/TheGoatIA/univers_barca_mobile/issues?q=is%3Aissue+%22%5BMOB-M-13%5D%22" TargetMode="External"/><Relationship Id="rId1053" Type="http://schemas.openxmlformats.org/officeDocument/2006/relationships/hyperlink" Target="https://github.com/TheGoatIA/univers_barca_mobile/issues?q=is%3Aissue+%22%5BMOB-M-14%5D%22" TargetMode="External"/><Relationship Id="rId1054" Type="http://schemas.openxmlformats.org/officeDocument/2006/relationships/hyperlink" Target="https://github.com/TheGoatIA/univers_barca_mobile/issues?q=is%3Aissue+%22%5BMOB-M-15%5D%22" TargetMode="External"/><Relationship Id="rId1055" Type="http://schemas.openxmlformats.org/officeDocument/2006/relationships/hyperlink" Target="https://github.com/TheGoatIA/univers_barca_mobile/issues?q=is%3Aissue+%22%5BMOB-M-16%5D%22" TargetMode="External"/><Relationship Id="rId1056" Type="http://schemas.openxmlformats.org/officeDocument/2006/relationships/hyperlink" Target="https://github.com/TheGoatIA/univers_barca_mobile/issues?q=is%3Aissue+%22%5BMOB-M-17%5D%22" TargetMode="External"/><Relationship Id="rId1057" Type="http://schemas.openxmlformats.org/officeDocument/2006/relationships/hyperlink" Target="https://github.com/TheGoatIA/univers_barca_mobile/issues?q=is%3Aissue+%22%5BMOB-M-18%5D%22" TargetMode="External"/><Relationship Id="rId1058" Type="http://schemas.openxmlformats.org/officeDocument/2006/relationships/hyperlink" Target="https://github.com/TheGoatIA/univers_barca_mobile/issues?q=is%3Aissue+%22%5BMOB-M-19%5D%22" TargetMode="External"/><Relationship Id="rId1059" Type="http://schemas.openxmlformats.org/officeDocument/2006/relationships/hyperlink" Target="https://github.com/TheGoatIA/univers_barca_mobile/issues?q=is%3Aissue+%22%5BMOB-M-20%5D%22" TargetMode="External"/><Relationship Id="rId1060" Type="http://schemas.openxmlformats.org/officeDocument/2006/relationships/hyperlink" Target="https://github.com/TheGoatIA/univers_barca_mobile/issues?q=is%3Aissue+%22%5BMOB-M-21%5D%22" TargetMode="External"/><Relationship Id="rId1061" Type="http://schemas.openxmlformats.org/officeDocument/2006/relationships/hyperlink" Target="https://github.com/TheGoatIA/univers_barca_mobile/issues?q=is%3Aissue+%22%5BMOB-M-22%5D%22" TargetMode="External"/><Relationship Id="rId1062" Type="http://schemas.openxmlformats.org/officeDocument/2006/relationships/hyperlink" Target="https://github.com/TheGoatIA/univers_barca_mobile/issues?q=is%3Aissue+%22%5BMOB-M-23%5D%22" TargetMode="External"/><Relationship Id="rId1063" Type="http://schemas.openxmlformats.org/officeDocument/2006/relationships/hyperlink" Target="https://github.com/TheGoatIA/univers_barca_mobile/issues?q=is%3Aissue+%22%5BMOB-M-24%5D%22" TargetMode="External"/><Relationship Id="rId1064" Type="http://schemas.openxmlformats.org/officeDocument/2006/relationships/hyperlink" Target="https://github.com/TheGoatIA/univers_barca_mobile/issues?q=is%3Aissue+%22%5BMOB-M-25%5D%22" TargetMode="External"/><Relationship Id="rId1065" Type="http://schemas.openxmlformats.org/officeDocument/2006/relationships/hyperlink" Target="https://github.com/TheGoatIA/univers_barca_mobile/issues?q=is%3Aissue+%22%5BMOB-M-26%5D%22" TargetMode="External"/><Relationship Id="rId1066" Type="http://schemas.openxmlformats.org/officeDocument/2006/relationships/hyperlink" Target="https://github.com/TheGoatIA/univers_barca_mobile/issues?q=is%3Aissue+%22%5BMOB-M-27%5D%22" TargetMode="External"/><Relationship Id="rId1067" Type="http://schemas.openxmlformats.org/officeDocument/2006/relationships/hyperlink" Target="https://github.com/TheGoatIA/univers_barca_mobile/issues?q=is%3Aissue+%22%5BMOB-M-28%5D%22" TargetMode="External"/><Relationship Id="rId1068" Type="http://schemas.openxmlformats.org/officeDocument/2006/relationships/hyperlink" Target="https://github.com/TheGoatIA/univers_barca_mobile/issues?q=is%3Aissue+%22%5BMOB-M-29%5D%22" TargetMode="External"/><Relationship Id="rId1069" Type="http://schemas.openxmlformats.org/officeDocument/2006/relationships/hyperlink" Target="https://github.com/TheGoatIA/univers_barca_mobile/issues?q=is%3Aissue+%22%5BMOB-M-30%5D%22" TargetMode="External"/><Relationship Id="rId1070" Type="http://schemas.openxmlformats.org/officeDocument/2006/relationships/hyperlink" Target="https://github.com/TheGoatIA/univers_barca_mobile/issues?q=is%3Aissue+%22%5BMOB-M-31%5D%22" TargetMode="External"/><Relationship Id="rId1071" Type="http://schemas.openxmlformats.org/officeDocument/2006/relationships/hyperlink" Target="https://github.com/TheGoatIA/univers_barca_admin/issues?q=is%3Aissue+%22%5BADM-FND-01%5D%22" TargetMode="External"/><Relationship Id="rId1072" Type="http://schemas.openxmlformats.org/officeDocument/2006/relationships/hyperlink" Target="https://github.com/TheGoatIA/univers_barca_admin/issues?q=is%3Aissue+%22%5BADM-FND-02%5D%22" TargetMode="External"/><Relationship Id="rId1073" Type="http://schemas.openxmlformats.org/officeDocument/2006/relationships/hyperlink" Target="https://github.com/TheGoatIA/univers_barca_admin/issues?q=is%3Aissue+%22%5BADM-FND-03%5D%22" TargetMode="External"/><Relationship Id="rId1074" Type="http://schemas.openxmlformats.org/officeDocument/2006/relationships/hyperlink" Target="https://github.com/TheGoatIA/univers_barca_admin/issues?q=is%3Aissue+%22%5BADM-FND-04%5D%22" TargetMode="External"/><Relationship Id="rId1075" Type="http://schemas.openxmlformats.org/officeDocument/2006/relationships/hyperlink" Target="https://github.com/TheGoatIA/univers_barca_admin/issues?q=is%3Aissue+%22%5BADM-FND-05%5D%22" TargetMode="External"/><Relationship Id="rId1076" Type="http://schemas.openxmlformats.org/officeDocument/2006/relationships/hyperlink" Target="https://github.com/TheGoatIA/univers_barca_admin/issues?q=is%3Aissue+%22%5BADM-FND-06%5D%22" TargetMode="External"/><Relationship Id="rId1077" Type="http://schemas.openxmlformats.org/officeDocument/2006/relationships/hyperlink" Target="https://github.com/TheGoatIA/univers_barca_admin/issues?q=is%3Aissue+%22%5BADM-FND-07%5D%22" TargetMode="External"/><Relationship Id="rId1078" Type="http://schemas.openxmlformats.org/officeDocument/2006/relationships/hyperlink" Target="https://github.com/TheGoatIA/univers_barca_admin/issues?q=is%3Aissue+%22%5BADM-FND-08%5D%22" TargetMode="External"/><Relationship Id="rId1079" Type="http://schemas.openxmlformats.org/officeDocument/2006/relationships/hyperlink" Target="https://github.com/TheGoatIA/univers_barca_admin/issues?q=is%3Aissue+%22%5BADM-FND-09%5D%22" TargetMode="External"/><Relationship Id="rId1080" Type="http://schemas.openxmlformats.org/officeDocument/2006/relationships/hyperlink" Target="https://github.com/TheGoatIA/univers_barca_admin/issues?q=is%3Aissue+%22%5BADM-FND-10%5D%22" TargetMode="External"/><Relationship Id="rId1081" Type="http://schemas.openxmlformats.org/officeDocument/2006/relationships/hyperlink" Target="https://github.com/TheGoatIA/univers_barca_admin/issues?q=is%3Aissue+%22%5BADM-FND-11%5D%22" TargetMode="External"/><Relationship Id="rId1082" Type="http://schemas.openxmlformats.org/officeDocument/2006/relationships/hyperlink" Target="https://github.com/TheGoatIA/univers_barca_admin/issues?q=is%3Aissue+%22%5BADM-FND-12%5D%22" TargetMode="External"/><Relationship Id="rId1083" Type="http://schemas.openxmlformats.org/officeDocument/2006/relationships/hyperlink" Target="https://github.com/TheGoatIA/univers_barca_admin/issues?q=is%3Aissue+%22%5BADM-FND-13%5D%22" TargetMode="External"/><Relationship Id="rId1084" Type="http://schemas.openxmlformats.org/officeDocument/2006/relationships/hyperlink" Target="https://github.com/TheGoatIA/univers_barca_admin/issues?q=is%3Aissue+%22%5BADM-FND-14%5D%22" TargetMode="External"/><Relationship Id="rId1085" Type="http://schemas.openxmlformats.org/officeDocument/2006/relationships/hyperlink" Target="https://github.com/TheGoatIA/univers_barca_admin/issues?q=is%3Aissue+%22%5BADM-FND-15%5D%22" TargetMode="External"/><Relationship Id="rId1086" Type="http://schemas.openxmlformats.org/officeDocument/2006/relationships/hyperlink" Target="https://github.com/TheGoatIA/univers_barca_admin/issues?q=is%3Aissue+%22%5BADM-FND-16%5D%22" TargetMode="External"/><Relationship Id="rId1087" Type="http://schemas.openxmlformats.org/officeDocument/2006/relationships/hyperlink" Target="https://github.com/TheGoatIA/univers_barca_admin/issues?q=is%3Aissue+%22%5BADM-FND-17%5D%22" TargetMode="External"/><Relationship Id="rId1088" Type="http://schemas.openxmlformats.org/officeDocument/2006/relationships/hyperlink" Target="https://github.com/TheGoatIA/univers_barca_admin/issues?q=is%3Aissue+%22%5BADM-FND-18%5D%22" TargetMode="External"/><Relationship Id="rId1089" Type="http://schemas.openxmlformats.org/officeDocument/2006/relationships/hyperlink" Target="https://github.com/TheGoatIA/univers_barca_admin/issues?q=is%3Aissue+%22%5BADM-FND-19%5D%22" TargetMode="External"/><Relationship Id="rId1090" Type="http://schemas.openxmlformats.org/officeDocument/2006/relationships/hyperlink" Target="https://github.com/TheGoatIA/univers_barca_admin/issues?q=is%3Aissue+%22%5BADM-FND-20%5D%22" TargetMode="External"/><Relationship Id="rId1091" Type="http://schemas.openxmlformats.org/officeDocument/2006/relationships/hyperlink" Target="https://github.com/TheGoatIA/univers_barca_admin/issues?q=is%3Aissue+%22%5BADM-FND-21%5D%22" TargetMode="External"/><Relationship Id="rId1092" Type="http://schemas.openxmlformats.org/officeDocument/2006/relationships/hyperlink" Target="https://github.com/TheGoatIA/univers_barca_admin/issues?q=is%3Aissue+%22%5BADM-FND-22%5D%22" TargetMode="External"/><Relationship Id="rId1093" Type="http://schemas.openxmlformats.org/officeDocument/2006/relationships/hyperlink" Target="https://github.com/TheGoatIA/univers_barca_admin/issues?q=is%3Aissue+%22%5BADM-FND-23%5D%22" TargetMode="External"/><Relationship Id="rId1094" Type="http://schemas.openxmlformats.org/officeDocument/2006/relationships/hyperlink" Target="https://github.com/TheGoatIA/univers_barca_admin/issues?q=is%3Aissue+%22%5BADM-FND-24%5D%22" TargetMode="External"/><Relationship Id="rId1095" Type="http://schemas.openxmlformats.org/officeDocument/2006/relationships/hyperlink" Target="https://github.com/TheGoatIA/univers_barca_admin/issues?q=is%3Aissue+%22%5BADM-FND-25%5D%22" TargetMode="External"/><Relationship Id="rId1096" Type="http://schemas.openxmlformats.org/officeDocument/2006/relationships/hyperlink" Target="https://github.com/TheGoatIA/univers_barca_admin/issues?q=is%3Aissue+%22%5BADM-ADS-01%5D%22" TargetMode="External"/><Relationship Id="rId1097" Type="http://schemas.openxmlformats.org/officeDocument/2006/relationships/hyperlink" Target="https://github.com/TheGoatIA/univers_barca_admin/issues?q=is%3Aissue+%22%5BADM-ADS-02%5D%22" TargetMode="External"/><Relationship Id="rId1098" Type="http://schemas.openxmlformats.org/officeDocument/2006/relationships/hyperlink" Target="https://github.com/TheGoatIA/univers_barca_admin/issues?q=is%3Aissue+%22%5BADM-ADS-03%5D%22" TargetMode="External"/><Relationship Id="rId1099" Type="http://schemas.openxmlformats.org/officeDocument/2006/relationships/hyperlink" Target="https://github.com/TheGoatIA/univers_barca_admin/issues?q=is%3Aissue+%22%5BADM-ADS-04%5D%22" TargetMode="External"/><Relationship Id="rId1100" Type="http://schemas.openxmlformats.org/officeDocument/2006/relationships/hyperlink" Target="https://github.com/TheGoatIA/univers_barca_admin/issues?q=is%3Aissue+%22%5BADM-ADS-05%5D%22" TargetMode="External"/><Relationship Id="rId1101" Type="http://schemas.openxmlformats.org/officeDocument/2006/relationships/hyperlink" Target="https://github.com/TheGoatIA/univers_barca_admin/issues?q=is%3Aissue+%22%5BADM-ADS-06%5D%22" TargetMode="External"/><Relationship Id="rId1102" Type="http://schemas.openxmlformats.org/officeDocument/2006/relationships/hyperlink" Target="https://github.com/TheGoatIA/univers_barca_admin/issues?q=is%3Aissue+%22%5BADM-ADS-07%5D%22" TargetMode="External"/><Relationship Id="rId1103" Type="http://schemas.openxmlformats.org/officeDocument/2006/relationships/hyperlink" Target="https://github.com/TheGoatIA/univers_barca_admin/issues?q=is%3Aissue+%22%5BADM-ADS-08%5D%22" TargetMode="External"/><Relationship Id="rId1104" Type="http://schemas.openxmlformats.org/officeDocument/2006/relationships/hyperlink" Target="https://github.com/TheGoatIA/univers_barca_admin/issues?q=is%3Aissue+%22%5BADM-ADS-09%5D%22" TargetMode="External"/><Relationship Id="rId1105" Type="http://schemas.openxmlformats.org/officeDocument/2006/relationships/hyperlink" Target="https://github.com/TheGoatIA/univers_barca_admin/issues?q=is%3Aissue+%22%5BADM-ADS-10%5D%22" TargetMode="External"/><Relationship Id="rId1106" Type="http://schemas.openxmlformats.org/officeDocument/2006/relationships/hyperlink" Target="https://github.com/TheGoatIA/univers_barca_admin/issues?q=is%3Aissue+%22%5BADM-ADS-11%5D%22" TargetMode="External"/><Relationship Id="rId1107" Type="http://schemas.openxmlformats.org/officeDocument/2006/relationships/hyperlink" Target="https://github.com/TheGoatIA/univers_barca_admin/issues?q=is%3Aissue+%22%5BADM-ADS-12%5D%22" TargetMode="External"/><Relationship Id="rId1108" Type="http://schemas.openxmlformats.org/officeDocument/2006/relationships/hyperlink" Target="https://github.com/TheGoatIA/univers_barca_admin/issues?q=is%3Aissue+%22%5BADM-ADS-13%5D%22" TargetMode="External"/><Relationship Id="rId1109" Type="http://schemas.openxmlformats.org/officeDocument/2006/relationships/hyperlink" Target="https://github.com/TheGoatIA/univers_barca_admin/issues?q=is%3Aissue+%22%5BADM-ADS-14%5D%22" TargetMode="External"/><Relationship Id="rId1110" Type="http://schemas.openxmlformats.org/officeDocument/2006/relationships/hyperlink" Target="https://github.com/TheGoatIA/univers_barca_admin/issues?q=is%3Aissue+%22%5BADM-ADS-15%5D%22" TargetMode="External"/><Relationship Id="rId1111" Type="http://schemas.openxmlformats.org/officeDocument/2006/relationships/hyperlink" Target="https://github.com/TheGoatIA/univers_barca_admin/issues?q=is%3Aissue+%22%5BADM-ADS-16%5D%22" TargetMode="External"/><Relationship Id="rId1112" Type="http://schemas.openxmlformats.org/officeDocument/2006/relationships/hyperlink" Target="https://github.com/TheGoatIA/univers_barca_admin/issues?q=is%3Aissue+%22%5BADM-ADS-17%5D%22" TargetMode="External"/><Relationship Id="rId1113" Type="http://schemas.openxmlformats.org/officeDocument/2006/relationships/hyperlink" Target="https://github.com/TheGoatIA/univers_barca_admin/issues?q=is%3Aissue+%22%5BADM-ADS-18%5D%22" TargetMode="External"/><Relationship Id="rId1114" Type="http://schemas.openxmlformats.org/officeDocument/2006/relationships/hyperlink" Target="https://github.com/TheGoatIA/univers_barca_admin/issues?q=is%3Aissue+%22%5BADM-ADS-19%5D%22" TargetMode="External"/><Relationship Id="rId1115" Type="http://schemas.openxmlformats.org/officeDocument/2006/relationships/hyperlink" Target="https://github.com/TheGoatIA/univers_barca_admin/issues?q=is%3Aissue+%22%5BADM-ADS-20%5D%22" TargetMode="External"/><Relationship Id="rId1116" Type="http://schemas.openxmlformats.org/officeDocument/2006/relationships/hyperlink" Target="https://github.com/TheGoatIA/univers_barca_admin/issues?q=is%3Aissue+%22%5BADM-ADS-21%5D%22" TargetMode="External"/><Relationship Id="rId1117" Type="http://schemas.openxmlformats.org/officeDocument/2006/relationships/hyperlink" Target="https://github.com/TheGoatIA/univers_barca_admin/issues?q=is%3Aissue+%22%5BADM-ADS-22%5D%22" TargetMode="External"/><Relationship Id="rId1118" Type="http://schemas.openxmlformats.org/officeDocument/2006/relationships/hyperlink" Target="https://github.com/TheGoatIA/univers_barca_admin/issues?q=is%3Aissue+%22%5BADM-ADS-23%5D%22" TargetMode="External"/><Relationship Id="rId1119" Type="http://schemas.openxmlformats.org/officeDocument/2006/relationships/hyperlink" Target="https://github.com/TheGoatIA/univers_barca_admin/issues?q=is%3Aissue+%22%5BADM-ADS-24%5D%22" TargetMode="External"/><Relationship Id="rId1120" Type="http://schemas.openxmlformats.org/officeDocument/2006/relationships/hyperlink" Target="https://github.com/TheGoatIA/univers_barca_admin/issues?q=is%3Aissue+%22%5BADM-ADS-25%5D%22" TargetMode="External"/><Relationship Id="rId1121" Type="http://schemas.openxmlformats.org/officeDocument/2006/relationships/hyperlink" Target="https://github.com/TheGoatIA/univers_barca_admin/issues?q=is%3Aissue+%22%5BADM-ADS-26%5D%22" TargetMode="External"/><Relationship Id="rId1122" Type="http://schemas.openxmlformats.org/officeDocument/2006/relationships/hyperlink" Target="https://github.com/TheGoatIA/univers_barca_admin/issues?q=is%3Aissue+%22%5BADM-ADS-27%5D%22" TargetMode="External"/><Relationship Id="rId1123" Type="http://schemas.openxmlformats.org/officeDocument/2006/relationships/hyperlink" Target="https://github.com/TheGoatIA/univers_barca_admin/issues?q=is%3Aissue+%22%5BADM-ADS-28%5D%22" TargetMode="External"/><Relationship Id="rId1124" Type="http://schemas.openxmlformats.org/officeDocument/2006/relationships/hyperlink" Target="https://github.com/TheGoatIA/univers_barca_admin/issues?q=is%3Aissue+%22%5BADM-ADS-29%5D%22" TargetMode="External"/><Relationship Id="rId1125" Type="http://schemas.openxmlformats.org/officeDocument/2006/relationships/hyperlink" Target="https://github.com/TheGoatIA/univers_barca_admin/issues?q=is%3Aissue+%22%5BADM-ADS-30%5D%22" TargetMode="External"/><Relationship Id="rId1126" Type="http://schemas.openxmlformats.org/officeDocument/2006/relationships/hyperlink" Target="https://github.com/TheGoatIA/univers_barca_admin/issues?q=is%3Aissue+%22%5BADM-ADS-31%5D%22" TargetMode="External"/><Relationship Id="rId1127" Type="http://schemas.openxmlformats.org/officeDocument/2006/relationships/hyperlink" Target="https://github.com/TheGoatIA/univers_barca_admin/issues?q=is%3Aissue+%22%5BADM-ADS-32%5D%22" TargetMode="External"/><Relationship Id="rId1128" Type="http://schemas.openxmlformats.org/officeDocument/2006/relationships/hyperlink" Target="https://github.com/TheGoatIA/univers_barca_admin/issues?q=is%3Aissue+%22%5BADM-ADS-33%5D%22" TargetMode="External"/><Relationship Id="rId1129" Type="http://schemas.openxmlformats.org/officeDocument/2006/relationships/hyperlink" Target="https://github.com/TheGoatIA/univers_barca_admin/issues?q=is%3Aissue+%22%5BADM-ADS-34%5D%22" TargetMode="External"/><Relationship Id="rId1130" Type="http://schemas.openxmlformats.org/officeDocument/2006/relationships/hyperlink" Target="https://github.com/TheGoatIA/univers_barca_admin/issues?q=is%3Aissue+%22%5BADM-ADS-35%5D%22" TargetMode="External"/><Relationship Id="rId1131" Type="http://schemas.openxmlformats.org/officeDocument/2006/relationships/hyperlink" Target="https://github.com/TheGoatIA/univers_barca_admin/issues?q=is%3Aissue+%22%5BADM-ADS-36%5D%22" TargetMode="External"/><Relationship Id="rId1132" Type="http://schemas.openxmlformats.org/officeDocument/2006/relationships/hyperlink" Target="https://github.com/TheGoatIA/univers_barca_admin/issues?q=is%3Aissue+%22%5BADM-ADS-37%5D%22" TargetMode="External"/><Relationship Id="rId1133" Type="http://schemas.openxmlformats.org/officeDocument/2006/relationships/hyperlink" Target="https://github.com/TheGoatIA/univers_barca_admin/issues?q=is%3Aissue+%22%5BADM-WA-01%5D%22" TargetMode="External"/><Relationship Id="rId1134" Type="http://schemas.openxmlformats.org/officeDocument/2006/relationships/hyperlink" Target="https://github.com/TheGoatIA/univers_barca_admin/issues?q=is%3Aissue+%22%5BADM-WA-02%5D%22" TargetMode="External"/><Relationship Id="rId1135" Type="http://schemas.openxmlformats.org/officeDocument/2006/relationships/hyperlink" Target="https://github.com/TheGoatIA/univers_barca_admin/issues?q=is%3Aissue+%22%5BADM-WA-03%5D%22" TargetMode="External"/><Relationship Id="rId1136" Type="http://schemas.openxmlformats.org/officeDocument/2006/relationships/hyperlink" Target="https://github.com/TheGoatIA/univers_barca_admin/issues?q=is%3Aissue+%22%5BADM-WA-04%5D%22" TargetMode="External"/><Relationship Id="rId1137" Type="http://schemas.openxmlformats.org/officeDocument/2006/relationships/hyperlink" Target="https://github.com/TheGoatIA/univers_barca_admin/issues?q=is%3Aissue+%22%5BADM-WA-05%5D%22" TargetMode="External"/><Relationship Id="rId1138" Type="http://schemas.openxmlformats.org/officeDocument/2006/relationships/hyperlink" Target="https://github.com/TheGoatIA/univers_barca_admin/issues?q=is%3Aissue+%22%5BADM-WA-06%5D%22" TargetMode="External"/><Relationship Id="rId1139" Type="http://schemas.openxmlformats.org/officeDocument/2006/relationships/hyperlink" Target="https://github.com/TheGoatIA/univers_barca_admin/issues?q=is%3Aissue+%22%5BADM-WA-07%5D%22" TargetMode="External"/><Relationship Id="rId1140" Type="http://schemas.openxmlformats.org/officeDocument/2006/relationships/hyperlink" Target="https://github.com/TheGoatIA/univers_barca_admin/issues?q=is%3Aissue+%22%5BADM-WA-08%5D%22" TargetMode="External"/><Relationship Id="rId1141" Type="http://schemas.openxmlformats.org/officeDocument/2006/relationships/hyperlink" Target="https://github.com/TheGoatIA/univers_barca_admin/issues?q=is%3Aissue+%22%5BADM-WA-09%5D%22" TargetMode="External"/><Relationship Id="rId1142" Type="http://schemas.openxmlformats.org/officeDocument/2006/relationships/hyperlink" Target="https://github.com/TheGoatIA/univers_barca_admin/issues?q=is%3Aissue+%22%5BADM-WA-10%5D%22" TargetMode="External"/><Relationship Id="rId1143" Type="http://schemas.openxmlformats.org/officeDocument/2006/relationships/hyperlink" Target="https://github.com/TheGoatIA/univers_barca_admin/issues?q=is%3Aissue+%22%5BADM-WA-11%5D%22" TargetMode="External"/><Relationship Id="rId1144" Type="http://schemas.openxmlformats.org/officeDocument/2006/relationships/hyperlink" Target="https://github.com/TheGoatIA/univers_barca_admin/issues?q=is%3Aissue+%22%5BADM-WA-12%5D%22" TargetMode="External"/><Relationship Id="rId1145" Type="http://schemas.openxmlformats.org/officeDocument/2006/relationships/hyperlink" Target="https://github.com/TheGoatIA/univers_barca_admin/issues?q=is%3Aissue+%22%5BADM-WA-13%5D%22" TargetMode="External"/><Relationship Id="rId1146" Type="http://schemas.openxmlformats.org/officeDocument/2006/relationships/hyperlink" Target="https://github.com/TheGoatIA/univers_barca_admin/issues?q=is%3Aissue+%22%5BADM-WA-14%5D%22" TargetMode="External"/><Relationship Id="rId1147" Type="http://schemas.openxmlformats.org/officeDocument/2006/relationships/hyperlink" Target="https://github.com/TheGoatIA/univers_barca_admin/issues?q=is%3Aissue+%22%5BADM-WA-15%5D%22" TargetMode="External"/><Relationship Id="rId1148" Type="http://schemas.openxmlformats.org/officeDocument/2006/relationships/hyperlink" Target="https://github.com/TheGoatIA/univers_barca_admin/issues?q=is%3Aissue+%22%5BADM-WA-16%5D%22" TargetMode="External"/><Relationship Id="rId1149" Type="http://schemas.openxmlformats.org/officeDocument/2006/relationships/hyperlink" Target="https://github.com/TheGoatIA/univers_barca_admin/issues?q=is%3Aissue+%22%5BADM-WA-17%5D%22" TargetMode="External"/><Relationship Id="rId1150" Type="http://schemas.openxmlformats.org/officeDocument/2006/relationships/hyperlink" Target="https://github.com/TheGoatIA/univers_barca_admin/issues?q=is%3Aissue+%22%5BADM-WA-18%5D%22" TargetMode="External"/><Relationship Id="rId1151" Type="http://schemas.openxmlformats.org/officeDocument/2006/relationships/hyperlink" Target="https://github.com/TheGoatIA/univers_barca_admin/issues?q=is%3Aissue+%22%5BADM-WA-19%5D%22" TargetMode="External"/><Relationship Id="rId1152" Type="http://schemas.openxmlformats.org/officeDocument/2006/relationships/hyperlink" Target="https://github.com/TheGoatIA/univers_barca_admin/issues?q=is%3Aissue+%22%5BADM-WB-01%5D%22" TargetMode="External"/><Relationship Id="rId1153" Type="http://schemas.openxmlformats.org/officeDocument/2006/relationships/hyperlink" Target="https://github.com/TheGoatIA/univers_barca_admin/issues?q=is%3Aissue+%22%5BADM-WB-02%5D%22" TargetMode="External"/><Relationship Id="rId1154" Type="http://schemas.openxmlformats.org/officeDocument/2006/relationships/hyperlink" Target="https://github.com/TheGoatIA/univers_barca_admin/issues?q=is%3Aissue+%22%5BADM-WB-03%5D%22" TargetMode="External"/><Relationship Id="rId1155" Type="http://schemas.openxmlformats.org/officeDocument/2006/relationships/hyperlink" Target="https://github.com/TheGoatIA/univers_barca_admin/issues?q=is%3Aissue+%22%5BADM-WB-04%5D%22" TargetMode="External"/><Relationship Id="rId1156" Type="http://schemas.openxmlformats.org/officeDocument/2006/relationships/hyperlink" Target="https://github.com/TheGoatIA/univers_barca_admin/issues?q=is%3Aissue+%22%5BADM-WB-05%5D%22" TargetMode="External"/><Relationship Id="rId1157" Type="http://schemas.openxmlformats.org/officeDocument/2006/relationships/hyperlink" Target="https://github.com/TheGoatIA/univers_barca_admin/issues?q=is%3Aissue+%22%5BADM-WB-06%5D%22" TargetMode="External"/><Relationship Id="rId1158" Type="http://schemas.openxmlformats.org/officeDocument/2006/relationships/hyperlink" Target="https://github.com/TheGoatIA/univers_barca_admin/issues?q=is%3Aissue+%22%5BADM-WB-07%5D%22" TargetMode="External"/><Relationship Id="rId1159" Type="http://schemas.openxmlformats.org/officeDocument/2006/relationships/hyperlink" Target="https://github.com/TheGoatIA/univers_barca_admin/issues?q=is%3Aissue+%22%5BADM-WB-08%5D%22" TargetMode="External"/><Relationship Id="rId1160" Type="http://schemas.openxmlformats.org/officeDocument/2006/relationships/hyperlink" Target="https://github.com/TheGoatIA/univers_barca_admin/issues?q=is%3Aissue+%22%5BADM-WB-09%5D%22" TargetMode="External"/><Relationship Id="rId1161" Type="http://schemas.openxmlformats.org/officeDocument/2006/relationships/hyperlink" Target="https://github.com/TheGoatIA/univers_barca_admin/issues?q=is%3Aissue+%22%5BADM-WB-10%5D%22" TargetMode="External"/><Relationship Id="rId1162" Type="http://schemas.openxmlformats.org/officeDocument/2006/relationships/hyperlink" Target="https://github.com/TheGoatIA/univers_barca_admin/issues?q=is%3Aissue+%22%5BADM-WB-11%5D%22" TargetMode="External"/><Relationship Id="rId1163" Type="http://schemas.openxmlformats.org/officeDocument/2006/relationships/hyperlink" Target="https://github.com/TheGoatIA/univers_barca_admin/issues?q=is%3Aissue+%22%5BADM-WB-12%5D%22" TargetMode="External"/><Relationship Id="rId1164" Type="http://schemas.openxmlformats.org/officeDocument/2006/relationships/hyperlink" Target="https://github.com/TheGoatIA/univers_barca_admin/issues?q=is%3Aissue+%22%5BADM-WB-13%5D%22" TargetMode="External"/><Relationship Id="rId1165" Type="http://schemas.openxmlformats.org/officeDocument/2006/relationships/hyperlink" Target="https://github.com/TheGoatIA/univers_barca_admin/issues?q=is%3Aissue+%22%5BADM-WB-14%5D%22" TargetMode="External"/><Relationship Id="rId1166" Type="http://schemas.openxmlformats.org/officeDocument/2006/relationships/hyperlink" Target="https://github.com/TheGoatIA/univers_barca_admin/issues?q=is%3Aissue+%22%5BADM-WB-15%5D%22" TargetMode="External"/><Relationship Id="rId1167" Type="http://schemas.openxmlformats.org/officeDocument/2006/relationships/hyperlink" Target="https://github.com/TheGoatIA/univers_barca_admin/issues?q=is%3Aissue+%22%5BADM-WB-16%5D%22" TargetMode="External"/><Relationship Id="rId1168" Type="http://schemas.openxmlformats.org/officeDocument/2006/relationships/hyperlink" Target="https://github.com/TheGoatIA/univers_barca_admin/issues?q=is%3Aissue+%22%5BADM-WC-01%5D%22" TargetMode="External"/><Relationship Id="rId1169" Type="http://schemas.openxmlformats.org/officeDocument/2006/relationships/hyperlink" Target="https://github.com/TheGoatIA/univers_barca_admin/issues?q=is%3Aissue+%22%5BADM-WC-02%5D%22" TargetMode="External"/><Relationship Id="rId1170" Type="http://schemas.openxmlformats.org/officeDocument/2006/relationships/hyperlink" Target="https://github.com/TheGoatIA/univers_barca_admin/issues?q=is%3Aissue+%22%5BADM-WC-03%5D%22" TargetMode="External"/><Relationship Id="rId1171" Type="http://schemas.openxmlformats.org/officeDocument/2006/relationships/hyperlink" Target="https://github.com/TheGoatIA/univers_barca_admin/issues?q=is%3Aissue+%22%5BADM-WC-04%5D%22" TargetMode="External"/><Relationship Id="rId1172" Type="http://schemas.openxmlformats.org/officeDocument/2006/relationships/hyperlink" Target="https://github.com/TheGoatIA/univers_barca_admin/issues?q=is%3Aissue+%22%5BADM-WC-05%5D%22" TargetMode="External"/><Relationship Id="rId1173" Type="http://schemas.openxmlformats.org/officeDocument/2006/relationships/hyperlink" Target="https://github.com/TheGoatIA/univers_barca_admin/issues?q=is%3Aissue+%22%5BADM-WC-06%5D%22" TargetMode="External"/><Relationship Id="rId1174" Type="http://schemas.openxmlformats.org/officeDocument/2006/relationships/hyperlink" Target="https://github.com/TheGoatIA/univers_barca_admin/issues?q=is%3Aissue+%22%5BADM-WC-07%5D%22" TargetMode="External"/><Relationship Id="rId1175" Type="http://schemas.openxmlformats.org/officeDocument/2006/relationships/hyperlink" Target="https://github.com/TheGoatIA/univers_barca_admin/issues?q=is%3Aissue+%22%5BADM-WC-08%5D%22" TargetMode="External"/><Relationship Id="rId1176" Type="http://schemas.openxmlformats.org/officeDocument/2006/relationships/hyperlink" Target="https://github.com/TheGoatIA/univers_barca_admin/issues?q=is%3Aissue+%22%5BADM-WC-09%5D%22" TargetMode="External"/><Relationship Id="rId1177" Type="http://schemas.openxmlformats.org/officeDocument/2006/relationships/hyperlink" Target="https://github.com/TheGoatIA/univers_barca_admin/issues?q=is%3Aissue+%22%5BADM-WC-10%5D%22" TargetMode="External"/><Relationship Id="rId1178" Type="http://schemas.openxmlformats.org/officeDocument/2006/relationships/hyperlink" Target="https://github.com/TheGoatIA/univers_barca_admin/issues?q=is%3Aissue+%22%5BADM-WC-11%5D%22" TargetMode="External"/><Relationship Id="rId1179" Type="http://schemas.openxmlformats.org/officeDocument/2006/relationships/hyperlink" Target="https://github.com/TheGoatIA/univers_barca_admin/issues?q=is%3Aissue+%22%5BADM-WC-12%5D%22" TargetMode="External"/><Relationship Id="rId1180" Type="http://schemas.openxmlformats.org/officeDocument/2006/relationships/hyperlink" Target="https://github.com/TheGoatIA/univers_barca_admin/issues?q=is%3Aissue+%22%5BADM-WC-13%5D%22" TargetMode="External"/><Relationship Id="rId1181" Type="http://schemas.openxmlformats.org/officeDocument/2006/relationships/hyperlink" Target="https://github.com/TheGoatIA/univers_barca_admin/issues?q=is%3Aissue+%22%5BADM-WC-14%5D%22" TargetMode="External"/><Relationship Id="rId1182" Type="http://schemas.openxmlformats.org/officeDocument/2006/relationships/hyperlink" Target="https://github.com/TheGoatIA/univers_barca_admin/issues?q=is%3Aissue+%22%5BADM-WC-15%5D%22" TargetMode="External"/><Relationship Id="rId1183" Type="http://schemas.openxmlformats.org/officeDocument/2006/relationships/hyperlink" Target="https://github.com/TheGoatIA/univers_barca_admin/issues?q=is%3Aissue+%22%5BADM-WC-16%5D%22" TargetMode="External"/><Relationship Id="rId1184" Type="http://schemas.openxmlformats.org/officeDocument/2006/relationships/hyperlink" Target="https://github.com/TheGoatIA/univers_barca_admin/issues?q=is%3Aissue+%22%5BADM-WC-17%5D%22" TargetMode="External"/><Relationship Id="rId1185" Type="http://schemas.openxmlformats.org/officeDocument/2006/relationships/hyperlink" Target="https://github.com/TheGoatIA/univers_barca_admin/issues?q=is%3Aissue+%22%5BADM-WC-18%5D%22" TargetMode="External"/><Relationship Id="rId1186" Type="http://schemas.openxmlformats.org/officeDocument/2006/relationships/hyperlink" Target="https://github.com/TheGoatIA/univers_barca_admin/issues?q=is%3Aissue+%22%5BADM-WC-19%5D%22" TargetMode="External"/><Relationship Id="rId1187" Type="http://schemas.openxmlformats.org/officeDocument/2006/relationships/hyperlink" Target="https://github.com/TheGoatIA/univers_barca_admin/issues?q=is%3Aissue+%22%5BADM-WC-20%5D%22" TargetMode="External"/><Relationship Id="rId1188" Type="http://schemas.openxmlformats.org/officeDocument/2006/relationships/hyperlink" Target="https://github.com/TheGoatIA/univers_barca_admin/issues?q=is%3Aissue+%22%5BADM-WC-21%5D%22" TargetMode="External"/><Relationship Id="rId1189" Type="http://schemas.openxmlformats.org/officeDocument/2006/relationships/hyperlink" Target="https://github.com/TheGoatIA/univers_barca_admin/issues?q=is%3Aissue+%22%5BADM-WC-22%5D%22" TargetMode="External"/><Relationship Id="rId1190" Type="http://schemas.openxmlformats.org/officeDocument/2006/relationships/hyperlink" Target="https://github.com/TheGoatIA/univers_barca_admin/issues?q=is%3Aissue+%22%5BADM-WC-23%5D%22" TargetMode="External"/><Relationship Id="rId1191" Type="http://schemas.openxmlformats.org/officeDocument/2006/relationships/hyperlink" Target="https://github.com/TheGoatIA/univers_barca_admin/issues?q=is%3Aissue+%22%5BADM-WC-24%5D%22" TargetMode="External"/><Relationship Id="rId1192" Type="http://schemas.openxmlformats.org/officeDocument/2006/relationships/hyperlink" Target="https://github.com/TheGoatIA/univers_barca_admin/issues?q=is%3Aissue+%22%5BADM-WC-25%5D%22" TargetMode="External"/><Relationship Id="rId1193" Type="http://schemas.openxmlformats.org/officeDocument/2006/relationships/hyperlink" Target="https://github.com/TheGoatIA/univers_barca_admin/issues?q=is%3Aissue+%22%5BADM-WC-26%5D%22" TargetMode="External"/><Relationship Id="rId1194" Type="http://schemas.openxmlformats.org/officeDocument/2006/relationships/hyperlink" Target="https://github.com/TheGoatIA/univers_barca_admin/issues?q=is%3Aissue+%22%5BADM-WC-27%5D%22" TargetMode="External"/><Relationship Id="rId1195" Type="http://schemas.openxmlformats.org/officeDocument/2006/relationships/hyperlink" Target="https://github.com/TheGoatIA/univers_barca_admin/issues?q=is%3Aissue+%22%5BADM-WC-28%5D%22" TargetMode="External"/><Relationship Id="rId1196" Type="http://schemas.openxmlformats.org/officeDocument/2006/relationships/hyperlink" Target="https://github.com/TheGoatIA/univers_barca_admin/issues?q=is%3Aissue+%22%5BADM-WD-01%5D%22" TargetMode="External"/><Relationship Id="rId1197" Type="http://schemas.openxmlformats.org/officeDocument/2006/relationships/hyperlink" Target="https://github.com/TheGoatIA/univers_barca_admin/issues?q=is%3Aissue+%22%5BADM-WD-02%5D%22" TargetMode="External"/><Relationship Id="rId1198" Type="http://schemas.openxmlformats.org/officeDocument/2006/relationships/hyperlink" Target="https://github.com/TheGoatIA/univers_barca_admin/issues?q=is%3Aissue+%22%5BADM-WD-03%5D%22" TargetMode="External"/><Relationship Id="rId1199" Type="http://schemas.openxmlformats.org/officeDocument/2006/relationships/hyperlink" Target="https://github.com/TheGoatIA/univers_barca_admin/issues?q=is%3Aissue+%22%5BADM-WD-04%5D%22" TargetMode="External"/><Relationship Id="rId1200" Type="http://schemas.openxmlformats.org/officeDocument/2006/relationships/hyperlink" Target="https://github.com/TheGoatIA/univers_barca_admin/issues?q=is%3Aissue+%22%5BADM-WD-05%5D%22" TargetMode="External"/><Relationship Id="rId1201" Type="http://schemas.openxmlformats.org/officeDocument/2006/relationships/hyperlink" Target="https://github.com/TheGoatIA/univers_barca_admin/issues?q=is%3Aissue+%22%5BADM-WD-06%5D%22" TargetMode="External"/><Relationship Id="rId1202" Type="http://schemas.openxmlformats.org/officeDocument/2006/relationships/hyperlink" Target="https://github.com/TheGoatIA/univers_barca_admin/issues?q=is%3Aissue+%22%5BADM-WD-07%5D%22" TargetMode="External"/><Relationship Id="rId1203" Type="http://schemas.openxmlformats.org/officeDocument/2006/relationships/hyperlink" Target="https://github.com/TheGoatIA/univers_barca_admin/issues?q=is%3Aissue+%22%5BADM-WD-08%5D%22" TargetMode="External"/><Relationship Id="rId1204" Type="http://schemas.openxmlformats.org/officeDocument/2006/relationships/hyperlink" Target="https://github.com/TheGoatIA/univers_barca_admin/issues?q=is%3Aissue+%22%5BADM-WD-09%5D%22" TargetMode="External"/><Relationship Id="rId1205" Type="http://schemas.openxmlformats.org/officeDocument/2006/relationships/hyperlink" Target="https://github.com/TheGoatIA/univers_barca_admin/issues?q=is%3Aissue+%22%5BADM-WD-10%5D%22" TargetMode="External"/><Relationship Id="rId1206" Type="http://schemas.openxmlformats.org/officeDocument/2006/relationships/hyperlink" Target="https://github.com/TheGoatIA/univers_barca_admin/issues?q=is%3Aissue+%22%5BADM-WD-11%5D%22" TargetMode="External"/><Relationship Id="rId1207" Type="http://schemas.openxmlformats.org/officeDocument/2006/relationships/hyperlink" Target="https://github.com/TheGoatIA/univers_barca_admin/issues?q=is%3Aissue+%22%5BADM-WD-12%5D%22" TargetMode="External"/><Relationship Id="rId1208" Type="http://schemas.openxmlformats.org/officeDocument/2006/relationships/hyperlink" Target="https://github.com/TheGoatIA/univers_barca_admin/issues?q=is%3Aissue+%22%5BADM-WD-13%5D%22" TargetMode="External"/><Relationship Id="rId1209" Type="http://schemas.openxmlformats.org/officeDocument/2006/relationships/hyperlink" Target="https://github.com/TheGoatIA/univers_barca_admin/issues?q=is%3Aissue+%22%5BADM-WD-14%5D%22" TargetMode="External"/><Relationship Id="rId1210" Type="http://schemas.openxmlformats.org/officeDocument/2006/relationships/hyperlink" Target="https://github.com/TheGoatIA/univers_barca_admin/issues?q=is%3Aissue+%22%5BADM-WE-01%5D%22" TargetMode="External"/><Relationship Id="rId1211" Type="http://schemas.openxmlformats.org/officeDocument/2006/relationships/hyperlink" Target="https://github.com/TheGoatIA/univers_barca_admin/issues?q=is%3Aissue+%22%5BADM-WE-02%5D%22" TargetMode="External"/><Relationship Id="rId1212" Type="http://schemas.openxmlformats.org/officeDocument/2006/relationships/hyperlink" Target="https://github.com/TheGoatIA/univers_barca_admin/issues?q=is%3Aissue+%22%5BADM-WE-03%5D%22" TargetMode="External"/><Relationship Id="rId1213" Type="http://schemas.openxmlformats.org/officeDocument/2006/relationships/hyperlink" Target="https://github.com/TheGoatIA/univers_barca_admin/issues?q=is%3Aissue+%22%5BADM-WE-04%5D%22" TargetMode="External"/><Relationship Id="rId1214" Type="http://schemas.openxmlformats.org/officeDocument/2006/relationships/hyperlink" Target="https://github.com/TheGoatIA/univers_barca_admin/issues?q=is%3Aissue+%22%5BADM-WE-05%5D%22" TargetMode="External"/><Relationship Id="rId1215" Type="http://schemas.openxmlformats.org/officeDocument/2006/relationships/hyperlink" Target="https://github.com/TheGoatIA/univers_barca_admin/issues?q=is%3Aissue+%22%5BADM-WE-06%5D%22" TargetMode="External"/><Relationship Id="rId1216" Type="http://schemas.openxmlformats.org/officeDocument/2006/relationships/hyperlink" Target="https://github.com/TheGoatIA/univers_barca_admin/issues?q=is%3Aissue+%22%5BADM-WE-07%5D%22" TargetMode="External"/><Relationship Id="rId1217" Type="http://schemas.openxmlformats.org/officeDocument/2006/relationships/hyperlink" Target="https://github.com/TheGoatIA/univers_barca_admin/issues?q=is%3Aissue+%22%5BADM-WE-08%5D%22" TargetMode="External"/><Relationship Id="rId1218" Type="http://schemas.openxmlformats.org/officeDocument/2006/relationships/hyperlink" Target="https://github.com/TheGoatIA/univers_barca_admin/issues?q=is%3Aissue+%22%5BADM-WE-09%5D%22" TargetMode="External"/><Relationship Id="rId1219" Type="http://schemas.openxmlformats.org/officeDocument/2006/relationships/hyperlink" Target="https://github.com/TheGoatIA/univers_barca_admin/issues?q=is%3Aissue+%22%5BADM-WE-10%5D%22" TargetMode="External"/><Relationship Id="rId1220" Type="http://schemas.openxmlformats.org/officeDocument/2006/relationships/hyperlink" Target="https://github.com/TheGoatIA/univers_barca_admin/issues?q=is%3Aissue+%22%5BADM-WE-11%5D%22" TargetMode="External"/><Relationship Id="rId1221" Type="http://schemas.openxmlformats.org/officeDocument/2006/relationships/hyperlink" Target="https://github.com/TheGoatIA/univers_barca_admin/issues?q=is%3Aissue+%22%5BADM-WE-12%5D%22" TargetMode="External"/><Relationship Id="rId1222" Type="http://schemas.openxmlformats.org/officeDocument/2006/relationships/hyperlink" Target="https://github.com/TheGoatIA/univers_barca_admin/issues?q=is%3Aissue+%22%5BADM-WE-13%5D%22" TargetMode="External"/><Relationship Id="rId1223" Type="http://schemas.openxmlformats.org/officeDocument/2006/relationships/hyperlink" Target="https://github.com/TheGoatIA/univers_barca_admin/issues?q=is%3Aissue+%22%5BADM-WE-14%5D%22" TargetMode="External"/><Relationship Id="rId1224" Type="http://schemas.openxmlformats.org/officeDocument/2006/relationships/hyperlink" Target="https://github.com/TheGoatIA/univers_barca_admin/issues?q=is%3Aissue+%22%5BADM-WF-01%5D%22" TargetMode="External"/><Relationship Id="rId1225" Type="http://schemas.openxmlformats.org/officeDocument/2006/relationships/hyperlink" Target="https://github.com/TheGoatIA/univers_barca_admin/issues?q=is%3Aissue+%22%5BADM-WF-02%5D%22" TargetMode="External"/><Relationship Id="rId1226" Type="http://schemas.openxmlformats.org/officeDocument/2006/relationships/hyperlink" Target="https://github.com/TheGoatIA/univers_barca_admin/issues?q=is%3Aissue+%22%5BADM-WF-03%5D%22" TargetMode="External"/><Relationship Id="rId1227" Type="http://schemas.openxmlformats.org/officeDocument/2006/relationships/hyperlink" Target="https://github.com/TheGoatIA/univers_barca_admin/issues?q=is%3Aissue+%22%5BADM-WF-04%5D%22" TargetMode="External"/><Relationship Id="rId1228" Type="http://schemas.openxmlformats.org/officeDocument/2006/relationships/hyperlink" Target="https://github.com/TheGoatIA/univers_barca_admin/issues?q=is%3Aissue+%22%5BADM-WF-05%5D%22" TargetMode="External"/><Relationship Id="rId1229" Type="http://schemas.openxmlformats.org/officeDocument/2006/relationships/hyperlink" Target="https://github.com/TheGoatIA/univers_barca_admin/issues?q=is%3Aissue+%22%5BADM-WF-06%5D%22" TargetMode="External"/><Relationship Id="rId1230" Type="http://schemas.openxmlformats.org/officeDocument/2006/relationships/hyperlink" Target="https://github.com/TheGoatIA/univers_barca_admin/issues?q=is%3Aissue+%22%5BADM-WF-07%5D%22" TargetMode="External"/><Relationship Id="rId1231" Type="http://schemas.openxmlformats.org/officeDocument/2006/relationships/hyperlink" Target="https://github.com/TheGoatIA/univers_barca_admin/issues?q=is%3Aissue+%22%5BADM-WF-08%5D%22" TargetMode="External"/><Relationship Id="rId1232" Type="http://schemas.openxmlformats.org/officeDocument/2006/relationships/hyperlink" Target="https://github.com/TheGoatIA/univers_barca_admin/issues?q=is%3Aissue+%22%5BADM-WF-09%5D%22" TargetMode="External"/><Relationship Id="rId1233" Type="http://schemas.openxmlformats.org/officeDocument/2006/relationships/hyperlink" Target="https://github.com/TheGoatIA/univers_barca_admin/issues?q=is%3Aissue+%22%5BADM-WF-10%5D%22" TargetMode="External"/><Relationship Id="rId1234" Type="http://schemas.openxmlformats.org/officeDocument/2006/relationships/hyperlink" Target="https://github.com/TheGoatIA/univers_barca_admin/issues?q=is%3Aissue+%22%5BADM-WF-11%5D%22" TargetMode="External"/><Relationship Id="rId1235" Type="http://schemas.openxmlformats.org/officeDocument/2006/relationships/hyperlink" Target="https://github.com/TheGoatIA/univers_barca_admin/issues?q=is%3Aissue+%22%5BADM-WF-12%5D%22" TargetMode="External"/><Relationship Id="rId1236" Type="http://schemas.openxmlformats.org/officeDocument/2006/relationships/hyperlink" Target="https://github.com/TheGoatIA/univers_barca_admin/issues?q=is%3Aissue+%22%5BADM-WF-13%5D%22" TargetMode="External"/><Relationship Id="rId1237" Type="http://schemas.openxmlformats.org/officeDocument/2006/relationships/hyperlink" Target="https://github.com/TheGoatIA/univers_barca_admin/issues?q=is%3Aissue+%22%5BADM-WF-14%5D%22" TargetMode="External"/><Relationship Id="rId1238" Type="http://schemas.openxmlformats.org/officeDocument/2006/relationships/hyperlink" Target="https://github.com/TheGoatIA/univers_barca_admin/issues?q=is%3Aissue+%22%5BADM-WF-15%5D%22" TargetMode="External"/><Relationship Id="rId1239" Type="http://schemas.openxmlformats.org/officeDocument/2006/relationships/hyperlink" Target="https://github.com/TheGoatIA/univers_barca_admin/issues?q=is%3Aissue+%22%5BADM-WF-16%5D%22" TargetMode="External"/><Relationship Id="rId1240" Type="http://schemas.openxmlformats.org/officeDocument/2006/relationships/hyperlink" Target="https://github.com/TheGoatIA/univers_barca_admin/issues?q=is%3Aissue+%22%5BADM-WF-17%5D%22" TargetMode="External"/><Relationship Id="rId1241" Type="http://schemas.openxmlformats.org/officeDocument/2006/relationships/hyperlink" Target="https://github.com/TheGoatIA/univers_barca_admin/issues?q=is%3Aissue+%22%5BADM-WF-18%5D%22" TargetMode="External"/><Relationship Id="rId1242" Type="http://schemas.openxmlformats.org/officeDocument/2006/relationships/hyperlink" Target="https://github.com/TheGoatIA/univers_barca_admin/issues?q=is%3Aissue+%22%5BADM-WF-19%5D%22" TargetMode="External"/><Relationship Id="rId1243" Type="http://schemas.openxmlformats.org/officeDocument/2006/relationships/hyperlink" Target="https://github.com/TheGoatIA/univers_barca_admin/issues?q=is%3Aissue+%22%5BADM-WF-20%5D%22" TargetMode="External"/><Relationship Id="rId1244" Type="http://schemas.openxmlformats.org/officeDocument/2006/relationships/hyperlink" Target="https://github.com/TheGoatIA/univers_barca_admin/issues?q=is%3Aissue+%22%5BADM-WF-21%5D%22" TargetMode="External"/><Relationship Id="rId1245" Type="http://schemas.openxmlformats.org/officeDocument/2006/relationships/hyperlink" Target="https://github.com/TheGoatIA/univers_barca_admin/issues?q=is%3Aissue+%22%5BADM-WF-22%5D%22" TargetMode="External"/><Relationship Id="rId1246" Type="http://schemas.openxmlformats.org/officeDocument/2006/relationships/hyperlink" Target="https://github.com/TheGoatIA/univers_barca_admin/issues?q=is%3Aissue+%22%5BADM-WF-23%5D%22" TargetMode="External"/><Relationship Id="rId1247" Type="http://schemas.openxmlformats.org/officeDocument/2006/relationships/hyperlink" Target="https://github.com/TheGoatIA/univers_barca_admin/issues?q=is%3Aissue+%22%5BADM-WH-01%5D%22" TargetMode="External"/><Relationship Id="rId1248" Type="http://schemas.openxmlformats.org/officeDocument/2006/relationships/hyperlink" Target="https://github.com/TheGoatIA/univers_barca_admin/issues?q=is%3Aissue+%22%5BADM-WH-02%5D%22" TargetMode="External"/><Relationship Id="rId1249" Type="http://schemas.openxmlformats.org/officeDocument/2006/relationships/hyperlink" Target="https://github.com/TheGoatIA/univers_barca_admin/issues?q=is%3Aissue+%22%5BADM-WH-03%5D%22" TargetMode="External"/><Relationship Id="rId1250" Type="http://schemas.openxmlformats.org/officeDocument/2006/relationships/hyperlink" Target="https://github.com/TheGoatIA/univers_barca_admin/issues?q=is%3Aissue+%22%5BADM-WH-04%5D%22" TargetMode="External"/><Relationship Id="rId1251" Type="http://schemas.openxmlformats.org/officeDocument/2006/relationships/hyperlink" Target="https://github.com/TheGoatIA/univers_barca_admin/issues?q=is%3Aissue+%22%5BADM-WH-05%5D%22" TargetMode="External"/><Relationship Id="rId1252" Type="http://schemas.openxmlformats.org/officeDocument/2006/relationships/hyperlink" Target="https://github.com/TheGoatIA/univers_barca_admin/issues?q=is%3Aissue+%22%5BADM-WH-06%5D%22" TargetMode="External"/><Relationship Id="rId1253" Type="http://schemas.openxmlformats.org/officeDocument/2006/relationships/hyperlink" Target="https://github.com/TheGoatIA/univers_barca_admin/issues?q=is%3Aissue+%22%5BADM-WH-07%5D%22" TargetMode="External"/><Relationship Id="rId1254" Type="http://schemas.openxmlformats.org/officeDocument/2006/relationships/hyperlink" Target="https://github.com/TheGoatIA/univers_barca_admin/issues?q=is%3Aissue+%22%5BADM-WH-08%5D%22" TargetMode="External"/><Relationship Id="rId1255" Type="http://schemas.openxmlformats.org/officeDocument/2006/relationships/hyperlink" Target="https://github.com/TheGoatIA/univers_barca_admin/issues?q=is%3Aissue+%22%5BADM-WH-09%5D%22" TargetMode="External"/><Relationship Id="rId1256" Type="http://schemas.openxmlformats.org/officeDocument/2006/relationships/hyperlink" Target="https://github.com/TheGoatIA/univers_barca_admin/issues?q=is%3Aissue+%22%5BADM-WH-10%5D%22" TargetMode="External"/><Relationship Id="rId1257" Type="http://schemas.openxmlformats.org/officeDocument/2006/relationships/hyperlink" Target="https://github.com/TheGoatIA/univers_barca_admin/issues?q=is%3Aissue+%22%5BADM-WH-11%5D%22" TargetMode="External"/><Relationship Id="rId1258" Type="http://schemas.openxmlformats.org/officeDocument/2006/relationships/hyperlink" Target="https://github.com/TheGoatIA/univers_barca_admin/issues?q=is%3Aissue+%22%5BADM-WH-12%5D%22" TargetMode="External"/><Relationship Id="rId1259" Type="http://schemas.openxmlformats.org/officeDocument/2006/relationships/hyperlink" Target="https://github.com/TheGoatIA/univers_barca_admin/issues?q=is%3Aissue+%22%5BADM-WH-13%5D%22" TargetMode="External"/><Relationship Id="rId1260" Type="http://schemas.openxmlformats.org/officeDocument/2006/relationships/hyperlink" Target="https://github.com/TheGoatIA/univers_barca_admin/issues?q=is%3Aissue+%22%5BADM-WH-14%5D%22" TargetMode="External"/><Relationship Id="rId1261" Type="http://schemas.openxmlformats.org/officeDocument/2006/relationships/hyperlink" Target="https://github.com/TheGoatIA/univers_barca_admin/issues?q=is%3Aissue+%22%5BADM-WH-15%5D%22" TargetMode="External"/><Relationship Id="rId1262" Type="http://schemas.openxmlformats.org/officeDocument/2006/relationships/hyperlink" Target="https://github.com/TheGoatIA/univers_barca_admin/issues?q=is%3Aissue+%22%5BADM-WI-01%5D%22" TargetMode="External"/><Relationship Id="rId1263" Type="http://schemas.openxmlformats.org/officeDocument/2006/relationships/hyperlink" Target="https://github.com/TheGoatIA/univers_barca_admin/issues?q=is%3Aissue+%22%5BADM-WI-02%5D%22" TargetMode="External"/><Relationship Id="rId1264" Type="http://schemas.openxmlformats.org/officeDocument/2006/relationships/hyperlink" Target="https://github.com/TheGoatIA/univers_barca_admin/issues?q=is%3Aissue+%22%5BADM-WI-03%5D%22" TargetMode="External"/><Relationship Id="rId1265" Type="http://schemas.openxmlformats.org/officeDocument/2006/relationships/hyperlink" Target="https://github.com/TheGoatIA/univers_barca_admin/issues?q=is%3Aissue+%22%5BADM-WI-04%5D%22" TargetMode="External"/><Relationship Id="rId1266" Type="http://schemas.openxmlformats.org/officeDocument/2006/relationships/hyperlink" Target="https://github.com/TheGoatIA/univers_barca_admin/issues?q=is%3Aissue+%22%5BADM-WI-05%5D%22" TargetMode="External"/><Relationship Id="rId1267" Type="http://schemas.openxmlformats.org/officeDocument/2006/relationships/hyperlink" Target="https://github.com/TheGoatIA/univers_barca_admin/issues?q=is%3Aissue+%22%5BADM-WI-06%5D%22" TargetMode="External"/><Relationship Id="rId1268" Type="http://schemas.openxmlformats.org/officeDocument/2006/relationships/hyperlink" Target="https://github.com/TheGoatIA/univers_barca_admin/issues?q=is%3Aissue+%22%5BADM-WI-07%5D%22" TargetMode="External"/><Relationship Id="rId1269" Type="http://schemas.openxmlformats.org/officeDocument/2006/relationships/hyperlink" Target="https://github.com/TheGoatIA/univers_barca_admin/issues?q=is%3Aissue+%22%5BADM-WI-08%5D%22" TargetMode="External"/><Relationship Id="rId1270" Type="http://schemas.openxmlformats.org/officeDocument/2006/relationships/hyperlink" Target="https://github.com/TheGoatIA/univers_barca_admin/issues?q=is%3Aissue+%22%5BADM-WI-09%5D%22" TargetMode="External"/><Relationship Id="rId1271" Type="http://schemas.openxmlformats.org/officeDocument/2006/relationships/hyperlink" Target="https://github.com/TheGoatIA/univers_barca_admin/issues?q=is%3Aissue+%22%5BADM-WI-10%5D%22" TargetMode="External"/><Relationship Id="rId1272" Type="http://schemas.openxmlformats.org/officeDocument/2006/relationships/hyperlink" Target="https://github.com/TheGoatIA/univers_barca_admin/issues?q=is%3Aissue+%22%5BADM-WI-11%5D%22" TargetMode="External"/><Relationship Id="rId1273" Type="http://schemas.openxmlformats.org/officeDocument/2006/relationships/hyperlink" Target="https://github.com/TheGoatIA/univers_barca_admin/issues?q=is%3Aissue+%22%5BADM-WI-12%5D%22" TargetMode="External"/><Relationship Id="rId1274" Type="http://schemas.openxmlformats.org/officeDocument/2006/relationships/hyperlink" Target="https://github.com/TheGoatIA/univers_barca_admin/issues?q=is%3Aissue+%22%5BADM-WI-13%5D%22" TargetMode="External"/><Relationship Id="rId1275" Type="http://schemas.openxmlformats.org/officeDocument/2006/relationships/hyperlink" Target="https://github.com/TheGoatIA/univers_barca_admin/issues?q=is%3Aissue+%22%5BADM-WI-14%5D%22" TargetMode="External"/><Relationship Id="rId1276" Type="http://schemas.openxmlformats.org/officeDocument/2006/relationships/hyperlink" Target="https://github.com/TheGoatIA/univers_barca_admin/issues?q=is%3Aissue+%22%5BADM-WI-15%5D%22" TargetMode="External"/><Relationship Id="rId1277" Type="http://schemas.openxmlformats.org/officeDocument/2006/relationships/hyperlink" Target="https://github.com/TheGoatIA/univers_barca_admin/issues?q=is%3Aissue+%22%5BADM-WI-16%5D%22" TargetMode="External"/><Relationship Id="rId1278" Type="http://schemas.openxmlformats.org/officeDocument/2006/relationships/hyperlink" Target="https://github.com/TheGoatIA/univers_barca_admin/issues?q=is%3Aissue+%22%5BADM-WI-17%5D%22" TargetMode="External"/><Relationship Id="rId1279" Type="http://schemas.openxmlformats.org/officeDocument/2006/relationships/hyperlink" Target="https://github.com/TheGoatIA/univers_barca_admin/issues?q=is%3Aissue+%22%5BADM-WI-18%5D%22" TargetMode="External"/><Relationship Id="rId1280" Type="http://schemas.openxmlformats.org/officeDocument/2006/relationships/hyperlink" Target="https://github.com/TheGoatIA/univers_barca_admin/issues?q=is%3Aissue+%22%5BADM-WI-19%5D%22" TargetMode="External"/><Relationship Id="rId1281" Type="http://schemas.openxmlformats.org/officeDocument/2006/relationships/hyperlink" Target="https://github.com/TheGoatIA/univers_barca_admin/issues?q=is%3Aissue+%22%5BADM-WI-20%5D%22" TargetMode="External"/><Relationship Id="rId1282" Type="http://schemas.openxmlformats.org/officeDocument/2006/relationships/hyperlink" Target="https://github.com/TheGoatIA/univers_barca_admin/issues?q=is%3Aissue+%22%5BADM-WI-21%5D%22" TargetMode="External"/><Relationship Id="rId1283" Type="http://schemas.openxmlformats.org/officeDocument/2006/relationships/hyperlink" Target="https://github.com/TheGoatIA/univers_barca_admin/issues?q=is%3Aissue+%22%5BADM-WJ-01%5D%22" TargetMode="External"/><Relationship Id="rId1284" Type="http://schemas.openxmlformats.org/officeDocument/2006/relationships/hyperlink" Target="https://github.com/TheGoatIA/univers_barca_admin/issues?q=is%3Aissue+%22%5BADM-WJ-02%5D%22" TargetMode="External"/><Relationship Id="rId1285" Type="http://schemas.openxmlformats.org/officeDocument/2006/relationships/hyperlink" Target="https://github.com/TheGoatIA/univers_barca_admin/issues?q=is%3Aissue+%22%5BADM-WJ-03%5D%22" TargetMode="External"/><Relationship Id="rId1286" Type="http://schemas.openxmlformats.org/officeDocument/2006/relationships/hyperlink" Target="https://github.com/TheGoatIA/univers_barca_admin/issues?q=is%3Aissue+%22%5BADM-WJ-04%5D%22" TargetMode="External"/><Relationship Id="rId1287" Type="http://schemas.openxmlformats.org/officeDocument/2006/relationships/hyperlink" Target="https://github.com/TheGoatIA/univers_barca_admin/issues?q=is%3Aissue+%22%5BADM-WG-01%5D%22" TargetMode="External"/><Relationship Id="rId1288" Type="http://schemas.openxmlformats.org/officeDocument/2006/relationships/hyperlink" Target="https://github.com/TheGoatIA/univers_barca_admin/issues?q=is%3Aissue+%22%5BADM-WG-02%5D%22" TargetMode="External"/><Relationship Id="rId1289" Type="http://schemas.openxmlformats.org/officeDocument/2006/relationships/hyperlink" Target="https://github.com/TheGoatIA/univers_barca_admin/issues?q=is%3Aissue+%22%5BADM-WG-03%5D%22" TargetMode="External"/><Relationship Id="rId1290" Type="http://schemas.openxmlformats.org/officeDocument/2006/relationships/hyperlink" Target="https://github.com/TheGoatIA/univers_barca_admin/issues?q=is%3Aissue+%22%5BADM-WG-04%5D%22" TargetMode="External"/><Relationship Id="rId1291" Type="http://schemas.openxmlformats.org/officeDocument/2006/relationships/hyperlink" Target="https://github.com/TheGoatIA/univers_barca_admin/issues?q=is%3Aissue+%22%5BADM-WG-05%5D%22" TargetMode="External"/><Relationship Id="rId1292" Type="http://schemas.openxmlformats.org/officeDocument/2006/relationships/hyperlink" Target="https://github.com/TheGoatIA/univers_barca_admin/issues?q=is%3Aissue+%22%5BADM-WG-06%5D%22" TargetMode="External"/><Relationship Id="rId1293" Type="http://schemas.openxmlformats.org/officeDocument/2006/relationships/hyperlink" Target="https://github.com/TheGoatIA/univers_barca_admin/issues?q=is%3Aissue+%22%5BADM-WG-07%5D%22" TargetMode="External"/><Relationship Id="rId1294" Type="http://schemas.openxmlformats.org/officeDocument/2006/relationships/hyperlink" Target="https://github.com/TheGoatIA/univers_barca_admin/issues?q=is%3Aissue+%22%5BADM-WG-08%5D%22" TargetMode="External"/><Relationship Id="rId1295" Type="http://schemas.openxmlformats.org/officeDocument/2006/relationships/hyperlink" Target="https://github.com/TheGoatIA/univers_barca_admin/issues?q=is%3Aissue+%22%5BADM-WG-09%5D%22" TargetMode="External"/><Relationship Id="rId1296" Type="http://schemas.openxmlformats.org/officeDocument/2006/relationships/hyperlink" Target="https://github.com/TheGoatIA/univers_barca_admin/issues?q=is%3Aissue+%22%5BADM-WG-10%5D%22" TargetMode="External"/><Relationship Id="rId1297" Type="http://schemas.openxmlformats.org/officeDocument/2006/relationships/hyperlink" Target="https://github.com/TheGoatIA/univers_barca_admin/issues?q=is%3Aissue+%22%5BADM-WG-11%5D%22" TargetMode="External"/><Relationship Id="rId1298" Type="http://schemas.openxmlformats.org/officeDocument/2006/relationships/hyperlink" Target="https://github.com/TheGoatIA/univers_barca_admin/issues?q=is%3Aissue+%22%5BADM-WG-12%5D%22" TargetMode="External"/><Relationship Id="rId1299" Type="http://schemas.openxmlformats.org/officeDocument/2006/relationships/hyperlink" Target="https://github.com/TheGoatIA/univers_barca_admin/issues?q=is%3Aissue+%22%5BADM-WG-13%5D%22" TargetMode="External"/><Relationship Id="rId1300" Type="http://schemas.openxmlformats.org/officeDocument/2006/relationships/hyperlink" Target="https://github.com/TheGoatIA/univers_barca_admin/issues?q=is%3Aissue+%22%5BADM-WG-14%5D%22" TargetMode="External"/><Relationship Id="rId1301" Type="http://schemas.openxmlformats.org/officeDocument/2006/relationships/hyperlink" Target="https://github.com/TheGoatIA/univers_barca_admin/issues?q=is%3Aissue+%22%5BADM-WG-15%5D%22" TargetMode="External"/><Relationship Id="rId1302" Type="http://schemas.openxmlformats.org/officeDocument/2006/relationships/hyperlink" Target="https://github.com/TheGoatIA/univers_barca_admin/issues?q=is%3Aissue+%22%5BADM-WG-16%5D%22" TargetMode="External"/><Relationship Id="rId1303" Type="http://schemas.openxmlformats.org/officeDocument/2006/relationships/hyperlink" Target="https://github.com/TheGoatIA/univers_barca_admin/issues?q=is%3Aissue+%22%5BADM-WG-17%5D%22" TargetMode="External"/><Relationship Id="rId1304" Type="http://schemas.openxmlformats.org/officeDocument/2006/relationships/hyperlink" Target="https://github.com/TheGoatIA/univers_barca_admin/issues?q=is%3Aissue+%22%5BADM-WG-18%5D%22" TargetMode="External"/><Relationship Id="rId1305" Type="http://schemas.openxmlformats.org/officeDocument/2006/relationships/hyperlink" Target="https://github.com/TheGoatIA/univers_barca_admin/issues?q=is%3Aissue+%22%5BADM-WG-19%5D%22" TargetMode="External"/><Relationship Id="rId1306" Type="http://schemas.openxmlformats.org/officeDocument/2006/relationships/hyperlink" Target="https://github.com/TheGoatIA/univers_barca_admin/issues?q=is%3Aissue+%22%5BADM-WG-20%5D%22" TargetMode="External"/><Relationship Id="rId1307" Type="http://schemas.openxmlformats.org/officeDocument/2006/relationships/hyperlink" Target="https://github.com/TheGoatIA/univers_barca_admin/issues?q=is%3Aissue+%22%5BADM-WG-21%5D%22" TargetMode="External"/><Relationship Id="rId1308" Type="http://schemas.openxmlformats.org/officeDocument/2006/relationships/hyperlink" Target="https://github.com/TheGoatIA/univers_barca_admin/issues?q=is%3Aissue+%22%5BADM-WG-22%5D%22" TargetMode="External"/><Relationship Id="rId1309" Type="http://schemas.openxmlformats.org/officeDocument/2006/relationships/hyperlink" Target="https://github.com/TheGoatIA/univers_barca_admin/issues?q=is%3Aissue+%22%5BADM-WG-23%5D%22" TargetMode="External"/><Relationship Id="rId1310" Type="http://schemas.openxmlformats.org/officeDocument/2006/relationships/hyperlink" Target="https://github.com/TheGoatIA/univers_barca_admin/issues?q=is%3Aissue+%22%5BADM-WG-24%5D%22" TargetMode="External"/><Relationship Id="rId1311" Type="http://schemas.openxmlformats.org/officeDocument/2006/relationships/hyperlink" Target="https://github.com/TheGoatIA/univers_barca_admin/issues?q=is%3Aissue+%22%5BADM-WG-25%5D%22" TargetMode="External"/><Relationship Id="rId1312" Type="http://schemas.openxmlformats.org/officeDocument/2006/relationships/hyperlink" Target="https://github.com/TheGoatIA/univers_barca_admin/issues?q=is%3Aissue+%22%5BADM-WG-26%5D%22" TargetMode="External"/><Relationship Id="rId1313" Type="http://schemas.openxmlformats.org/officeDocument/2006/relationships/hyperlink" Target="https://github.com/TheGoatIA/univers_barca_admin/issues?q=is%3Aissue+%22%5BADM-WG-27%5D%22" TargetMode="External"/><Relationship Id="rId1314" Type="http://schemas.openxmlformats.org/officeDocument/2006/relationships/hyperlink" Target="https://github.com/TheGoatIA/univers_barca_admin/issues?q=is%3Aissue+%22%5BADM-WJ-05%5D%22" TargetMode="External"/><Relationship Id="rId1315" Type="http://schemas.openxmlformats.org/officeDocument/2006/relationships/hyperlink" Target="https://github.com/TheGoatIA/univers_barca_admin/issues?q=is%3Aissue+%22%5BADM-WJ-06%5D%22" TargetMode="External"/><Relationship Id="rId1316" Type="http://schemas.openxmlformats.org/officeDocument/2006/relationships/hyperlink" Target="https://github.com/TheGoatIA/univers_barca_admin/issues?q=is%3Aissue+%22%5BADM-WJ-07%5D%22" TargetMode="External"/><Relationship Id="rId1317" Type="http://schemas.openxmlformats.org/officeDocument/2006/relationships/hyperlink" Target="https://github.com/TheGoatIA/univers_barca_admin/issues?q=is%3Aissue+%22%5BADM-WJ-08%5D%22" TargetMode="External"/><Relationship Id="rId1318" Type="http://schemas.openxmlformats.org/officeDocument/2006/relationships/hyperlink" Target="https://github.com/TheGoatIA/univers_barca_admin/issues?q=is%3Aissue+%22%5BADM-WJ-13%5D%22" TargetMode="External"/><Relationship Id="rId1319" Type="http://schemas.openxmlformats.org/officeDocument/2006/relationships/hyperlink" Target="https://github.com/TheGoatIA/univers_barca_admin/issues?q=is%3Aissue+%22%5BADM-WJ-09%5D%22" TargetMode="External"/><Relationship Id="rId1320" Type="http://schemas.openxmlformats.org/officeDocument/2006/relationships/hyperlink" Target="https://github.com/TheGoatIA/univers_barca_admin/issues?q=is%3Aissue+%22%5BADM-WJ-10%5D%22" TargetMode="External"/><Relationship Id="rId1321" Type="http://schemas.openxmlformats.org/officeDocument/2006/relationships/hyperlink" Target="https://github.com/TheGoatIA/univers_barca_admin/issues?q=is%3Aissue+%22%5BADM-WJ-11%5D%22" TargetMode="External"/><Relationship Id="rId1322" Type="http://schemas.openxmlformats.org/officeDocument/2006/relationships/hyperlink" Target="https://github.com/TheGoatIA/univers_barca_admin/issues?q=is%3Aissue+%22%5BADM-WJ-12%5D%22" TargetMode="External"/><Relationship Id="rId1323" Type="http://schemas.openxmlformats.org/officeDocument/2006/relationships/drawing" Target="../drawings/drawing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50044"/>
    <pageSetUpPr fitToPage="false"/>
  </sheetPr>
  <dimension ref="A1:A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</row>
    <row r="6" customFormat="false" ht="15" hidden="false" customHeight="false" outlineLevel="0" collapsed="false">
      <c r="A6" s="4" t="s">
        <v>4</v>
      </c>
    </row>
    <row r="7" customFormat="false" ht="15" hidden="false" customHeight="false" outlineLevel="0" collapsed="false">
      <c r="A7" s="4" t="s">
        <v>5</v>
      </c>
    </row>
    <row r="8" customFormat="false" ht="15" hidden="false" customHeight="false" outlineLevel="0" collapsed="false">
      <c r="A8" s="4" t="s">
        <v>6</v>
      </c>
    </row>
    <row r="9" customFormat="false" ht="15" hidden="false" customHeight="false" outlineLevel="0" collapsed="false">
      <c r="A9" s="4" t="s">
        <v>7</v>
      </c>
    </row>
    <row r="10" customFormat="false" ht="15" hidden="false" customHeight="false" outlineLevel="0" collapsed="false">
      <c r="A10" s="3" t="s">
        <v>8</v>
      </c>
    </row>
    <row r="11" customFormat="false" ht="15" hidden="false" customHeight="false" outlineLevel="0" collapsed="false">
      <c r="A11" s="4" t="s">
        <v>9</v>
      </c>
    </row>
    <row r="12" customFormat="false" ht="15" hidden="false" customHeight="false" outlineLevel="0" collapsed="false">
      <c r="A12" s="3" t="s">
        <v>10</v>
      </c>
    </row>
    <row r="13" customFormat="false" ht="15" hidden="false" customHeight="false" outlineLevel="0" collapsed="false">
      <c r="A13" s="4" t="s">
        <v>11</v>
      </c>
    </row>
    <row r="14" customFormat="false" ht="15" hidden="false" customHeight="false" outlineLevel="0" collapsed="false">
      <c r="A14" s="4" t="s">
        <v>12</v>
      </c>
    </row>
    <row r="15" customFormat="false" ht="15" hidden="false" customHeight="false" outlineLevel="0" collapsed="false">
      <c r="A15" s="4" t="s">
        <v>13</v>
      </c>
    </row>
    <row r="16" customFormat="false" ht="15" hidden="false" customHeight="false" outlineLevel="0" collapsed="false">
      <c r="A16" s="4" t="s">
        <v>14</v>
      </c>
    </row>
    <row r="17" customFormat="false" ht="15" hidden="false" customHeight="false" outlineLevel="0" collapsed="false">
      <c r="A17" s="3" t="s">
        <v>15</v>
      </c>
    </row>
    <row r="18" customFormat="false" ht="15" hidden="false" customHeight="false" outlineLevel="0" collapsed="false">
      <c r="A18" s="4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50044"/>
    <pageSetUpPr fitToPage="false"/>
  </sheetPr>
  <dimension ref="A1:C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40"/>
    <col collapsed="false" customWidth="true" hidden="false" outlineLevel="0" max="3" min="3" style="0" width="90"/>
  </cols>
  <sheetData>
    <row r="1" customFormat="false" ht="19.7" hidden="false" customHeight="false" outlineLevel="0" collapsed="false">
      <c r="A1" s="1" t="s">
        <v>17</v>
      </c>
    </row>
    <row r="2" customFormat="false" ht="15" hidden="false" customHeight="false" outlineLevel="0" collapsed="false">
      <c r="A2" s="2" t="s">
        <v>18</v>
      </c>
    </row>
    <row r="4" customFormat="false" ht="15" hidden="false" customHeight="false" outlineLevel="0" collapsed="false">
      <c r="A4" s="5" t="s">
        <v>19</v>
      </c>
      <c r="B4" s="6" t="n">
        <v>46328</v>
      </c>
      <c r="C4" s="7" t="s">
        <v>20</v>
      </c>
    </row>
    <row r="5" customFormat="false" ht="15" hidden="false" customHeight="false" outlineLevel="0" collapsed="false">
      <c r="A5" s="5" t="s">
        <v>21</v>
      </c>
      <c r="B5" s="8" t="n">
        <v>0.8</v>
      </c>
      <c r="C5" s="7" t="s">
        <v>22</v>
      </c>
    </row>
    <row r="6" customFormat="false" ht="15" hidden="false" customHeight="false" outlineLevel="0" collapsed="false">
      <c r="A6" s="5" t="s">
        <v>23</v>
      </c>
      <c r="B6" s="8" t="n">
        <v>0.15</v>
      </c>
      <c r="C6" s="7" t="s">
        <v>24</v>
      </c>
    </row>
    <row r="7" customFormat="false" ht="15" hidden="false" customHeight="false" outlineLevel="0" collapsed="false">
      <c r="A7" s="5" t="s">
        <v>25</v>
      </c>
      <c r="B7" s="9" t="n">
        <v>3</v>
      </c>
      <c r="C7" s="7" t="s">
        <v>26</v>
      </c>
    </row>
    <row r="8" customFormat="false" ht="15" hidden="false" customHeight="false" outlineLevel="0" collapsed="false">
      <c r="A8" s="5" t="s">
        <v>27</v>
      </c>
      <c r="B8" s="9" t="n">
        <v>3</v>
      </c>
      <c r="C8" s="7"/>
    </row>
    <row r="9" customFormat="false" ht="15" hidden="false" customHeight="false" outlineLevel="0" collapsed="false">
      <c r="A9" s="5" t="s">
        <v>28</v>
      </c>
      <c r="B9" s="9" t="n">
        <v>2</v>
      </c>
      <c r="C9" s="7"/>
    </row>
    <row r="10" customFormat="false" ht="15" hidden="false" customHeight="false" outlineLevel="0" collapsed="false">
      <c r="A10" s="5" t="s">
        <v>29</v>
      </c>
      <c r="B10" s="10" t="n">
        <v>20</v>
      </c>
      <c r="C10" s="7" t="s">
        <v>30</v>
      </c>
    </row>
    <row r="11" customFormat="false" ht="15" hidden="false" customHeight="false" outlineLevel="0" collapsed="false">
      <c r="A11" s="5" t="s">
        <v>31</v>
      </c>
      <c r="B11" s="10" t="n">
        <v>10</v>
      </c>
      <c r="C11" s="7" t="s">
        <v>32</v>
      </c>
    </row>
    <row r="13" customFormat="false" ht="15" hidden="false" customHeight="false" outlineLevel="0" collapsed="false">
      <c r="A13" s="11" t="s">
        <v>33</v>
      </c>
    </row>
    <row r="14" customFormat="false" ht="15" hidden="false" customHeight="false" outlineLevel="0" collapsed="false">
      <c r="A14" s="12" t="s">
        <v>34</v>
      </c>
      <c r="B14" s="12" t="s">
        <v>35</v>
      </c>
      <c r="C14" s="12" t="s">
        <v>36</v>
      </c>
    </row>
    <row r="15" customFormat="false" ht="15" hidden="false" customHeight="false" outlineLevel="0" collapsed="false">
      <c r="A15" s="5" t="s">
        <v>37</v>
      </c>
      <c r="B15" s="13" t="n">
        <v>0.25</v>
      </c>
      <c r="C15" s="14" t="s">
        <v>38</v>
      </c>
    </row>
    <row r="16" customFormat="false" ht="15" hidden="false" customHeight="false" outlineLevel="0" collapsed="false">
      <c r="A16" s="5" t="s">
        <v>39</v>
      </c>
      <c r="B16" s="13" t="n">
        <v>0.5</v>
      </c>
      <c r="C16" s="14" t="s">
        <v>40</v>
      </c>
    </row>
    <row r="17" customFormat="false" ht="15" hidden="false" customHeight="false" outlineLevel="0" collapsed="false">
      <c r="A17" s="5" t="s">
        <v>41</v>
      </c>
      <c r="B17" s="13" t="n">
        <v>1</v>
      </c>
      <c r="C17" s="14" t="s">
        <v>42</v>
      </c>
    </row>
    <row r="18" customFormat="false" ht="15" hidden="false" customHeight="false" outlineLevel="0" collapsed="false">
      <c r="A18" s="5" t="s">
        <v>43</v>
      </c>
      <c r="B18" s="13" t="n">
        <v>2</v>
      </c>
      <c r="C18" s="14" t="s">
        <v>44</v>
      </c>
    </row>
    <row r="19" customFormat="false" ht="15" hidden="false" customHeight="false" outlineLevel="0" collapsed="false">
      <c r="A19" s="5" t="s">
        <v>45</v>
      </c>
      <c r="B19" s="13" t="n">
        <v>3.5</v>
      </c>
      <c r="C19" s="14" t="s">
        <v>46</v>
      </c>
    </row>
    <row r="22" customFormat="false" ht="15" hidden="false" customHeight="false" outlineLevel="0" collapsed="false">
      <c r="A22" s="11" t="s">
        <v>47</v>
      </c>
    </row>
    <row r="23" customFormat="false" ht="15" hidden="false" customHeight="false" outlineLevel="0" collapsed="false">
      <c r="A23" s="12" t="s">
        <v>48</v>
      </c>
      <c r="B23" s="12" t="s">
        <v>49</v>
      </c>
      <c r="C23" s="12" t="s">
        <v>50</v>
      </c>
    </row>
    <row r="24" customFormat="false" ht="15" hidden="false" customHeight="false" outlineLevel="0" collapsed="false">
      <c r="A24" s="15" t="n">
        <v>0</v>
      </c>
      <c r="B24" s="16" t="s">
        <v>51</v>
      </c>
      <c r="C24" s="14" t="s">
        <v>52</v>
      </c>
    </row>
    <row r="25" customFormat="false" ht="15" hidden="false" customHeight="false" outlineLevel="0" collapsed="false">
      <c r="A25" s="17" t="n">
        <v>1</v>
      </c>
      <c r="B25" s="16" t="s">
        <v>53</v>
      </c>
      <c r="C25" s="14" t="s">
        <v>54</v>
      </c>
    </row>
    <row r="26" customFormat="false" ht="15" hidden="false" customHeight="false" outlineLevel="0" collapsed="false">
      <c r="A26" s="18" t="n">
        <v>2</v>
      </c>
      <c r="B26" s="16" t="s">
        <v>55</v>
      </c>
      <c r="C26" s="14" t="s">
        <v>56</v>
      </c>
    </row>
    <row r="27" customFormat="false" ht="15" hidden="false" customHeight="false" outlineLevel="0" collapsed="false">
      <c r="A27" s="19" t="n">
        <v>3</v>
      </c>
      <c r="B27" s="16" t="s">
        <v>57</v>
      </c>
      <c r="C27" s="14" t="s">
        <v>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4D98"/>
    <pageSetUpPr fitToPage="false"/>
  </sheetPr>
  <dimension ref="A1:M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7"/>
    <col collapsed="false" customWidth="true" hidden="false" outlineLevel="0" max="3" min="3" style="0" width="30"/>
    <col collapsed="false" customWidth="true" hidden="false" outlineLevel="0" max="4" min="4" style="0" width="40"/>
    <col collapsed="false" customWidth="true" hidden="false" outlineLevel="0" max="5" min="5" style="0" width="30"/>
    <col collapsed="false" customWidth="true" hidden="false" outlineLevel="0" max="6" min="6" style="0" width="18"/>
    <col collapsed="false" customWidth="true" hidden="false" outlineLevel="0" max="8" min="7" style="0" width="46"/>
    <col collapsed="false" customWidth="true" hidden="false" outlineLevel="0" max="9" min="9" style="0" width="10"/>
    <col collapsed="false" customWidth="true" hidden="false" outlineLevel="0" max="11" min="10" style="0" width="12"/>
    <col collapsed="false" customWidth="true" hidden="false" outlineLevel="0" max="12" min="12" style="0" width="9"/>
    <col collapsed="false" customWidth="true" hidden="false" outlineLevel="0" max="13" min="13" style="0" width="11"/>
  </cols>
  <sheetData>
    <row r="1" customFormat="false" ht="19.7" hidden="false" customHeight="false" outlineLevel="0" collapsed="false">
      <c r="A1" s="1" t="s">
        <v>59</v>
      </c>
    </row>
    <row r="2" customFormat="false" ht="15" hidden="false" customHeight="false" outlineLevel="0" collapsed="false">
      <c r="A2" s="2" t="s">
        <v>60</v>
      </c>
    </row>
    <row r="5" customFormat="false" ht="15" hidden="false" customHeight="false" outlineLevel="0" collapsed="false">
      <c r="A5" s="12" t="s">
        <v>61</v>
      </c>
      <c r="B5" s="12" t="s">
        <v>48</v>
      </c>
      <c r="C5" s="12" t="s">
        <v>49</v>
      </c>
      <c r="D5" s="12" t="s">
        <v>62</v>
      </c>
      <c r="E5" s="12" t="s">
        <v>63</v>
      </c>
      <c r="F5" s="12" t="s">
        <v>64</v>
      </c>
      <c r="G5" s="12" t="s">
        <v>65</v>
      </c>
      <c r="H5" s="12" t="s">
        <v>66</v>
      </c>
      <c r="I5" s="12" t="s">
        <v>35</v>
      </c>
      <c r="J5" s="12" t="s">
        <v>67</v>
      </c>
      <c r="K5" s="12" t="s">
        <v>68</v>
      </c>
      <c r="L5" s="12" t="s">
        <v>69</v>
      </c>
      <c r="M5" s="12" t="s">
        <v>70</v>
      </c>
    </row>
    <row r="6" customFormat="false" ht="63.75" hidden="false" customHeight="true" outlineLevel="0" collapsed="false">
      <c r="A6" s="20" t="s">
        <v>71</v>
      </c>
      <c r="B6" s="21" t="n">
        <v>0</v>
      </c>
      <c r="C6" s="20" t="s">
        <v>72</v>
      </c>
      <c r="D6" s="22" t="s">
        <v>73</v>
      </c>
      <c r="E6" s="22" t="s">
        <v>74</v>
      </c>
      <c r="F6" s="22" t="s">
        <v>75</v>
      </c>
      <c r="G6" s="22" t="s">
        <v>76</v>
      </c>
      <c r="H6" s="22" t="s">
        <v>77</v>
      </c>
      <c r="I6" s="23" t="n">
        <v>0</v>
      </c>
      <c r="J6" s="24" t="n">
        <f aca="false">WORKDAY(Paramètres!$B$4,-10)</f>
        <v>46314</v>
      </c>
      <c r="K6" s="24" t="n">
        <f aca="false">WORKDAY(Paramètres!$B$4,-1)</f>
        <v>46325</v>
      </c>
      <c r="L6" s="22" t="n">
        <f aca="false">NETWORKDAYS(J6,K6)</f>
        <v>10</v>
      </c>
      <c r="M6" s="25" t="s">
        <v>78</v>
      </c>
    </row>
    <row r="7" customFormat="false" ht="63.75" hidden="false" customHeight="true" outlineLevel="0" collapsed="false">
      <c r="A7" s="20" t="s">
        <v>79</v>
      </c>
      <c r="B7" s="21" t="n">
        <v>0</v>
      </c>
      <c r="C7" s="20" t="s">
        <v>80</v>
      </c>
      <c r="D7" s="22" t="s">
        <v>81</v>
      </c>
      <c r="E7" s="22" t="s">
        <v>82</v>
      </c>
      <c r="F7" s="22" t="s">
        <v>71</v>
      </c>
      <c r="G7" s="22" t="s">
        <v>83</v>
      </c>
      <c r="H7" s="22" t="s">
        <v>84</v>
      </c>
      <c r="I7" s="23" t="n">
        <f aca="false">SUMIFS(Épopées!$G$6:$G$59,Épopées!$A$6:$A$59,"API-PLAT|0")+SUMIFS(Épopées!$G$6:$G$59,Épopées!$A$6:$A$59,"API-AUTH|0")</f>
        <v>8.75</v>
      </c>
      <c r="J7" s="24" t="n">
        <f aca="false">MIN(SUMIFS(Épopées!$L$6:$L$59,Épopées!$A$6:$A$59,"API-PLAT|0"),SUMIFS(Épopées!$L$6:$L$59,Épopées!$A$6:$A$59,"API-AUTH|0"))</f>
        <v>46328</v>
      </c>
      <c r="K7" s="24" t="n">
        <f aca="false">MAX(SUMIFS(Épopées!$M$6:$M$59,Épopées!$A$6:$A$59,"API-PLAT|0"),SUMIFS(Épopées!$M$6:$M$59,Épopées!$A$6:$A$59,"API-AUTH|0"))</f>
        <v>46332</v>
      </c>
      <c r="L7" s="22" t="n">
        <f aca="false">NETWORKDAYS(J7,K7)</f>
        <v>5</v>
      </c>
      <c r="M7" s="25" t="s">
        <v>78</v>
      </c>
    </row>
    <row r="8" customFormat="false" ht="63.75" hidden="false" customHeight="true" outlineLevel="0" collapsed="false">
      <c r="A8" s="20" t="s">
        <v>85</v>
      </c>
      <c r="B8" s="21" t="n">
        <v>0</v>
      </c>
      <c r="C8" s="20" t="s">
        <v>86</v>
      </c>
      <c r="D8" s="22" t="s">
        <v>87</v>
      </c>
      <c r="E8" s="22" t="s">
        <v>88</v>
      </c>
      <c r="F8" s="22" t="s">
        <v>71</v>
      </c>
      <c r="G8" s="22" t="s">
        <v>89</v>
      </c>
      <c r="H8" s="22" t="s">
        <v>90</v>
      </c>
      <c r="I8" s="23" t="n">
        <f aca="false">SUMIFS(Épopées!$G$6:$G$59,Épopées!$A$6:$A$59,"MOB-ZA|0")+SUMIFS(Épopées!$G$6:$G$59,Épopées!$A$6:$A$59,"MOB-ZB|0")+SUMIFS(Épopées!$G$6:$G$59,Épopées!$A$6:$A$59,"MOB-ZC|0")+SUMIFS(Épopées!$G$6:$G$59,Épopées!$A$6:$A$59,"MOB-ZD|0")+SUMIFS(Épopées!$G$6:$G$59,Épopées!$A$6:$A$59,"MOB-ZE|0")</f>
        <v>89.5</v>
      </c>
      <c r="J8" s="24" t="n">
        <f aca="false">MIN(SUMIFS(Épopées!$L$6:$L$59,Épopées!$A$6:$A$59,"MOB-ZA|0"),SUMIFS(Épopées!$L$6:$L$59,Épopées!$A$6:$A$59,"MOB-ZB|0"),SUMIFS(Épopées!$L$6:$L$59,Épopées!$A$6:$A$59,"MOB-ZC|0"),SUMIFS(Épopées!$L$6:$L$59,Épopées!$A$6:$A$59,"MOB-ZD|0"),SUMIFS(Épopées!$L$6:$L$59,Épopées!$A$6:$A$59,"MOB-ZE|0"))</f>
        <v>46363</v>
      </c>
      <c r="K8" s="24" t="n">
        <f aca="false">MAX(SUMIFS(Épopées!$M$6:$M$59,Épopées!$A$6:$A$59,"MOB-ZA|0"),SUMIFS(Épopées!$M$6:$M$59,Épopées!$A$6:$A$59,"MOB-ZB|0"),SUMIFS(Épopées!$M$6:$M$59,Épopées!$A$6:$A$59,"MOB-ZC|0"),SUMIFS(Épopées!$M$6:$M$59,Épopées!$A$6:$A$59,"MOB-ZD|0"),SUMIFS(Épopées!$M$6:$M$59,Épopées!$A$6:$A$59,"MOB-ZE|0"))</f>
        <v>46423</v>
      </c>
      <c r="L8" s="22" t="n">
        <f aca="false">NETWORKDAYS(J8,K8)</f>
        <v>45</v>
      </c>
      <c r="M8" s="25" t="s">
        <v>78</v>
      </c>
    </row>
    <row r="9" customFormat="false" ht="63.75" hidden="false" customHeight="true" outlineLevel="0" collapsed="false">
      <c r="A9" s="20" t="s">
        <v>91</v>
      </c>
      <c r="B9" s="21" t="n">
        <v>0</v>
      </c>
      <c r="C9" s="20" t="s">
        <v>92</v>
      </c>
      <c r="D9" s="22" t="s">
        <v>93</v>
      </c>
      <c r="E9" s="22" t="s">
        <v>94</v>
      </c>
      <c r="F9" s="22" t="s">
        <v>95</v>
      </c>
      <c r="G9" s="22" t="s">
        <v>96</v>
      </c>
      <c r="H9" s="22" t="s">
        <v>97</v>
      </c>
      <c r="I9" s="23" t="n">
        <f aca="false">SUMIFS(Épopées!$G$6:$G$59,Épopées!$A$6:$A$59,"MOB-FND|0")+SUMIFS(Épopées!$G$6:$G$59,Épopées!$A$6:$A$59,"MOB-A|0")</f>
        <v>66.25</v>
      </c>
      <c r="J9" s="24" t="n">
        <f aca="false">MIN(SUMIFS(Épopées!$L$6:$L$59,Épopées!$A$6:$A$59,"MOB-FND|0"),SUMIFS(Épopées!$L$6:$L$59,Épopées!$A$6:$A$59,"MOB-A|0"))</f>
        <v>46328</v>
      </c>
      <c r="K9" s="24" t="n">
        <f aca="false">MAX(SUMIFS(Épopées!$M$6:$M$59,Épopées!$A$6:$A$59,"MOB-FND|0"),SUMIFS(Épopées!$M$6:$M$59,Épopées!$A$6:$A$59,"MOB-A|0"))</f>
        <v>46435</v>
      </c>
      <c r="L9" s="22" t="n">
        <f aca="false">NETWORKDAYS(J9,K9)</f>
        <v>78</v>
      </c>
      <c r="M9" s="25" t="s">
        <v>78</v>
      </c>
    </row>
    <row r="10" customFormat="false" ht="63.75" hidden="false" customHeight="true" outlineLevel="0" collapsed="false">
      <c r="A10" s="20" t="s">
        <v>98</v>
      </c>
      <c r="B10" s="21" t="n">
        <v>0</v>
      </c>
      <c r="C10" s="20" t="s">
        <v>99</v>
      </c>
      <c r="D10" s="22" t="s">
        <v>100</v>
      </c>
      <c r="E10" s="22" t="s">
        <v>101</v>
      </c>
      <c r="F10" s="22" t="s">
        <v>71</v>
      </c>
      <c r="G10" s="22" t="s">
        <v>102</v>
      </c>
      <c r="H10" s="22" t="s">
        <v>103</v>
      </c>
      <c r="I10" s="23" t="n">
        <f aca="false">SUMIFS(Épopées!$G$6:$G$59,Épopées!$A$6:$A$59,"ADM-FND|0")+SUMIFS(Épopées!$G$6:$G$59,Épopées!$A$6:$A$59,"ADM-ADS|0")</f>
        <v>60</v>
      </c>
      <c r="J10" s="24" t="n">
        <f aca="false">MIN(SUMIFS(Épopées!$L$6:$L$59,Épopées!$A$6:$A$59,"ADM-FND|0"),SUMIFS(Épopées!$L$6:$L$59,Épopées!$A$6:$A$59,"ADM-ADS|0"))</f>
        <v>46328</v>
      </c>
      <c r="K10" s="24" t="n">
        <f aca="false">MAX(SUMIFS(Épopées!$M$6:$M$59,Épopées!$A$6:$A$59,"ADM-FND|0"),SUMIFS(Épopées!$M$6:$M$59,Épopées!$A$6:$A$59,"ADM-ADS|0"))</f>
        <v>46387</v>
      </c>
      <c r="L10" s="22" t="n">
        <f aca="false">NETWORKDAYS(J10,K10)</f>
        <v>44</v>
      </c>
      <c r="M10" s="25" t="s">
        <v>78</v>
      </c>
    </row>
    <row r="11" customFormat="false" ht="63.75" hidden="false" customHeight="true" outlineLevel="0" collapsed="false">
      <c r="A11" s="20" t="s">
        <v>104</v>
      </c>
      <c r="B11" s="26" t="n">
        <v>1</v>
      </c>
      <c r="C11" s="20" t="s">
        <v>105</v>
      </c>
      <c r="D11" s="22" t="s">
        <v>106</v>
      </c>
      <c r="E11" s="22" t="s">
        <v>107</v>
      </c>
      <c r="F11" s="22" t="s">
        <v>108</v>
      </c>
      <c r="G11" s="22" t="s">
        <v>109</v>
      </c>
      <c r="H11" s="22" t="s">
        <v>110</v>
      </c>
      <c r="I11" s="23" t="n">
        <f aca="false">SUMIFS(Épopées!$G$6:$G$59,Épopées!$A$6:$A$59,"API-AUTH|1")+SUMIFS(Épopées!$G$6:$G$59,Épopées!$A$6:$A$59,"MOB-B|1")+SUMIFS(Épopées!$G$6:$G$59,Épopées!$A$6:$A$59,"MOB-Q|1")+SUMIFS(Épopées!$G$6:$G$59,Épopées!$A$6:$A$59,"ADM-WA|1")+SUMIFS(Épopées!$G$6:$G$59,Épopées!$A$6:$A$59,"ADM-WI|1")</f>
        <v>146.75</v>
      </c>
      <c r="J11" s="24" t="n">
        <f aca="false">MIN(SUMIFS(Épopées!$L$6:$L$59,Épopées!$A$6:$A$59,"API-AUTH|1"),SUMIFS(Épopées!$L$6:$L$59,Épopées!$A$6:$A$59,"MOB-B|1"),SUMIFS(Épopées!$L$6:$L$59,Épopées!$A$6:$A$59,"MOB-Q|1"),SUMIFS(Épopées!$L$6:$L$59,Épopées!$A$6:$A$59,"ADM-WA|1"),SUMIFS(Épopées!$L$6:$L$59,Épopées!$A$6:$A$59,"ADM-WI|1"))</f>
        <v>46364</v>
      </c>
      <c r="K11" s="24" t="n">
        <f aca="false">MAX(SUMIFS(Épopées!$M$6:$M$59,Épopées!$A$6:$A$59,"API-AUTH|1"),SUMIFS(Épopées!$M$6:$M$59,Épopées!$A$6:$A$59,"MOB-B|1"),SUMIFS(Épopées!$M$6:$M$59,Épopées!$A$6:$A$59,"MOB-Q|1"),SUMIFS(Épopées!$M$6:$M$59,Épopées!$A$6:$A$59,"ADM-WA|1"),SUMIFS(Épopées!$M$6:$M$59,Épopées!$A$6:$A$59,"ADM-WI|1"))</f>
        <v>46563</v>
      </c>
      <c r="L11" s="22" t="n">
        <f aca="false">NETWORKDAYS(J11,K11)</f>
        <v>144</v>
      </c>
      <c r="M11" s="25" t="s">
        <v>78</v>
      </c>
    </row>
    <row r="12" customFormat="false" ht="63.75" hidden="false" customHeight="true" outlineLevel="0" collapsed="false">
      <c r="A12" s="20" t="s">
        <v>111</v>
      </c>
      <c r="B12" s="26" t="n">
        <v>1</v>
      </c>
      <c r="C12" s="20" t="s">
        <v>112</v>
      </c>
      <c r="D12" s="22" t="s">
        <v>113</v>
      </c>
      <c r="E12" s="22" t="s">
        <v>114</v>
      </c>
      <c r="F12" s="22" t="s">
        <v>115</v>
      </c>
      <c r="G12" s="22" t="s">
        <v>116</v>
      </c>
      <c r="H12" s="22" t="s">
        <v>117</v>
      </c>
      <c r="I12" s="23" t="n">
        <f aca="false">SUMIFS(Épopées!$G$6:$G$59,Épopées!$A$6:$A$59,"API-FOOT|1")+SUMIFS(Épopées!$G$6:$G$59,Épopées!$A$6:$A$59,"MOB-F|1")+SUMIFS(Épopées!$G$6:$G$59,Épopées!$A$6:$A$59,"ADM-WC|1")+SUMIFS(Épopées!$G$6:$G$59,Épopées!$A$6:$A$59,"ADM-WD|1")+SUMIFS(Épopées!$G$6:$G$59,Épopées!$A$6:$A$59,"ADM-WE|1")</f>
        <v>159.5</v>
      </c>
      <c r="J12" s="24" t="n">
        <f aca="false">MIN(SUMIFS(Épopées!$L$6:$L$59,Épopées!$A$6:$A$59,"API-FOOT|1"),SUMIFS(Épopées!$L$6:$L$59,Épopées!$A$6:$A$59,"MOB-F|1"),SUMIFS(Épopées!$L$6:$L$59,Épopées!$A$6:$A$59,"ADM-WC|1"),SUMIFS(Épopées!$L$6:$L$59,Épopées!$A$6:$A$59,"ADM-WD|1"),SUMIFS(Épopées!$L$6:$L$59,Épopées!$A$6:$A$59,"ADM-WE|1"))</f>
        <v>46399</v>
      </c>
      <c r="K12" s="24" t="n">
        <f aca="false">MAX(SUMIFS(Épopées!$M$6:$M$59,Épopées!$A$6:$A$59,"API-FOOT|1"),SUMIFS(Épopées!$M$6:$M$59,Épopées!$A$6:$A$59,"MOB-F|1"),SUMIFS(Épopées!$M$6:$M$59,Épopées!$A$6:$A$59,"ADM-WC|1"),SUMIFS(Épopées!$M$6:$M$59,Épopées!$A$6:$A$59,"ADM-WD|1"),SUMIFS(Épopées!$M$6:$M$59,Épopées!$A$6:$A$59,"ADM-WE|1"))</f>
        <v>46510</v>
      </c>
      <c r="L12" s="22" t="n">
        <f aca="false">NETWORKDAYS(J12,K12)</f>
        <v>80</v>
      </c>
      <c r="M12" s="25" t="s">
        <v>78</v>
      </c>
    </row>
    <row r="13" customFormat="false" ht="63.75" hidden="false" customHeight="true" outlineLevel="0" collapsed="false">
      <c r="A13" s="20" t="s">
        <v>118</v>
      </c>
      <c r="B13" s="26" t="n">
        <v>1</v>
      </c>
      <c r="C13" s="20" t="s">
        <v>119</v>
      </c>
      <c r="D13" s="22" t="s">
        <v>120</v>
      </c>
      <c r="E13" s="22" t="s">
        <v>121</v>
      </c>
      <c r="F13" s="22" t="s">
        <v>111</v>
      </c>
      <c r="G13" s="22" t="s">
        <v>122</v>
      </c>
      <c r="H13" s="22" t="s">
        <v>123</v>
      </c>
      <c r="I13" s="23" t="n">
        <f aca="false">SUMIFS(Épopées!$G$6:$G$59,Épopées!$A$6:$A$59,"API-CAL|1")+SUMIFS(Épopées!$G$6:$G$59,Épopées!$A$6:$A$59,"MOB-C|1")+SUMIFS(Épopées!$G$6:$G$59,Épopées!$A$6:$A$59,"MOB-L|1")+SUMIFS(Épopées!$G$6:$G$59,Épopées!$A$6:$A$59,"ADM-WB|1")</f>
        <v>94</v>
      </c>
      <c r="J13" s="24" t="n">
        <f aca="false">MIN(SUMIFS(Épopées!$L$6:$L$59,Épopées!$A$6:$A$59,"API-CAL|1"),SUMIFS(Épopées!$L$6:$L$59,Épopées!$A$6:$A$59,"MOB-C|1"),SUMIFS(Épopées!$L$6:$L$59,Épopées!$A$6:$A$59,"MOB-L|1"),SUMIFS(Épopées!$L$6:$L$59,Épopées!$A$6:$A$59,"ADM-WB|1"))</f>
        <v>46407</v>
      </c>
      <c r="K13" s="24" t="n">
        <f aca="false">MAX(SUMIFS(Épopées!$M$6:$M$59,Épopées!$A$6:$A$59,"API-CAL|1"),SUMIFS(Épopées!$M$6:$M$59,Épopées!$A$6:$A$59,"MOB-C|1"),SUMIFS(Épopées!$M$6:$M$59,Épopées!$A$6:$A$59,"MOB-L|1"),SUMIFS(Épopées!$M$6:$M$59,Épopées!$A$6:$A$59,"ADM-WB|1"))</f>
        <v>46533</v>
      </c>
      <c r="L13" s="22" t="n">
        <f aca="false">NETWORKDAYS(J13,K13)</f>
        <v>91</v>
      </c>
      <c r="M13" s="25" t="s">
        <v>78</v>
      </c>
    </row>
    <row r="14" customFormat="false" ht="63.75" hidden="false" customHeight="true" outlineLevel="0" collapsed="false">
      <c r="A14" s="20" t="s">
        <v>124</v>
      </c>
      <c r="B14" s="26" t="n">
        <v>1</v>
      </c>
      <c r="C14" s="20" t="s">
        <v>125</v>
      </c>
      <c r="D14" s="22" t="s">
        <v>126</v>
      </c>
      <c r="E14" s="22" t="s">
        <v>127</v>
      </c>
      <c r="F14" s="22" t="s">
        <v>111</v>
      </c>
      <c r="G14" s="22" t="s">
        <v>128</v>
      </c>
      <c r="H14" s="22" t="s">
        <v>129</v>
      </c>
      <c r="I14" s="23" t="n">
        <f aca="false">SUMIFS(Épopées!$G$6:$G$59,Épopées!$A$6:$A$59,"API-JEUX|1")+SUMIFS(Épopées!$G$6:$G$59,Épopées!$A$6:$A$59,"MOB-D|1")+SUMIFS(Épopées!$G$6:$G$59,Épopées!$A$6:$A$59,"MOB-E|1")+SUMIFS(Épopées!$G$6:$G$59,Épopées!$A$6:$A$59,"ADM-WF|1")</f>
        <v>127</v>
      </c>
      <c r="J14" s="24" t="n">
        <f aca="false">MIN(SUMIFS(Épopées!$L$6:$L$59,Épopées!$A$6:$A$59,"API-JEUX|1"),SUMIFS(Épopées!$L$6:$L$59,Épopées!$A$6:$A$59,"MOB-D|1"),SUMIFS(Épopées!$L$6:$L$59,Épopées!$A$6:$A$59,"MOB-E|1"),SUMIFS(Épopées!$L$6:$L$59,Épopées!$A$6:$A$59,"ADM-WF|1"))</f>
        <v>46454</v>
      </c>
      <c r="K14" s="24" t="n">
        <f aca="false">MAX(SUMIFS(Épopées!$M$6:$M$59,Épopées!$A$6:$A$59,"API-JEUX|1"),SUMIFS(Épopées!$M$6:$M$59,Épopées!$A$6:$A$59,"MOB-D|1"),SUMIFS(Épopées!$M$6:$M$59,Épopées!$A$6:$A$59,"MOB-E|1"),SUMIFS(Épopées!$M$6:$M$59,Épopées!$A$6:$A$59,"ADM-WF|1"))</f>
        <v>46573</v>
      </c>
      <c r="L14" s="22" t="n">
        <f aca="false">NETWORKDAYS(J14,K14)</f>
        <v>86</v>
      </c>
      <c r="M14" s="25" t="s">
        <v>78</v>
      </c>
    </row>
    <row r="15" customFormat="false" ht="63.75" hidden="false" customHeight="true" outlineLevel="0" collapsed="false">
      <c r="A15" s="20" t="s">
        <v>130</v>
      </c>
      <c r="B15" s="26" t="n">
        <v>1</v>
      </c>
      <c r="C15" s="20" t="s">
        <v>131</v>
      </c>
      <c r="D15" s="22" t="s">
        <v>132</v>
      </c>
      <c r="E15" s="22" t="s">
        <v>133</v>
      </c>
      <c r="F15" s="22" t="s">
        <v>111</v>
      </c>
      <c r="G15" s="22" t="s">
        <v>134</v>
      </c>
      <c r="H15" s="22" t="s">
        <v>135</v>
      </c>
      <c r="I15" s="23" t="n">
        <f aca="false">SUMIFS(Épopées!$G$6:$G$59,Épopées!$A$6:$A$59,"API-IA|1")+SUMIFS(Épopées!$G$6:$G$59,Épopées!$A$6:$A$59,"MOB-N|1")</f>
        <v>66</v>
      </c>
      <c r="J15" s="24" t="n">
        <f aca="false">MIN(SUMIFS(Épopées!$L$6:$L$59,Épopées!$A$6:$A$59,"API-IA|1"),SUMIFS(Épopées!$L$6:$L$59,Épopées!$A$6:$A$59,"MOB-N|1"))</f>
        <v>46506</v>
      </c>
      <c r="K15" s="24" t="n">
        <f aca="false">MAX(SUMIFS(Épopées!$M$6:$M$59,Épopées!$A$6:$A$59,"API-IA|1"),SUMIFS(Épopées!$M$6:$M$59,Épopées!$A$6:$A$59,"MOB-N|1"))</f>
        <v>46597</v>
      </c>
      <c r="L15" s="22" t="n">
        <f aca="false">NETWORKDAYS(J15,K15)</f>
        <v>66</v>
      </c>
      <c r="M15" s="25" t="s">
        <v>78</v>
      </c>
    </row>
    <row r="16" customFormat="false" ht="63.75" hidden="false" customHeight="true" outlineLevel="0" collapsed="false">
      <c r="A16" s="20" t="s">
        <v>136</v>
      </c>
      <c r="B16" s="26" t="n">
        <v>1</v>
      </c>
      <c r="C16" s="20" t="s">
        <v>137</v>
      </c>
      <c r="D16" s="22" t="s">
        <v>138</v>
      </c>
      <c r="E16" s="22" t="s">
        <v>139</v>
      </c>
      <c r="F16" s="22" t="s">
        <v>104</v>
      </c>
      <c r="G16" s="22" t="s">
        <v>140</v>
      </c>
      <c r="H16" s="22" t="s">
        <v>141</v>
      </c>
      <c r="I16" s="23" t="n">
        <f aca="false">SUMIFS(Épopées!$G$6:$G$59,Épopées!$A$6:$A$59,"API-NOTIF|1")+SUMIFS(Épopées!$G$6:$G$59,Épopées!$A$6:$A$59,"MOB-O|1")</f>
        <v>54.75</v>
      </c>
      <c r="J16" s="24" t="n">
        <f aca="false">MIN(SUMIFS(Épopées!$L$6:$L$59,Épopées!$A$6:$A$59,"API-NOTIF|1"),SUMIFS(Épopées!$L$6:$L$59,Épopées!$A$6:$A$59,"MOB-O|1"))</f>
        <v>46485</v>
      </c>
      <c r="K16" s="24" t="n">
        <f aca="false">MAX(SUMIFS(Épopées!$M$6:$M$59,Épopées!$A$6:$A$59,"API-NOTIF|1"),SUMIFS(Épopées!$M$6:$M$59,Épopées!$A$6:$A$59,"MOB-O|1"))</f>
        <v>46615</v>
      </c>
      <c r="L16" s="22" t="n">
        <f aca="false">NETWORKDAYS(J16,K16)</f>
        <v>93</v>
      </c>
      <c r="M16" s="25" t="s">
        <v>78</v>
      </c>
    </row>
    <row r="17" customFormat="false" ht="63.75" hidden="false" customHeight="true" outlineLevel="0" collapsed="false">
      <c r="A17" s="20" t="s">
        <v>142</v>
      </c>
      <c r="B17" s="26" t="n">
        <v>1</v>
      </c>
      <c r="C17" s="20" t="s">
        <v>143</v>
      </c>
      <c r="D17" s="22" t="s">
        <v>144</v>
      </c>
      <c r="E17" s="22" t="s">
        <v>145</v>
      </c>
      <c r="F17" s="22" t="s">
        <v>146</v>
      </c>
      <c r="G17" s="22" t="s">
        <v>147</v>
      </c>
      <c r="H17" s="22" t="s">
        <v>148</v>
      </c>
      <c r="I17" s="23" t="n">
        <f aca="false">SUMIFS(Épopées!$G$6:$G$59,Épopées!$A$6:$A$59,"API-PLAT|1")+SUMIFS(Épopées!$G$6:$G$59,Épopées!$A$6:$A$59,"ADM-WH|1")+SUMIFS(Épopées!$G$6:$G$59,Épopées!$A$6:$A$59,"ADM-WJ|1")</f>
        <v>66.5</v>
      </c>
      <c r="J17" s="24" t="n">
        <f aca="false">MIN(SUMIFS(Épopées!$L$6:$L$59,Épopées!$A$6:$A$59,"API-PLAT|1"),SUMIFS(Épopées!$L$6:$L$59,Épopées!$A$6:$A$59,"ADM-WH|1"),SUMIFS(Épopées!$L$6:$L$59,Épopées!$A$6:$A$59,"ADM-WJ|1"))</f>
        <v>46335</v>
      </c>
      <c r="K17" s="24" t="n">
        <f aca="false">MAX(SUMIFS(Épopées!$M$6:$M$59,Épopées!$A$6:$A$59,"API-PLAT|1"),SUMIFS(Épopées!$M$6:$M$59,Épopées!$A$6:$A$59,"ADM-WH|1"),SUMIFS(Épopées!$M$6:$M$59,Épopées!$A$6:$A$59,"ADM-WJ|1"))</f>
        <v>46573</v>
      </c>
      <c r="L17" s="22" t="n">
        <f aca="false">NETWORKDAYS(J17,K17)</f>
        <v>171</v>
      </c>
      <c r="M17" s="25" t="s">
        <v>78</v>
      </c>
    </row>
    <row r="18" customFormat="false" ht="63.75" hidden="false" customHeight="true" outlineLevel="0" collapsed="false">
      <c r="A18" s="20" t="s">
        <v>149</v>
      </c>
      <c r="B18" s="26" t="n">
        <v>1</v>
      </c>
      <c r="C18" s="20" t="s">
        <v>150</v>
      </c>
      <c r="D18" s="22" t="s">
        <v>151</v>
      </c>
      <c r="E18" s="22" t="s">
        <v>152</v>
      </c>
      <c r="F18" s="22" t="s">
        <v>153</v>
      </c>
      <c r="G18" s="22" t="s">
        <v>154</v>
      </c>
      <c r="H18" s="22" t="s">
        <v>155</v>
      </c>
      <c r="I18" s="23" t="n">
        <v>0</v>
      </c>
      <c r="J18" s="24" t="n">
        <f aca="false">WORKDAY(MAX(K11,K12,K13,K14,K15,K16,K17),1)</f>
        <v>46616</v>
      </c>
      <c r="K18" s="24" t="n">
        <f aca="false">WORKDAY(J18,Paramètres!$B$11-1)</f>
        <v>46629</v>
      </c>
      <c r="L18" s="22" t="n">
        <f aca="false">NETWORKDAYS(J18,K18)</f>
        <v>10</v>
      </c>
      <c r="M18" s="25" t="s">
        <v>78</v>
      </c>
    </row>
    <row r="19" customFormat="false" ht="63.75" hidden="false" customHeight="true" outlineLevel="0" collapsed="false">
      <c r="A19" s="20" t="s">
        <v>156</v>
      </c>
      <c r="B19" s="27" t="n">
        <v>2</v>
      </c>
      <c r="C19" s="20" t="s">
        <v>157</v>
      </c>
      <c r="D19" s="22" t="s">
        <v>158</v>
      </c>
      <c r="E19" s="22" t="s">
        <v>159</v>
      </c>
      <c r="F19" s="22" t="s">
        <v>160</v>
      </c>
      <c r="G19" s="22" t="s">
        <v>161</v>
      </c>
      <c r="H19" s="22" t="s">
        <v>162</v>
      </c>
      <c r="I19" s="23" t="n">
        <f aca="false">SUMIFS(Épopées!$G$6:$G$59,Épopées!$A$6:$A$59,"API-COMM|2")+SUMIFS(Épopées!$G$6:$G$59,Épopées!$A$6:$A$59,"API-MODER|2")+SUMIFS(Épopées!$G$6:$G$59,Épopées!$A$6:$A$59,"MOB-J|2")+SUMIFS(Épopées!$G$6:$G$59,Épopées!$A$6:$A$59,"MOB-K|2")+SUMIFS(Épopées!$G$6:$G$59,Épopées!$A$6:$A$59,"ADM-WG|2")+SUMIFS(Épopées!$G$6:$G$59,Épopées!$A$6:$A$59,"ADM-WJ|2")</f>
        <v>168.5</v>
      </c>
      <c r="J19" s="24" t="n">
        <f aca="false">MIN(SUMIFS(Épopées!$L$6:$L$59,Épopées!$A$6:$A$59,"API-COMM|2"),SUMIFS(Épopées!$L$6:$L$59,Épopées!$A$6:$A$59,"API-MODER|2"),SUMIFS(Épopées!$L$6:$L$59,Épopées!$A$6:$A$59,"MOB-J|2"),SUMIFS(Épopées!$L$6:$L$59,Épopées!$A$6:$A$59,"MOB-K|2"),SUMIFS(Épopées!$L$6:$L$59,Épopées!$A$6:$A$59,"ADM-WG|2"),SUMIFS(Épopées!$L$6:$L$59,Épopées!$A$6:$A$59,"ADM-WJ|2"))</f>
        <v>46527</v>
      </c>
      <c r="K19" s="24" t="n">
        <f aca="false">MAX(SUMIFS(Épopées!$M$6:$M$59,Épopées!$A$6:$A$59,"API-COMM|2"),SUMIFS(Épopées!$M$6:$M$59,Épopées!$A$6:$A$59,"API-MODER|2"),SUMIFS(Épopées!$M$6:$M$59,Épopées!$A$6:$A$59,"MOB-J|2"),SUMIFS(Épopées!$M$6:$M$59,Épopées!$A$6:$A$59,"MOB-K|2"),SUMIFS(Épopées!$M$6:$M$59,Épopées!$A$6:$A$59,"ADM-WG|2"),SUMIFS(Épopées!$M$6:$M$59,Épopées!$A$6:$A$59,"ADM-WJ|2"))</f>
        <v>46695</v>
      </c>
      <c r="L19" s="22" t="n">
        <f aca="false">NETWORKDAYS(J19,K19)</f>
        <v>121</v>
      </c>
      <c r="M19" s="25" t="s">
        <v>78</v>
      </c>
    </row>
    <row r="20" customFormat="false" ht="63.75" hidden="false" customHeight="true" outlineLevel="0" collapsed="false">
      <c r="A20" s="20" t="s">
        <v>163</v>
      </c>
      <c r="B20" s="27" t="n">
        <v>2</v>
      </c>
      <c r="C20" s="20" t="s">
        <v>164</v>
      </c>
      <c r="D20" s="22" t="s">
        <v>165</v>
      </c>
      <c r="E20" s="22" t="s">
        <v>166</v>
      </c>
      <c r="F20" s="22" t="s">
        <v>160</v>
      </c>
      <c r="G20" s="22" t="s">
        <v>167</v>
      </c>
      <c r="H20" s="22" t="s">
        <v>168</v>
      </c>
      <c r="I20" s="23" t="n">
        <f aca="false">SUMIFS(Épopées!$G$6:$G$59,Épopées!$A$6:$A$59,"API-GOAT|2")+SUMIFS(Épopées!$G$6:$G$59,Épopées!$A$6:$A$59,"MOB-G|2")</f>
        <v>43</v>
      </c>
      <c r="J20" s="24" t="n">
        <f aca="false">MIN(SUMIFS(Épopées!$L$6:$L$59,Épopées!$A$6:$A$59,"API-GOAT|2"),SUMIFS(Épopées!$L$6:$L$59,Épopées!$A$6:$A$59,"MOB-G|2"))</f>
        <v>46580</v>
      </c>
      <c r="K20" s="24" t="n">
        <f aca="false">MAX(SUMIFS(Épopées!$M$6:$M$59,Épopées!$A$6:$A$59,"API-GOAT|2"),SUMIFS(Épopées!$M$6:$M$59,Épopées!$A$6:$A$59,"MOB-G|2"))</f>
        <v>46626</v>
      </c>
      <c r="L20" s="22" t="n">
        <f aca="false">NETWORKDAYS(J20,K20)</f>
        <v>35</v>
      </c>
      <c r="M20" s="25" t="s">
        <v>78</v>
      </c>
    </row>
    <row r="21" customFormat="false" ht="63.75" hidden="false" customHeight="true" outlineLevel="0" collapsed="false">
      <c r="A21" s="20" t="s">
        <v>169</v>
      </c>
      <c r="B21" s="27" t="n">
        <v>2</v>
      </c>
      <c r="C21" s="20" t="s">
        <v>170</v>
      </c>
      <c r="D21" s="22" t="s">
        <v>171</v>
      </c>
      <c r="E21" s="22" t="s">
        <v>172</v>
      </c>
      <c r="F21" s="22" t="s">
        <v>173</v>
      </c>
      <c r="G21" s="22" t="s">
        <v>174</v>
      </c>
      <c r="H21" s="22" t="s">
        <v>175</v>
      </c>
      <c r="I21" s="23" t="n">
        <f aca="false">SUMIFS(Épopées!$G$6:$G$59,Épopées!$A$6:$A$59,"API-FANT|2")+SUMIFS(Épopées!$G$6:$G$59,Épopées!$A$6:$A$59,"MOB-H|2")</f>
        <v>71.5</v>
      </c>
      <c r="J21" s="24" t="n">
        <f aca="false">MIN(SUMIFS(Épopées!$L$6:$L$59,Épopées!$A$6:$A$59,"API-FANT|2"),SUMIFS(Épopées!$L$6:$L$59,Épopées!$A$6:$A$59,"MOB-H|2"))</f>
        <v>46596</v>
      </c>
      <c r="K21" s="24" t="n">
        <f aca="false">MAX(SUMIFS(Épopées!$M$6:$M$59,Épopées!$A$6:$A$59,"API-FANT|2"),SUMIFS(Épopées!$M$6:$M$59,Épopées!$A$6:$A$59,"MOB-H|2"))</f>
        <v>46653</v>
      </c>
      <c r="L21" s="22" t="n">
        <f aca="false">NETWORKDAYS(J21,K21)</f>
        <v>42</v>
      </c>
      <c r="M21" s="25" t="s">
        <v>78</v>
      </c>
    </row>
    <row r="22" customFormat="false" ht="63.75" hidden="false" customHeight="true" outlineLevel="0" collapsed="false">
      <c r="A22" s="20" t="s">
        <v>176</v>
      </c>
      <c r="B22" s="27" t="n">
        <v>2</v>
      </c>
      <c r="C22" s="20" t="s">
        <v>177</v>
      </c>
      <c r="D22" s="22" t="s">
        <v>178</v>
      </c>
      <c r="E22" s="22" t="s">
        <v>179</v>
      </c>
      <c r="F22" s="22" t="s">
        <v>180</v>
      </c>
      <c r="G22" s="22" t="s">
        <v>181</v>
      </c>
      <c r="H22" s="22" t="s">
        <v>182</v>
      </c>
      <c r="I22" s="23" t="n">
        <f aca="false">SUMIFS(Épopées!$G$6:$G$59,Épopées!$A$6:$A$59,"API-PASS|2")+SUMIFS(Épopées!$G$6:$G$59,Épopées!$A$6:$A$59,"MOB-P|2")</f>
        <v>54.5</v>
      </c>
      <c r="J22" s="24" t="n">
        <f aca="false">MIN(SUMIFS(Épopées!$L$6:$L$59,Épopées!$A$6:$A$59,"API-PASS|2"),SUMIFS(Épopées!$L$6:$L$59,Épopées!$A$6:$A$59,"MOB-P|2"))</f>
        <v>46619</v>
      </c>
      <c r="K22" s="24" t="n">
        <f aca="false">MAX(SUMIFS(Épopées!$M$6:$M$59,Épopées!$A$6:$A$59,"API-PASS|2"),SUMIFS(Épopées!$M$6:$M$59,Épopées!$A$6:$A$59,"MOB-P|2"))</f>
        <v>46710</v>
      </c>
      <c r="L22" s="22" t="n">
        <f aca="false">NETWORKDAYS(J22,K22)</f>
        <v>66</v>
      </c>
      <c r="M22" s="25" t="s">
        <v>78</v>
      </c>
    </row>
    <row r="23" customFormat="false" ht="63.75" hidden="false" customHeight="true" outlineLevel="0" collapsed="false">
      <c r="A23" s="20" t="s">
        <v>183</v>
      </c>
      <c r="B23" s="27" t="n">
        <v>2</v>
      </c>
      <c r="C23" s="20" t="s">
        <v>184</v>
      </c>
      <c r="D23" s="22" t="s">
        <v>185</v>
      </c>
      <c r="E23" s="22" t="s">
        <v>186</v>
      </c>
      <c r="F23" s="22" t="s">
        <v>187</v>
      </c>
      <c r="G23" s="22" t="s">
        <v>188</v>
      </c>
      <c r="H23" s="22" t="s">
        <v>189</v>
      </c>
      <c r="I23" s="23" t="n">
        <f aca="false">SUMIFS(Épopées!$G$6:$G$59,Épopées!$A$6:$A$59,"API-PLAT|2")</f>
        <v>3</v>
      </c>
      <c r="J23" s="24" t="n">
        <f aca="false">MIN(SUMIFS(Épopées!$L$6:$L$59,Épopées!$A$6:$A$59,"API-PLAT|2"))</f>
        <v>46643</v>
      </c>
      <c r="K23" s="24" t="n">
        <f aca="false">MAX(SUMIFS(Épopées!$M$6:$M$59,Épopées!$A$6:$A$59,"API-PLAT|2"))</f>
        <v>46644</v>
      </c>
      <c r="L23" s="22" t="n">
        <f aca="false">NETWORKDAYS(J23,K23)</f>
        <v>2</v>
      </c>
      <c r="M23" s="25" t="s">
        <v>78</v>
      </c>
    </row>
    <row r="24" customFormat="false" ht="63.75" hidden="false" customHeight="true" outlineLevel="0" collapsed="false">
      <c r="A24" s="20" t="s">
        <v>190</v>
      </c>
      <c r="B24" s="27" t="n">
        <v>2</v>
      </c>
      <c r="C24" s="20" t="s">
        <v>191</v>
      </c>
      <c r="D24" s="22" t="s">
        <v>192</v>
      </c>
      <c r="E24" s="22" t="s">
        <v>152</v>
      </c>
      <c r="F24" s="22" t="s">
        <v>193</v>
      </c>
      <c r="G24" s="22" t="s">
        <v>194</v>
      </c>
      <c r="H24" s="22" t="s">
        <v>195</v>
      </c>
      <c r="I24" s="23" t="n">
        <v>0</v>
      </c>
      <c r="J24" s="24" t="n">
        <f aca="false">WORKDAY(MAX(K19,K20,K21,K22,K23),1)</f>
        <v>46713</v>
      </c>
      <c r="K24" s="24" t="n">
        <f aca="false">WORKDAY(J24,Paramètres!$B$11-1)</f>
        <v>46724</v>
      </c>
      <c r="L24" s="22" t="n">
        <f aca="false">NETWORKDAYS(J24,K24)</f>
        <v>10</v>
      </c>
      <c r="M24" s="25" t="s">
        <v>78</v>
      </c>
    </row>
    <row r="25" customFormat="false" ht="63.75" hidden="false" customHeight="true" outlineLevel="0" collapsed="false">
      <c r="A25" s="20" t="s">
        <v>196</v>
      </c>
      <c r="B25" s="28" t="n">
        <v>3</v>
      </c>
      <c r="C25" s="20" t="s">
        <v>197</v>
      </c>
      <c r="D25" s="22" t="s">
        <v>198</v>
      </c>
      <c r="E25" s="22" t="s">
        <v>199</v>
      </c>
      <c r="F25" s="22" t="s">
        <v>200</v>
      </c>
      <c r="G25" s="22" t="s">
        <v>201</v>
      </c>
      <c r="H25" s="22" t="s">
        <v>202</v>
      </c>
      <c r="I25" s="23" t="n">
        <f aca="false">SUMIFS(Épopées!$G$6:$G$59,Épopées!$A$6:$A$59,"API-FANT|3")+SUMIFS(Épopées!$G$6:$G$59,Épopées!$A$6:$A$59,"MOB-I|3")</f>
        <v>34</v>
      </c>
      <c r="J25" s="24" t="n">
        <f aca="false">MIN(SUMIFS(Épopées!$L$6:$L$59,Épopées!$A$6:$A$59,"API-FANT|3"),SUMIFS(Épopées!$L$6:$L$59,Épopées!$A$6:$A$59,"MOB-I|3"))</f>
        <v>46645</v>
      </c>
      <c r="K25" s="24" t="n">
        <f aca="false">MAX(SUMIFS(Épopées!$M$6:$M$59,Épopées!$A$6:$A$59,"API-FANT|3"),SUMIFS(Épopées!$M$6:$M$59,Épopées!$A$6:$A$59,"MOB-I|3"))</f>
        <v>46727</v>
      </c>
      <c r="L25" s="22" t="n">
        <f aca="false">NETWORKDAYS(J25,K25)</f>
        <v>59</v>
      </c>
      <c r="M25" s="25" t="s">
        <v>78</v>
      </c>
    </row>
    <row r="26" customFormat="false" ht="63.75" hidden="false" customHeight="true" outlineLevel="0" collapsed="false">
      <c r="A26" s="20" t="s">
        <v>203</v>
      </c>
      <c r="B26" s="28" t="n">
        <v>3</v>
      </c>
      <c r="C26" s="20" t="s">
        <v>204</v>
      </c>
      <c r="D26" s="22" t="s">
        <v>205</v>
      </c>
      <c r="E26" s="22" t="s">
        <v>206</v>
      </c>
      <c r="F26" s="22" t="s">
        <v>207</v>
      </c>
      <c r="G26" s="22" t="s">
        <v>208</v>
      </c>
      <c r="H26" s="22" t="s">
        <v>209</v>
      </c>
      <c r="I26" s="23" t="n">
        <f aca="false">SUMIFS(Épopées!$G$6:$G$59,Épopées!$A$6:$A$59,"API-WALL|3")+SUMIFS(Épopées!$G$6:$G$59,Épopées!$A$6:$A$59,"MOB-M|3")</f>
        <v>52.25</v>
      </c>
      <c r="J26" s="24" t="n">
        <f aca="false">MIN(SUMIFS(Épopées!$L$6:$L$59,Épopées!$A$6:$A$59,"API-WALL|3"),SUMIFS(Épopées!$L$6:$L$59,Épopées!$A$6:$A$59,"MOB-M|3"))</f>
        <v>46653</v>
      </c>
      <c r="K26" s="24" t="n">
        <f aca="false">MAX(SUMIFS(Épopées!$M$6:$M$59,Épopées!$A$6:$A$59,"API-WALL|3"),SUMIFS(Épopées!$M$6:$M$59,Épopées!$A$6:$A$59,"MOB-M|3"))</f>
        <v>46748</v>
      </c>
      <c r="L26" s="22" t="n">
        <f aca="false">NETWORKDAYS(J26,K26)</f>
        <v>68</v>
      </c>
      <c r="M26" s="25" t="s">
        <v>78</v>
      </c>
    </row>
    <row r="27" customFormat="false" ht="63.75" hidden="false" customHeight="true" outlineLevel="0" collapsed="false">
      <c r="A27" s="20" t="s">
        <v>210</v>
      </c>
      <c r="B27" s="28" t="n">
        <v>3</v>
      </c>
      <c r="C27" s="20" t="s">
        <v>211</v>
      </c>
      <c r="D27" s="22" t="s">
        <v>212</v>
      </c>
      <c r="E27" s="22" t="s">
        <v>213</v>
      </c>
      <c r="F27" s="22" t="s">
        <v>214</v>
      </c>
      <c r="G27" s="22" t="s">
        <v>215</v>
      </c>
      <c r="H27" s="22" t="s">
        <v>216</v>
      </c>
      <c r="I27" s="23" t="n">
        <f aca="false">SUMIFS(Épopées!$G$6:$G$59,Épopées!$A$6:$A$59,"ADM-WJ|3")</f>
        <v>6</v>
      </c>
      <c r="J27" s="24" t="n">
        <f aca="false">MIN(SUMIFS(Épopées!$L$6:$L$59,Épopées!$A$6:$A$59,"ADM-WJ|3"))</f>
        <v>46673</v>
      </c>
      <c r="K27" s="24" t="n">
        <f aca="false">MAX(SUMIFS(Épopées!$M$6:$M$59,Épopées!$A$6:$A$59,"ADM-WJ|3"))</f>
        <v>46679</v>
      </c>
      <c r="L27" s="22" t="n">
        <f aca="false">NETWORKDAYS(J27,K27)</f>
        <v>5</v>
      </c>
      <c r="M27" s="25" t="s">
        <v>78</v>
      </c>
    </row>
    <row r="28" customFormat="false" ht="63.75" hidden="false" customHeight="true" outlineLevel="0" collapsed="false">
      <c r="A28" s="20" t="s">
        <v>217</v>
      </c>
      <c r="B28" s="28" t="n">
        <v>3</v>
      </c>
      <c r="C28" s="20" t="s">
        <v>218</v>
      </c>
      <c r="D28" s="22" t="s">
        <v>219</v>
      </c>
      <c r="E28" s="22" t="s">
        <v>152</v>
      </c>
      <c r="F28" s="22" t="s">
        <v>220</v>
      </c>
      <c r="G28" s="22" t="s">
        <v>221</v>
      </c>
      <c r="H28" s="22" t="s">
        <v>222</v>
      </c>
      <c r="I28" s="23" t="n">
        <v>0</v>
      </c>
      <c r="J28" s="24" t="n">
        <f aca="false">WORKDAY(MAX(K25,K26,K27),1)</f>
        <v>46749</v>
      </c>
      <c r="K28" s="24" t="n">
        <f aca="false">WORKDAY(J28,Paramètres!$B$11-1)</f>
        <v>46762</v>
      </c>
      <c r="L28" s="22" t="n">
        <f aca="false">NETWORKDAYS(J28,K28)</f>
        <v>10</v>
      </c>
      <c r="M28" s="25" t="s">
        <v>78</v>
      </c>
    </row>
  </sheetData>
  <dataValidations count="1">
    <dataValidation allowBlank="false" errorStyle="stop" operator="between" showDropDown="false" showErrorMessage="false" showInputMessage="false" sqref="M6:M29" type="list">
      <formula1>"À faire,En cours,Terminé,Bloqué"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4D98"/>
    <pageSetUpPr fitToPage="false"/>
  </sheetPr>
  <dimension ref="A1:H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6"/>
    <col collapsed="false" customWidth="true" hidden="false" outlineLevel="0" max="3" min="3" style="0" width="7"/>
    <col collapsed="false" customWidth="true" hidden="false" outlineLevel="0" max="4" min="4" style="0" width="13"/>
    <col collapsed="false" customWidth="true" hidden="false" outlineLevel="0" max="5" min="5" style="0" width="80"/>
    <col collapsed="false" customWidth="true" hidden="false" outlineLevel="0" max="6" min="6" style="0" width="13"/>
    <col collapsed="false" customWidth="true" hidden="false" outlineLevel="0" max="8" min="7" style="0" width="11"/>
  </cols>
  <sheetData>
    <row r="1" customFormat="false" ht="19.7" hidden="false" customHeight="false" outlineLevel="0" collapsed="false">
      <c r="A1" s="1" t="s">
        <v>223</v>
      </c>
    </row>
    <row r="2" customFormat="false" ht="15" hidden="false" customHeight="false" outlineLevel="0" collapsed="false">
      <c r="A2" s="2" t="s">
        <v>224</v>
      </c>
    </row>
    <row r="5" customFormat="false" ht="23.85" hidden="false" customHeight="false" outlineLevel="0" collapsed="false">
      <c r="A5" s="12" t="s">
        <v>225</v>
      </c>
      <c r="B5" s="12" t="s">
        <v>226</v>
      </c>
      <c r="C5" s="12" t="s">
        <v>48</v>
      </c>
      <c r="D5" s="12" t="s">
        <v>227</v>
      </c>
      <c r="E5" s="12" t="s">
        <v>228</v>
      </c>
      <c r="F5" s="12" t="s">
        <v>229</v>
      </c>
      <c r="G5" s="12" t="s">
        <v>230</v>
      </c>
      <c r="H5" s="12" t="s">
        <v>70</v>
      </c>
    </row>
    <row r="6" customFormat="false" ht="61.5" hidden="false" customHeight="true" outlineLevel="0" collapsed="false">
      <c r="A6" s="22" t="s">
        <v>231</v>
      </c>
      <c r="B6" s="20" t="s">
        <v>232</v>
      </c>
      <c r="C6" s="21" t="n">
        <v>0</v>
      </c>
      <c r="D6" s="24" t="n">
        <f aca="false">Paramètres!$B$4</f>
        <v>46328</v>
      </c>
      <c r="E6" s="22" t="s">
        <v>233</v>
      </c>
      <c r="F6" s="29"/>
      <c r="G6" s="22" t="str">
        <f aca="false">IF(F6="","",F6-D6)</f>
        <v/>
      </c>
      <c r="H6" s="25" t="s">
        <v>234</v>
      </c>
    </row>
    <row r="7" customFormat="false" ht="61.5" hidden="false" customHeight="true" outlineLevel="0" collapsed="false">
      <c r="A7" s="22" t="s">
        <v>235</v>
      </c>
      <c r="B7" s="20" t="s">
        <v>236</v>
      </c>
      <c r="C7" s="21" t="n">
        <v>0</v>
      </c>
      <c r="D7" s="24" t="n">
        <f aca="false">WORKDAY(_xlfn.MAXIFS(Épopées!$M$6:$M$59,Épopées!$E$6:$E$59,0),Paramètres!$B$11)</f>
        <v>46449</v>
      </c>
      <c r="E7" s="22" t="s">
        <v>237</v>
      </c>
      <c r="F7" s="29"/>
      <c r="G7" s="22" t="str">
        <f aca="false">IF(F7="","",F7-D7)</f>
        <v/>
      </c>
      <c r="H7" s="25" t="s">
        <v>78</v>
      </c>
    </row>
    <row r="8" customFormat="false" ht="61.5" hidden="false" customHeight="true" outlineLevel="0" collapsed="false">
      <c r="A8" s="22" t="s">
        <v>238</v>
      </c>
      <c r="B8" s="20" t="s">
        <v>239</v>
      </c>
      <c r="C8" s="26" t="n">
        <v>1</v>
      </c>
      <c r="D8" s="24" t="n">
        <f aca="false">WORKDAY(_xlfn.MAXIFS(Épopées!$M$6:$M$59,Épopées!$E$6:$E$59,1),Paramètres!$B$11)</f>
        <v>46629</v>
      </c>
      <c r="E8" s="22" t="s">
        <v>240</v>
      </c>
      <c r="F8" s="29"/>
      <c r="G8" s="22" t="str">
        <f aca="false">IF(F8="","",F8-D8)</f>
        <v/>
      </c>
      <c r="H8" s="25" t="s">
        <v>78</v>
      </c>
    </row>
    <row r="9" customFormat="false" ht="61.5" hidden="false" customHeight="true" outlineLevel="0" collapsed="false">
      <c r="A9" s="22" t="s">
        <v>241</v>
      </c>
      <c r="B9" s="20" t="s">
        <v>242</v>
      </c>
      <c r="C9" s="27" t="n">
        <v>2</v>
      </c>
      <c r="D9" s="24" t="n">
        <f aca="false">WORKDAY(_xlfn.MAXIFS(Épopées!$M$6:$M$59,Épopées!$E$6:$E$59,2),Paramètres!$B$11)</f>
        <v>46724</v>
      </c>
      <c r="E9" s="22" t="s">
        <v>243</v>
      </c>
      <c r="F9" s="29"/>
      <c r="G9" s="22" t="str">
        <f aca="false">IF(F9="","",F9-D9)</f>
        <v/>
      </c>
      <c r="H9" s="25" t="s">
        <v>78</v>
      </c>
    </row>
    <row r="10" customFormat="false" ht="61.5" hidden="false" customHeight="true" outlineLevel="0" collapsed="false">
      <c r="A10" s="22" t="s">
        <v>244</v>
      </c>
      <c r="B10" s="20" t="s">
        <v>245</v>
      </c>
      <c r="C10" s="28" t="n">
        <v>3</v>
      </c>
      <c r="D10" s="24" t="n">
        <f aca="false">WORKDAY(_xlfn.MAXIFS(Épopées!$M$6:$M$59,Épopées!$E$6:$E$59,3),Paramètres!$B$11)</f>
        <v>46762</v>
      </c>
      <c r="E10" s="22" t="s">
        <v>246</v>
      </c>
      <c r="F10" s="29"/>
      <c r="G10" s="22" t="str">
        <f aca="false">IF(F10="","",F10-D10)</f>
        <v/>
      </c>
      <c r="H10" s="25" t="s">
        <v>78</v>
      </c>
    </row>
    <row r="12" customFormat="false" ht="15" hidden="false" customHeight="false" outlineLevel="0" collapsed="false">
      <c r="A12" s="11" t="s">
        <v>247</v>
      </c>
    </row>
    <row r="13" customFormat="false" ht="23.85" hidden="false" customHeight="false" outlineLevel="0" collapsed="false">
      <c r="A13" s="30" t="s">
        <v>225</v>
      </c>
      <c r="B13" s="30" t="s">
        <v>226</v>
      </c>
      <c r="C13" s="30" t="s">
        <v>48</v>
      </c>
      <c r="D13" s="30" t="s">
        <v>227</v>
      </c>
      <c r="E13" s="30" t="s">
        <v>248</v>
      </c>
      <c r="F13" s="30" t="s">
        <v>229</v>
      </c>
      <c r="G13" s="30" t="s">
        <v>230</v>
      </c>
      <c r="H13" s="30" t="s">
        <v>70</v>
      </c>
    </row>
    <row r="14" customFormat="false" ht="15" hidden="false" customHeight="false" outlineLevel="0" collapsed="false">
      <c r="A14" s="31" t="s">
        <v>249</v>
      </c>
      <c r="B14" s="31" t="s">
        <v>250</v>
      </c>
      <c r="C14" s="32" t="n">
        <v>0</v>
      </c>
      <c r="D14" s="33" t="n">
        <f aca="false">_xlfn.MAXIFS(Épopées!$M$6:$M$59,Épopées!$E$6:$E$59,0,Épopées!$B$6:$B$59,"API")</f>
        <v>46332</v>
      </c>
      <c r="E14" s="31" t="s">
        <v>251</v>
      </c>
      <c r="F14" s="34"/>
      <c r="G14" s="31" t="str">
        <f aca="false">IF(F14="","",F14-D14)</f>
        <v/>
      </c>
      <c r="H14" s="35" t="s">
        <v>78</v>
      </c>
    </row>
    <row r="15" customFormat="false" ht="15" hidden="false" customHeight="false" outlineLevel="0" collapsed="false">
      <c r="A15" s="31" t="s">
        <v>252</v>
      </c>
      <c r="B15" s="31" t="s">
        <v>253</v>
      </c>
      <c r="C15" s="36" t="n">
        <v>1</v>
      </c>
      <c r="D15" s="33" t="n">
        <f aca="false">_xlfn.MAXIFS(Épopées!$M$6:$M$59,Épopées!$E$6:$E$59,1,Épopées!$B$6:$B$59,"API")</f>
        <v>46526</v>
      </c>
      <c r="E15" s="31" t="s">
        <v>254</v>
      </c>
      <c r="F15" s="34"/>
      <c r="G15" s="31" t="str">
        <f aca="false">IF(F15="","",F15-D15)</f>
        <v/>
      </c>
      <c r="H15" s="35" t="s">
        <v>78</v>
      </c>
    </row>
    <row r="16" customFormat="false" ht="15" hidden="false" customHeight="false" outlineLevel="0" collapsed="false">
      <c r="A16" s="31" t="s">
        <v>255</v>
      </c>
      <c r="B16" s="31" t="s">
        <v>256</v>
      </c>
      <c r="C16" s="37" t="n">
        <v>2</v>
      </c>
      <c r="D16" s="33" t="n">
        <f aca="false">_xlfn.MAXIFS(Épopées!$M$6:$M$59,Épopées!$E$6:$E$59,2,Épopées!$B$6:$B$59,"API")</f>
        <v>46644</v>
      </c>
      <c r="E16" s="31" t="s">
        <v>257</v>
      </c>
      <c r="F16" s="34"/>
      <c r="G16" s="31" t="str">
        <f aca="false">IF(F16="","",F16-D16)</f>
        <v/>
      </c>
      <c r="H16" s="35" t="s">
        <v>78</v>
      </c>
    </row>
    <row r="17" customFormat="false" ht="15" hidden="false" customHeight="false" outlineLevel="0" collapsed="false">
      <c r="A17" s="31" t="s">
        <v>258</v>
      </c>
      <c r="B17" s="31" t="s">
        <v>259</v>
      </c>
      <c r="C17" s="38" t="n">
        <v>3</v>
      </c>
      <c r="D17" s="33" t="n">
        <f aca="false">_xlfn.MAXIFS(Épopées!$M$6:$M$59,Épopées!$E$6:$E$59,3,Épopées!$B$6:$B$59,"API")</f>
        <v>46667</v>
      </c>
      <c r="E17" s="31" t="s">
        <v>260</v>
      </c>
      <c r="F17" s="34"/>
      <c r="G17" s="31" t="str">
        <f aca="false">IF(F17="","",F17-D17)</f>
        <v/>
      </c>
      <c r="H17" s="35" t="s">
        <v>78</v>
      </c>
    </row>
    <row r="18" customFormat="false" ht="15" hidden="false" customHeight="false" outlineLevel="0" collapsed="false">
      <c r="A18" s="31" t="s">
        <v>261</v>
      </c>
      <c r="B18" s="31" t="s">
        <v>262</v>
      </c>
      <c r="C18" s="32" t="n">
        <v>0</v>
      </c>
      <c r="D18" s="33" t="n">
        <f aca="false">_xlfn.MAXIFS(Épopées!$M$6:$M$59,Épopées!$E$6:$E$59,0,Épopées!$B$6:$B$59,"Mobile")</f>
        <v>46435</v>
      </c>
      <c r="E18" s="31" t="s">
        <v>263</v>
      </c>
      <c r="F18" s="34"/>
      <c r="G18" s="31" t="str">
        <f aca="false">IF(F18="","",F18-D18)</f>
        <v/>
      </c>
      <c r="H18" s="35" t="s">
        <v>78</v>
      </c>
    </row>
    <row r="19" customFormat="false" ht="15" hidden="false" customHeight="false" outlineLevel="0" collapsed="false">
      <c r="A19" s="31" t="s">
        <v>264</v>
      </c>
      <c r="B19" s="31" t="s">
        <v>265</v>
      </c>
      <c r="C19" s="36" t="n">
        <v>1</v>
      </c>
      <c r="D19" s="33" t="n">
        <f aca="false">_xlfn.MAXIFS(Épopées!$M$6:$M$59,Épopées!$E$6:$E$59,1,Épopées!$B$6:$B$59,"Mobile")</f>
        <v>46615</v>
      </c>
      <c r="E19" s="31" t="s">
        <v>266</v>
      </c>
      <c r="F19" s="34"/>
      <c r="G19" s="31" t="str">
        <f aca="false">IF(F19="","",F19-D19)</f>
        <v/>
      </c>
      <c r="H19" s="35" t="s">
        <v>78</v>
      </c>
    </row>
    <row r="20" customFormat="false" ht="15" hidden="false" customHeight="false" outlineLevel="0" collapsed="false">
      <c r="A20" s="31" t="s">
        <v>267</v>
      </c>
      <c r="B20" s="31" t="s">
        <v>268</v>
      </c>
      <c r="C20" s="37" t="n">
        <v>2</v>
      </c>
      <c r="D20" s="33" t="n">
        <f aca="false">_xlfn.MAXIFS(Épopées!$M$6:$M$59,Épopées!$E$6:$E$59,2,Épopées!$B$6:$B$59,"Mobile")</f>
        <v>46710</v>
      </c>
      <c r="E20" s="31" t="s">
        <v>269</v>
      </c>
      <c r="F20" s="34"/>
      <c r="G20" s="31" t="str">
        <f aca="false">IF(F20="","",F20-D20)</f>
        <v/>
      </c>
      <c r="H20" s="35" t="s">
        <v>78</v>
      </c>
    </row>
    <row r="21" customFormat="false" ht="15" hidden="false" customHeight="false" outlineLevel="0" collapsed="false">
      <c r="A21" s="31" t="s">
        <v>270</v>
      </c>
      <c r="B21" s="31" t="s">
        <v>271</v>
      </c>
      <c r="C21" s="38" t="n">
        <v>3</v>
      </c>
      <c r="D21" s="33" t="n">
        <f aca="false">_xlfn.MAXIFS(Épopées!$M$6:$M$59,Épopées!$E$6:$E$59,3,Épopées!$B$6:$B$59,"Mobile")</f>
        <v>46748</v>
      </c>
      <c r="E21" s="31" t="s">
        <v>272</v>
      </c>
      <c r="F21" s="34"/>
      <c r="G21" s="31" t="str">
        <f aca="false">IF(F21="","",F21-D21)</f>
        <v/>
      </c>
      <c r="H21" s="35" t="s">
        <v>78</v>
      </c>
    </row>
    <row r="22" customFormat="false" ht="15" hidden="false" customHeight="false" outlineLevel="0" collapsed="false">
      <c r="A22" s="31" t="s">
        <v>273</v>
      </c>
      <c r="B22" s="31" t="s">
        <v>274</v>
      </c>
      <c r="C22" s="32" t="n">
        <v>0</v>
      </c>
      <c r="D22" s="33" t="n">
        <f aca="false">_xlfn.MAXIFS(Épopées!$M$6:$M$59,Épopées!$E$6:$E$59,0,Épopées!$B$6:$B$59,"Admin")</f>
        <v>46387</v>
      </c>
      <c r="E22" s="31" t="s">
        <v>275</v>
      </c>
      <c r="F22" s="34"/>
      <c r="G22" s="31" t="str">
        <f aca="false">IF(F22="","",F22-D22)</f>
        <v/>
      </c>
      <c r="H22" s="35" t="s">
        <v>78</v>
      </c>
    </row>
    <row r="23" customFormat="false" ht="15" hidden="false" customHeight="false" outlineLevel="0" collapsed="false">
      <c r="A23" s="31" t="s">
        <v>276</v>
      </c>
      <c r="B23" s="31" t="s">
        <v>277</v>
      </c>
      <c r="C23" s="36" t="n">
        <v>1</v>
      </c>
      <c r="D23" s="33" t="n">
        <f aca="false">_xlfn.MAXIFS(Épopées!$M$6:$M$59,Épopées!$E$6:$E$59,1,Épopées!$B$6:$B$59,"Admin")</f>
        <v>46573</v>
      </c>
      <c r="E23" s="31" t="s">
        <v>278</v>
      </c>
      <c r="F23" s="34"/>
      <c r="G23" s="31" t="str">
        <f aca="false">IF(F23="","",F23-D23)</f>
        <v/>
      </c>
      <c r="H23" s="35" t="s">
        <v>78</v>
      </c>
    </row>
    <row r="24" customFormat="false" ht="15" hidden="false" customHeight="false" outlineLevel="0" collapsed="false">
      <c r="A24" s="31" t="s">
        <v>279</v>
      </c>
      <c r="B24" s="31" t="s">
        <v>280</v>
      </c>
      <c r="C24" s="37" t="n">
        <v>2</v>
      </c>
      <c r="D24" s="33" t="n">
        <f aca="false">_xlfn.MAXIFS(Épopées!$M$6:$M$59,Épopées!$E$6:$E$59,2,Épopées!$B$6:$B$59,"Admin")</f>
        <v>46609</v>
      </c>
      <c r="E24" s="31" t="s">
        <v>281</v>
      </c>
      <c r="F24" s="34"/>
      <c r="G24" s="31" t="str">
        <f aca="false">IF(F24="","",F24-D24)</f>
        <v/>
      </c>
      <c r="H24" s="35" t="s">
        <v>78</v>
      </c>
    </row>
    <row r="25" customFormat="false" ht="15" hidden="false" customHeight="false" outlineLevel="0" collapsed="false">
      <c r="A25" s="31" t="s">
        <v>282</v>
      </c>
      <c r="B25" s="31" t="s">
        <v>283</v>
      </c>
      <c r="C25" s="38" t="n">
        <v>3</v>
      </c>
      <c r="D25" s="33" t="n">
        <f aca="false">_xlfn.MAXIFS(Épopées!$M$6:$M$59,Épopées!$E$6:$E$59,3,Épopées!$B$6:$B$59,"Admin")</f>
        <v>46679</v>
      </c>
      <c r="E25" s="31" t="s">
        <v>284</v>
      </c>
      <c r="F25" s="34"/>
      <c r="G25" s="31" t="str">
        <f aca="false">IF(F25="","",F25-D25)</f>
        <v/>
      </c>
      <c r="H25" s="35" t="s">
        <v>78</v>
      </c>
    </row>
  </sheetData>
  <dataValidations count="1">
    <dataValidation allowBlank="false" errorStyle="stop" operator="between" showDropDown="false" showErrorMessage="false" showInputMessage="false" sqref="H6:H26" type="list">
      <formula1>"À faire,En cours,Atteint,En retard"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4D98"/>
    <pageSetUpPr fitToPage="false"/>
  </sheetPr>
  <dimension ref="A1:CS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5" topLeftCell="H6" activePane="bottomRight" state="frozen"/>
      <selection pane="topLeft" activeCell="A1" activeCellId="0" sqref="A1"/>
      <selection pane="topRight" activeCell="H1" activeCellId="0" sqref="H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3" min="3" style="0" width="40"/>
    <col collapsed="false" customWidth="true" hidden="false" outlineLevel="0" max="4" min="4" style="0" width="6"/>
    <col collapsed="false" customWidth="true" hidden="false" outlineLevel="0" max="6" min="5" style="0" width="10"/>
    <col collapsed="false" customWidth="true" hidden="false" outlineLevel="0" max="7" min="7" style="0" width="11"/>
    <col collapsed="false" customWidth="true" hidden="false" outlineLevel="0" max="97" min="8" style="0" width="2.7"/>
  </cols>
  <sheetData>
    <row r="1" customFormat="false" ht="19.7" hidden="false" customHeight="false" outlineLevel="0" collapsed="false">
      <c r="A1" s="1" t="s">
        <v>285</v>
      </c>
    </row>
    <row r="2" customFormat="false" ht="15" hidden="false" customHeight="false" outlineLevel="0" collapsed="false">
      <c r="A2" s="2" t="s">
        <v>286</v>
      </c>
    </row>
    <row r="5" customFormat="false" ht="37.5" hidden="false" customHeight="true" outlineLevel="0" collapsed="false">
      <c r="A5" s="12" t="s">
        <v>287</v>
      </c>
      <c r="B5" s="12" t="s">
        <v>288</v>
      </c>
      <c r="C5" s="12" t="s">
        <v>49</v>
      </c>
      <c r="D5" s="12" t="s">
        <v>48</v>
      </c>
      <c r="E5" s="12" t="s">
        <v>67</v>
      </c>
      <c r="F5" s="12" t="s">
        <v>68</v>
      </c>
      <c r="G5" s="12" t="s">
        <v>289</v>
      </c>
      <c r="H5" s="39" t="n">
        <f aca="false">Paramètres!$B$4-WEEKDAY(Paramètres!$B$4,2)+1</f>
        <v>46328</v>
      </c>
      <c r="I5" s="39" t="n">
        <f aca="false">H5+7</f>
        <v>46335</v>
      </c>
      <c r="J5" s="39" t="n">
        <f aca="false">I5+7</f>
        <v>46342</v>
      </c>
      <c r="K5" s="39" t="n">
        <f aca="false">J5+7</f>
        <v>46349</v>
      </c>
      <c r="L5" s="39" t="n">
        <f aca="false">K5+7</f>
        <v>46356</v>
      </c>
      <c r="M5" s="39" t="n">
        <f aca="false">L5+7</f>
        <v>46363</v>
      </c>
      <c r="N5" s="39" t="n">
        <f aca="false">M5+7</f>
        <v>46370</v>
      </c>
      <c r="O5" s="39" t="n">
        <f aca="false">N5+7</f>
        <v>46377</v>
      </c>
      <c r="P5" s="39" t="n">
        <f aca="false">O5+7</f>
        <v>46384</v>
      </c>
      <c r="Q5" s="39" t="n">
        <f aca="false">P5+7</f>
        <v>46391</v>
      </c>
      <c r="R5" s="39" t="n">
        <f aca="false">Q5+7</f>
        <v>46398</v>
      </c>
      <c r="S5" s="39" t="n">
        <f aca="false">R5+7</f>
        <v>46405</v>
      </c>
      <c r="T5" s="39" t="n">
        <f aca="false">S5+7</f>
        <v>46412</v>
      </c>
      <c r="U5" s="39" t="n">
        <f aca="false">T5+7</f>
        <v>46419</v>
      </c>
      <c r="V5" s="39" t="n">
        <f aca="false">U5+7</f>
        <v>46426</v>
      </c>
      <c r="W5" s="39" t="n">
        <f aca="false">V5+7</f>
        <v>46433</v>
      </c>
      <c r="X5" s="39" t="n">
        <f aca="false">W5+7</f>
        <v>46440</v>
      </c>
      <c r="Y5" s="39" t="n">
        <f aca="false">X5+7</f>
        <v>46447</v>
      </c>
      <c r="Z5" s="39" t="n">
        <f aca="false">Y5+7</f>
        <v>46454</v>
      </c>
      <c r="AA5" s="39" t="n">
        <f aca="false">Z5+7</f>
        <v>46461</v>
      </c>
      <c r="AB5" s="39" t="n">
        <f aca="false">AA5+7</f>
        <v>46468</v>
      </c>
      <c r="AC5" s="39" t="n">
        <f aca="false">AB5+7</f>
        <v>46475</v>
      </c>
      <c r="AD5" s="39" t="n">
        <f aca="false">AC5+7</f>
        <v>46482</v>
      </c>
      <c r="AE5" s="39" t="n">
        <f aca="false">AD5+7</f>
        <v>46489</v>
      </c>
      <c r="AF5" s="39" t="n">
        <f aca="false">AE5+7</f>
        <v>46496</v>
      </c>
      <c r="AG5" s="39" t="n">
        <f aca="false">AF5+7</f>
        <v>46503</v>
      </c>
      <c r="AH5" s="39" t="n">
        <f aca="false">AG5+7</f>
        <v>46510</v>
      </c>
      <c r="AI5" s="39" t="n">
        <f aca="false">AH5+7</f>
        <v>46517</v>
      </c>
      <c r="AJ5" s="39" t="n">
        <f aca="false">AI5+7</f>
        <v>46524</v>
      </c>
      <c r="AK5" s="39" t="n">
        <f aca="false">AJ5+7</f>
        <v>46531</v>
      </c>
      <c r="AL5" s="39" t="n">
        <f aca="false">AK5+7</f>
        <v>46538</v>
      </c>
      <c r="AM5" s="39" t="n">
        <f aca="false">AL5+7</f>
        <v>46545</v>
      </c>
      <c r="AN5" s="39" t="n">
        <f aca="false">AM5+7</f>
        <v>46552</v>
      </c>
      <c r="AO5" s="39" t="n">
        <f aca="false">AN5+7</f>
        <v>46559</v>
      </c>
      <c r="AP5" s="39" t="n">
        <f aca="false">AO5+7</f>
        <v>46566</v>
      </c>
      <c r="AQ5" s="39" t="n">
        <f aca="false">AP5+7</f>
        <v>46573</v>
      </c>
      <c r="AR5" s="39" t="n">
        <f aca="false">AQ5+7</f>
        <v>46580</v>
      </c>
      <c r="AS5" s="39" t="n">
        <f aca="false">AR5+7</f>
        <v>46587</v>
      </c>
      <c r="AT5" s="39" t="n">
        <f aca="false">AS5+7</f>
        <v>46594</v>
      </c>
      <c r="AU5" s="39" t="n">
        <f aca="false">AT5+7</f>
        <v>46601</v>
      </c>
      <c r="AV5" s="39" t="n">
        <f aca="false">AU5+7</f>
        <v>46608</v>
      </c>
      <c r="AW5" s="39" t="n">
        <f aca="false">AV5+7</f>
        <v>46615</v>
      </c>
      <c r="AX5" s="39" t="n">
        <f aca="false">AW5+7</f>
        <v>46622</v>
      </c>
      <c r="AY5" s="39" t="n">
        <f aca="false">AX5+7</f>
        <v>46629</v>
      </c>
      <c r="AZ5" s="39" t="n">
        <f aca="false">AY5+7</f>
        <v>46636</v>
      </c>
      <c r="BA5" s="39" t="n">
        <f aca="false">AZ5+7</f>
        <v>46643</v>
      </c>
      <c r="BB5" s="39" t="n">
        <f aca="false">BA5+7</f>
        <v>46650</v>
      </c>
      <c r="BC5" s="39" t="n">
        <f aca="false">BB5+7</f>
        <v>46657</v>
      </c>
      <c r="BD5" s="39" t="n">
        <f aca="false">BC5+7</f>
        <v>46664</v>
      </c>
      <c r="BE5" s="39" t="n">
        <f aca="false">BD5+7</f>
        <v>46671</v>
      </c>
      <c r="BF5" s="39" t="n">
        <f aca="false">BE5+7</f>
        <v>46678</v>
      </c>
      <c r="BG5" s="39" t="n">
        <f aca="false">BF5+7</f>
        <v>46685</v>
      </c>
      <c r="BH5" s="39" t="n">
        <f aca="false">BG5+7</f>
        <v>46692</v>
      </c>
      <c r="BI5" s="39" t="n">
        <f aca="false">BH5+7</f>
        <v>46699</v>
      </c>
      <c r="BJ5" s="39" t="n">
        <f aca="false">BI5+7</f>
        <v>46706</v>
      </c>
      <c r="BK5" s="39" t="n">
        <f aca="false">BJ5+7</f>
        <v>46713</v>
      </c>
      <c r="BL5" s="39" t="n">
        <f aca="false">BK5+7</f>
        <v>46720</v>
      </c>
      <c r="BM5" s="39" t="n">
        <f aca="false">BL5+7</f>
        <v>46727</v>
      </c>
      <c r="BN5" s="39" t="n">
        <f aca="false">BM5+7</f>
        <v>46734</v>
      </c>
      <c r="BO5" s="39" t="n">
        <f aca="false">BN5+7</f>
        <v>46741</v>
      </c>
      <c r="BP5" s="39" t="n">
        <f aca="false">BO5+7</f>
        <v>46748</v>
      </c>
      <c r="BQ5" s="39" t="n">
        <f aca="false">BP5+7</f>
        <v>46755</v>
      </c>
      <c r="BR5" s="39" t="n">
        <f aca="false">BQ5+7</f>
        <v>46762</v>
      </c>
      <c r="BS5" s="39" t="n">
        <f aca="false">BR5+7</f>
        <v>46769</v>
      </c>
      <c r="BT5" s="39" t="n">
        <f aca="false">BS5+7</f>
        <v>46776</v>
      </c>
      <c r="BU5" s="39" t="n">
        <f aca="false">BT5+7</f>
        <v>46783</v>
      </c>
      <c r="BV5" s="39" t="n">
        <f aca="false">BU5+7</f>
        <v>46790</v>
      </c>
      <c r="BW5" s="39" t="n">
        <f aca="false">BV5+7</f>
        <v>46797</v>
      </c>
      <c r="BX5" s="39" t="n">
        <f aca="false">BW5+7</f>
        <v>46804</v>
      </c>
      <c r="BY5" s="39" t="n">
        <f aca="false">BX5+7</f>
        <v>46811</v>
      </c>
      <c r="BZ5" s="39" t="n">
        <f aca="false">BY5+7</f>
        <v>46818</v>
      </c>
      <c r="CA5" s="39" t="n">
        <f aca="false">BZ5+7</f>
        <v>46825</v>
      </c>
      <c r="CB5" s="39" t="n">
        <f aca="false">CA5+7</f>
        <v>46832</v>
      </c>
      <c r="CC5" s="39" t="n">
        <f aca="false">CB5+7</f>
        <v>46839</v>
      </c>
      <c r="CD5" s="39" t="n">
        <f aca="false">CC5+7</f>
        <v>46846</v>
      </c>
      <c r="CE5" s="39" t="n">
        <f aca="false">CD5+7</f>
        <v>46853</v>
      </c>
      <c r="CF5" s="39" t="n">
        <f aca="false">CE5+7</f>
        <v>46860</v>
      </c>
      <c r="CG5" s="39" t="n">
        <f aca="false">CF5+7</f>
        <v>46867</v>
      </c>
      <c r="CH5" s="39" t="n">
        <f aca="false">CG5+7</f>
        <v>46874</v>
      </c>
      <c r="CI5" s="39" t="n">
        <f aca="false">CH5+7</f>
        <v>46881</v>
      </c>
      <c r="CJ5" s="39" t="n">
        <f aca="false">CI5+7</f>
        <v>46888</v>
      </c>
      <c r="CK5" s="39" t="n">
        <f aca="false">CJ5+7</f>
        <v>46895</v>
      </c>
      <c r="CL5" s="39" t="n">
        <f aca="false">CK5+7</f>
        <v>46902</v>
      </c>
      <c r="CM5" s="39" t="n">
        <f aca="false">CL5+7</f>
        <v>46909</v>
      </c>
      <c r="CN5" s="39" t="n">
        <f aca="false">CM5+7</f>
        <v>46916</v>
      </c>
      <c r="CO5" s="39" t="n">
        <f aca="false">CN5+7</f>
        <v>46923</v>
      </c>
      <c r="CP5" s="39" t="n">
        <f aca="false">CO5+7</f>
        <v>46930</v>
      </c>
      <c r="CQ5" s="39" t="n">
        <f aca="false">CP5+7</f>
        <v>46937</v>
      </c>
      <c r="CR5" s="39" t="n">
        <f aca="false">CQ5+7</f>
        <v>46944</v>
      </c>
      <c r="CS5" s="39" t="n">
        <f aca="false">CR5+7</f>
        <v>46951</v>
      </c>
    </row>
    <row r="6" customFormat="false" ht="15" hidden="false" customHeight="false" outlineLevel="0" collapsed="false">
      <c r="A6" s="40" t="str">
        <f aca="false">Épopées!B6</f>
        <v>API</v>
      </c>
      <c r="B6" s="40" t="str">
        <f aca="false">Épopées!C6</f>
        <v>API-PLAT</v>
      </c>
      <c r="C6" s="40" t="str">
        <f aca="false">Épopées!D6</f>
        <v>Plateforme, qualité, performance et exploitation</v>
      </c>
      <c r="D6" s="41" t="n">
        <f aca="false">Épopées!E6</f>
        <v>0</v>
      </c>
      <c r="E6" s="42" t="n">
        <f aca="false">Épopées!L6</f>
        <v>46328</v>
      </c>
      <c r="F6" s="42" t="n">
        <f aca="false">Épopées!M6</f>
        <v>46331</v>
      </c>
      <c r="G6" s="43" t="n">
        <f aca="false">Épopées!O6</f>
        <v>0</v>
      </c>
    </row>
    <row r="7" customFormat="false" ht="15" hidden="false" customHeight="false" outlineLevel="0" collapsed="false">
      <c r="A7" s="40" t="str">
        <f aca="false">Épopées!B7</f>
        <v>API</v>
      </c>
      <c r="B7" s="40" t="str">
        <f aca="false">Épopées!C7</f>
        <v>API-AUTH</v>
      </c>
      <c r="C7" s="40" t="str">
        <f aca="false">Épopées!D7</f>
        <v>Identité, authentification, comptes et RGPD</v>
      </c>
      <c r="D7" s="41" t="n">
        <f aca="false">Épopées!E7</f>
        <v>0</v>
      </c>
      <c r="E7" s="42" t="n">
        <f aca="false">Épopées!L7</f>
        <v>46332</v>
      </c>
      <c r="F7" s="42" t="n">
        <f aca="false">Épopées!M7</f>
        <v>46332</v>
      </c>
      <c r="G7" s="43" t="n">
        <f aca="false">Épopées!O7</f>
        <v>0</v>
      </c>
    </row>
    <row r="8" customFormat="false" ht="15" hidden="false" customHeight="false" outlineLevel="0" collapsed="false">
      <c r="A8" s="40" t="str">
        <f aca="false">Épopées!B8</f>
        <v>API</v>
      </c>
      <c r="B8" s="40" t="str">
        <f aca="false">Épopées!C8</f>
        <v>API-PLAT</v>
      </c>
      <c r="C8" s="40" t="str">
        <f aca="false">Épopées!D8</f>
        <v>Plateforme, qualité, performance et exploitation</v>
      </c>
      <c r="D8" s="41" t="n">
        <f aca="false">Épopées!E8</f>
        <v>1</v>
      </c>
      <c r="E8" s="42" t="n">
        <f aca="false">Épopées!L8</f>
        <v>46335</v>
      </c>
      <c r="F8" s="42" t="n">
        <f aca="false">Épopées!M8</f>
        <v>46363</v>
      </c>
      <c r="G8" s="43" t="n">
        <f aca="false">Épopées!O8</f>
        <v>0</v>
      </c>
    </row>
    <row r="9" customFormat="false" ht="15" hidden="false" customHeight="false" outlineLevel="0" collapsed="false">
      <c r="A9" s="40" t="str">
        <f aca="false">Épopées!B9</f>
        <v>API</v>
      </c>
      <c r="B9" s="40" t="str">
        <f aca="false">Épopées!C9</f>
        <v>API-AUTH</v>
      </c>
      <c r="C9" s="40" t="str">
        <f aca="false">Épopées!D9</f>
        <v>Identité, authentification, comptes et RGPD</v>
      </c>
      <c r="D9" s="41" t="n">
        <f aca="false">Épopées!E9</f>
        <v>1</v>
      </c>
      <c r="E9" s="42" t="n">
        <f aca="false">Épopées!L9</f>
        <v>46364</v>
      </c>
      <c r="F9" s="42" t="n">
        <f aca="false">Épopées!M9</f>
        <v>46398</v>
      </c>
      <c r="G9" s="43" t="n">
        <f aca="false">Épopées!O9</f>
        <v>0</v>
      </c>
    </row>
    <row r="10" customFormat="false" ht="15" hidden="false" customHeight="false" outlineLevel="0" collapsed="false">
      <c r="A10" s="40" t="str">
        <f aca="false">Épopées!B10</f>
        <v>API</v>
      </c>
      <c r="B10" s="40" t="str">
        <f aca="false">Épopées!C10</f>
        <v>API-FOOT</v>
      </c>
      <c r="C10" s="40" t="str">
        <f aca="false">Épopées!D10</f>
        <v>Données football et contenu éditorial</v>
      </c>
      <c r="D10" s="41" t="n">
        <f aca="false">Épopées!E10</f>
        <v>1</v>
      </c>
      <c r="E10" s="42" t="n">
        <f aca="false">Épopées!L10</f>
        <v>46399</v>
      </c>
      <c r="F10" s="42" t="n">
        <f aca="false">Épopées!M10</f>
        <v>46440</v>
      </c>
      <c r="G10" s="43" t="n">
        <f aca="false">Épopées!O10</f>
        <v>0</v>
      </c>
    </row>
    <row r="11" customFormat="false" ht="15" hidden="false" customHeight="false" outlineLevel="0" collapsed="false">
      <c r="A11" s="40" t="str">
        <f aca="false">Épopées!B11</f>
        <v>API</v>
      </c>
      <c r="B11" s="40" t="str">
        <f aca="false">Épopées!C11</f>
        <v>API-CAL</v>
      </c>
      <c r="C11" s="40" t="str">
        <f aca="false">Épopées!D11</f>
        <v>Calendrier et export agenda</v>
      </c>
      <c r="D11" s="41" t="n">
        <f aca="false">Épopées!E11</f>
        <v>1</v>
      </c>
      <c r="E11" s="42" t="n">
        <f aca="false">Épopées!L11</f>
        <v>46441</v>
      </c>
      <c r="F11" s="42" t="n">
        <f aca="false">Épopées!M11</f>
        <v>46451</v>
      </c>
      <c r="G11" s="43" t="n">
        <f aca="false">Épopées!O11</f>
        <v>0</v>
      </c>
    </row>
    <row r="12" customFormat="false" ht="15" hidden="false" customHeight="false" outlineLevel="0" collapsed="false">
      <c r="A12" s="40" t="str">
        <f aca="false">Épopées!B12</f>
        <v>API</v>
      </c>
      <c r="B12" s="40" t="str">
        <f aca="false">Épopées!C12</f>
        <v>API-JEUX</v>
      </c>
      <c r="C12" s="40" t="str">
        <f aca="false">Épopées!D12</f>
        <v>Guess the Player &amp; Quiz adaptatif</v>
      </c>
      <c r="D12" s="41" t="n">
        <f aca="false">Épopées!E12</f>
        <v>1</v>
      </c>
      <c r="E12" s="42" t="n">
        <f aca="false">Épopées!L12</f>
        <v>46454</v>
      </c>
      <c r="F12" s="42" t="n">
        <f aca="false">Épopées!M12</f>
        <v>46484</v>
      </c>
      <c r="G12" s="43" t="n">
        <f aca="false">Épopées!O12</f>
        <v>0</v>
      </c>
    </row>
    <row r="13" customFormat="false" ht="15" hidden="false" customHeight="false" outlineLevel="0" collapsed="false">
      <c r="A13" s="40" t="str">
        <f aca="false">Épopées!B13</f>
        <v>API</v>
      </c>
      <c r="B13" s="40" t="str">
        <f aca="false">Épopées!C13</f>
        <v>API-NOTIF</v>
      </c>
      <c r="C13" s="40" t="str">
        <f aca="false">Épopées!D13</f>
        <v>Notifications push et centre de notifications</v>
      </c>
      <c r="D13" s="41" t="n">
        <f aca="false">Épopées!E13</f>
        <v>1</v>
      </c>
      <c r="E13" s="42" t="n">
        <f aca="false">Épopées!L13</f>
        <v>46485</v>
      </c>
      <c r="F13" s="42" t="n">
        <f aca="false">Épopées!M13</f>
        <v>46505</v>
      </c>
      <c r="G13" s="43" t="n">
        <f aca="false">Épopées!O13</f>
        <v>0</v>
      </c>
    </row>
    <row r="14" customFormat="false" ht="15" hidden="false" customHeight="false" outlineLevel="0" collapsed="false">
      <c r="A14" s="40" t="str">
        <f aca="false">Épopées!B14</f>
        <v>API</v>
      </c>
      <c r="B14" s="40" t="str">
        <f aca="false">Épopées!C14</f>
        <v>API-IA</v>
      </c>
      <c r="C14" s="40" t="str">
        <f aca="false">Épopées!D14</f>
        <v>Assistant IA Barça AI</v>
      </c>
      <c r="D14" s="41" t="n">
        <f aca="false">Épopées!E14</f>
        <v>1</v>
      </c>
      <c r="E14" s="42" t="n">
        <f aca="false">Épopées!L14</f>
        <v>46506</v>
      </c>
      <c r="F14" s="42" t="n">
        <f aca="false">Épopées!M14</f>
        <v>46526</v>
      </c>
      <c r="G14" s="43" t="n">
        <f aca="false">Épopées!O14</f>
        <v>0</v>
      </c>
    </row>
    <row r="15" customFormat="false" ht="15" hidden="false" customHeight="false" outlineLevel="0" collapsed="false">
      <c r="A15" s="40" t="str">
        <f aca="false">Épopées!B15</f>
        <v>API</v>
      </c>
      <c r="B15" s="40" t="str">
        <f aca="false">Épopées!C15</f>
        <v>API-COMM</v>
      </c>
      <c r="C15" s="40" t="str">
        <f aca="false">Épopées!D15</f>
        <v>Carte communautaire et groupes locaux</v>
      </c>
      <c r="D15" s="41" t="n">
        <f aca="false">Épopées!E15</f>
        <v>2</v>
      </c>
      <c r="E15" s="42" t="n">
        <f aca="false">Épopées!L15</f>
        <v>46527</v>
      </c>
      <c r="F15" s="42" t="n">
        <f aca="false">Épopées!M15</f>
        <v>46552</v>
      </c>
      <c r="G15" s="43" t="n">
        <f aca="false">Épopées!O15</f>
        <v>0</v>
      </c>
    </row>
    <row r="16" customFormat="false" ht="15" hidden="false" customHeight="false" outlineLevel="0" collapsed="false">
      <c r="A16" s="40" t="str">
        <f aca="false">Épopées!B16</f>
        <v>API</v>
      </c>
      <c r="B16" s="40" t="str">
        <f aca="false">Épopées!C16</f>
        <v>API-MODER</v>
      </c>
      <c r="C16" s="40" t="str">
        <f aca="false">Épopées!D16</f>
        <v>Modération et sécurité communautaire</v>
      </c>
      <c r="D16" s="41" t="n">
        <f aca="false">Épopées!E16</f>
        <v>2</v>
      </c>
      <c r="E16" s="42" t="n">
        <f aca="false">Épopées!L16</f>
        <v>46553</v>
      </c>
      <c r="F16" s="42" t="n">
        <f aca="false">Épopées!M16</f>
        <v>46577</v>
      </c>
      <c r="G16" s="43" t="n">
        <f aca="false">Épopées!O16</f>
        <v>0</v>
      </c>
    </row>
    <row r="17" customFormat="false" ht="15" hidden="false" customHeight="false" outlineLevel="0" collapsed="false">
      <c r="A17" s="40" t="str">
        <f aca="false">Épopées!B17</f>
        <v>API</v>
      </c>
      <c r="B17" s="40" t="str">
        <f aca="false">Épopées!C17</f>
        <v>API-GOAT</v>
      </c>
      <c r="C17" s="40" t="str">
        <f aca="false">Épopées!D17</f>
        <v>Comparateur GOAT et votes</v>
      </c>
      <c r="D17" s="41" t="n">
        <f aca="false">Épopées!E17</f>
        <v>2</v>
      </c>
      <c r="E17" s="42" t="n">
        <f aca="false">Épopées!L17</f>
        <v>46580</v>
      </c>
      <c r="F17" s="42" t="n">
        <f aca="false">Épopées!M17</f>
        <v>46595</v>
      </c>
      <c r="G17" s="43" t="n">
        <f aca="false">Épopées!O17</f>
        <v>0</v>
      </c>
    </row>
    <row r="18" customFormat="false" ht="15" hidden="false" customHeight="false" outlineLevel="0" collapsed="false">
      <c r="A18" s="40" t="str">
        <f aca="false">Épopées!B18</f>
        <v>API</v>
      </c>
      <c r="B18" s="40" t="str">
        <f aca="false">Épopées!C18</f>
        <v>API-FANT</v>
      </c>
      <c r="C18" s="40" t="str">
        <f aca="false">Épopées!D18</f>
        <v>Fantasy Barça et La Masia Academy</v>
      </c>
      <c r="D18" s="41" t="n">
        <f aca="false">Épopées!E18</f>
        <v>2</v>
      </c>
      <c r="E18" s="42" t="n">
        <f aca="false">Épopées!L18</f>
        <v>46596</v>
      </c>
      <c r="F18" s="42" t="n">
        <f aca="false">Épopées!M18</f>
        <v>46618</v>
      </c>
      <c r="G18" s="43" t="n">
        <f aca="false">Épopées!O18</f>
        <v>0</v>
      </c>
    </row>
    <row r="19" customFormat="false" ht="15" hidden="false" customHeight="false" outlineLevel="0" collapsed="false">
      <c r="A19" s="40" t="str">
        <f aca="false">Épopées!B19</f>
        <v>API</v>
      </c>
      <c r="B19" s="40" t="str">
        <f aca="false">Épopées!C19</f>
        <v>API-PASS</v>
      </c>
      <c r="C19" s="40" t="str">
        <f aca="false">Épopées!D19</f>
        <v>Culé Passport et gamification transverse</v>
      </c>
      <c r="D19" s="41" t="n">
        <f aca="false">Épopées!E19</f>
        <v>2</v>
      </c>
      <c r="E19" s="42" t="n">
        <f aca="false">Épopées!L19</f>
        <v>46619</v>
      </c>
      <c r="F19" s="42" t="n">
        <f aca="false">Épopées!M19</f>
        <v>46640</v>
      </c>
      <c r="G19" s="43" t="n">
        <f aca="false">Épopées!O19</f>
        <v>0</v>
      </c>
    </row>
    <row r="20" customFormat="false" ht="15" hidden="false" customHeight="false" outlineLevel="0" collapsed="false">
      <c r="A20" s="40" t="str">
        <f aca="false">Épopées!B20</f>
        <v>API</v>
      </c>
      <c r="B20" s="40" t="str">
        <f aca="false">Épopées!C20</f>
        <v>API-PLAT</v>
      </c>
      <c r="C20" s="40" t="str">
        <f aca="false">Épopées!D20</f>
        <v>Plateforme, qualité, performance et exploitation</v>
      </c>
      <c r="D20" s="41" t="n">
        <f aca="false">Épopées!E20</f>
        <v>2</v>
      </c>
      <c r="E20" s="42" t="n">
        <f aca="false">Épopées!L20</f>
        <v>46643</v>
      </c>
      <c r="F20" s="42" t="n">
        <f aca="false">Épopées!M20</f>
        <v>46644</v>
      </c>
      <c r="G20" s="43" t="n">
        <f aca="false">Épopées!O20</f>
        <v>0</v>
      </c>
    </row>
    <row r="21" customFormat="false" ht="15" hidden="false" customHeight="false" outlineLevel="0" collapsed="false">
      <c r="A21" s="40" t="str">
        <f aca="false">Épopées!B21</f>
        <v>API</v>
      </c>
      <c r="B21" s="40" t="str">
        <f aca="false">Épopées!C21</f>
        <v>API-FANT</v>
      </c>
      <c r="C21" s="40" t="str">
        <f aca="false">Épopées!D21</f>
        <v>Fantasy Barça et La Masia Academy</v>
      </c>
      <c r="D21" s="41" t="n">
        <f aca="false">Épopées!E21</f>
        <v>3</v>
      </c>
      <c r="E21" s="42" t="n">
        <f aca="false">Épopées!L21</f>
        <v>46645</v>
      </c>
      <c r="F21" s="42" t="n">
        <f aca="false">Épopées!M21</f>
        <v>46652</v>
      </c>
      <c r="G21" s="43" t="n">
        <f aca="false">Épopées!O21</f>
        <v>0</v>
      </c>
    </row>
    <row r="22" customFormat="false" ht="15" hidden="false" customHeight="false" outlineLevel="0" collapsed="false">
      <c r="A22" s="40" t="str">
        <f aca="false">Épopées!B22</f>
        <v>API</v>
      </c>
      <c r="B22" s="40" t="str">
        <f aca="false">Épopées!C22</f>
        <v>API-WALL</v>
      </c>
      <c r="C22" s="40" t="str">
        <f aca="false">Épopées!D22</f>
        <v>Wallpapers IA</v>
      </c>
      <c r="D22" s="41" t="n">
        <f aca="false">Épopées!E22</f>
        <v>3</v>
      </c>
      <c r="E22" s="42" t="n">
        <f aca="false">Épopées!L22</f>
        <v>46653</v>
      </c>
      <c r="F22" s="42" t="n">
        <f aca="false">Épopées!M22</f>
        <v>46667</v>
      </c>
      <c r="G22" s="43" t="n">
        <f aca="false">Épopées!O22</f>
        <v>0</v>
      </c>
    </row>
    <row r="23" customFormat="false" ht="15" hidden="false" customHeight="false" outlineLevel="0" collapsed="false">
      <c r="A23" s="40" t="str">
        <f aca="false">Épopées!B23</f>
        <v>Mobile</v>
      </c>
      <c r="B23" s="40" t="str">
        <f aca="false">Épopées!C23</f>
        <v>MOB-FND</v>
      </c>
      <c r="C23" s="40" t="str">
        <f aca="false">Épopées!D23</f>
        <v>Socle technique Flutter</v>
      </c>
      <c r="D23" s="41" t="n">
        <f aca="false">Épopées!E23</f>
        <v>0</v>
      </c>
      <c r="E23" s="42" t="n">
        <f aca="false">Épopées!L23</f>
        <v>46328</v>
      </c>
      <c r="F23" s="42" t="n">
        <f aca="false">Épopées!M23</f>
        <v>46360</v>
      </c>
      <c r="G23" s="43" t="n">
        <f aca="false">Épopées!O23</f>
        <v>0</v>
      </c>
    </row>
    <row r="24" customFormat="false" ht="15" hidden="false" customHeight="false" outlineLevel="0" collapsed="false">
      <c r="A24" s="40" t="str">
        <f aca="false">Épopées!B24</f>
        <v>Mobile</v>
      </c>
      <c r="B24" s="40" t="str">
        <f aca="false">Épopées!C24</f>
        <v>MOB-ZA</v>
      </c>
      <c r="C24" s="40" t="str">
        <f aca="false">Épopées!D24</f>
        <v>Fondations</v>
      </c>
      <c r="D24" s="41" t="n">
        <f aca="false">Épopées!E24</f>
        <v>0</v>
      </c>
      <c r="E24" s="42" t="n">
        <f aca="false">Épopées!L24</f>
        <v>46363</v>
      </c>
      <c r="F24" s="42" t="n">
        <f aca="false">Épopées!M24</f>
        <v>46371</v>
      </c>
      <c r="G24" s="43" t="n">
        <f aca="false">Épopées!O24</f>
        <v>0</v>
      </c>
    </row>
    <row r="25" customFormat="false" ht="15" hidden="false" customHeight="false" outlineLevel="0" collapsed="false">
      <c r="A25" s="40" t="str">
        <f aca="false">Épopées!B25</f>
        <v>Mobile</v>
      </c>
      <c r="B25" s="40" t="str">
        <f aca="false">Épopées!C25</f>
        <v>MOB-ZB</v>
      </c>
      <c r="C25" s="40" t="str">
        <f aca="false">Épopées!D25</f>
        <v>Composants de base</v>
      </c>
      <c r="D25" s="41" t="n">
        <f aca="false">Épopées!E25</f>
        <v>0</v>
      </c>
      <c r="E25" s="42" t="n">
        <f aca="false">Épopées!L25</f>
        <v>46372</v>
      </c>
      <c r="F25" s="42" t="n">
        <f aca="false">Épopées!M25</f>
        <v>46386</v>
      </c>
      <c r="G25" s="43" t="n">
        <f aca="false">Épopées!O25</f>
        <v>0</v>
      </c>
    </row>
    <row r="26" customFormat="false" ht="15" hidden="false" customHeight="false" outlineLevel="0" collapsed="false">
      <c r="A26" s="40" t="str">
        <f aca="false">Épopées!B26</f>
        <v>Mobile</v>
      </c>
      <c r="B26" s="40" t="str">
        <f aca="false">Épopées!C26</f>
        <v>MOB-ZC</v>
      </c>
      <c r="C26" s="40" t="str">
        <f aca="false">Épopées!D26</f>
        <v>Retours et états</v>
      </c>
      <c r="D26" s="41" t="n">
        <f aca="false">Épopées!E26</f>
        <v>0</v>
      </c>
      <c r="E26" s="42" t="n">
        <f aca="false">Épopées!L26</f>
        <v>46387</v>
      </c>
      <c r="F26" s="42" t="n">
        <f aca="false">Épopées!M26</f>
        <v>46399</v>
      </c>
      <c r="G26" s="43" t="n">
        <f aca="false">Épopées!O26</f>
        <v>0</v>
      </c>
    </row>
    <row r="27" customFormat="false" ht="15" hidden="false" customHeight="false" outlineLevel="0" collapsed="false">
      <c r="A27" s="40" t="str">
        <f aca="false">Épopées!B27</f>
        <v>Mobile</v>
      </c>
      <c r="B27" s="40" t="str">
        <f aca="false">Épopées!C27</f>
        <v>MOB-ZD</v>
      </c>
      <c r="C27" s="40" t="str">
        <f aca="false">Épopées!D27</f>
        <v>Composants métier et responsive</v>
      </c>
      <c r="D27" s="41" t="n">
        <f aca="false">Épopées!E27</f>
        <v>0</v>
      </c>
      <c r="E27" s="42" t="n">
        <f aca="false">Épopées!L27</f>
        <v>46400</v>
      </c>
      <c r="F27" s="42" t="n">
        <f aca="false">Épopées!M27</f>
        <v>46409</v>
      </c>
      <c r="G27" s="43" t="n">
        <f aca="false">Épopées!O27</f>
        <v>0</v>
      </c>
    </row>
    <row r="28" customFormat="false" ht="15" hidden="false" customHeight="false" outlineLevel="0" collapsed="false">
      <c r="A28" s="40" t="str">
        <f aca="false">Épopées!B28</f>
        <v>Mobile</v>
      </c>
      <c r="B28" s="40" t="str">
        <f aca="false">Épopées!C28</f>
        <v>MOB-ZE</v>
      </c>
      <c r="C28" s="40" t="str">
        <f aca="false">Épopées!D28</f>
        <v>Animations et micro-interactions</v>
      </c>
      <c r="D28" s="41" t="n">
        <f aca="false">Épopées!E28</f>
        <v>0</v>
      </c>
      <c r="E28" s="42" t="n">
        <f aca="false">Épopées!L28</f>
        <v>46412</v>
      </c>
      <c r="F28" s="42" t="n">
        <f aca="false">Épopées!M28</f>
        <v>46423</v>
      </c>
      <c r="G28" s="43" t="n">
        <f aca="false">Épopées!O28</f>
        <v>0</v>
      </c>
    </row>
    <row r="29" customFormat="false" ht="15" hidden="false" customHeight="false" outlineLevel="0" collapsed="false">
      <c r="A29" s="40" t="str">
        <f aca="false">Épopées!B29</f>
        <v>Mobile</v>
      </c>
      <c r="B29" s="40" t="str">
        <f aca="false">Épopées!C29</f>
        <v>MOB-A</v>
      </c>
      <c r="C29" s="40" t="str">
        <f aca="false">Épopées!D29</f>
        <v>Lancement et système</v>
      </c>
      <c r="D29" s="41" t="n">
        <f aca="false">Épopées!E29</f>
        <v>0</v>
      </c>
      <c r="E29" s="42" t="n">
        <f aca="false">Épopées!L29</f>
        <v>46426</v>
      </c>
      <c r="F29" s="42" t="n">
        <f aca="false">Épopées!M29</f>
        <v>46435</v>
      </c>
      <c r="G29" s="43" t="n">
        <f aca="false">Épopées!O29</f>
        <v>0</v>
      </c>
    </row>
    <row r="30" customFormat="false" ht="15" hidden="false" customHeight="false" outlineLevel="0" collapsed="false">
      <c r="A30" s="40" t="str">
        <f aca="false">Épopées!B30</f>
        <v>Mobile</v>
      </c>
      <c r="B30" s="40" t="str">
        <f aca="false">Épopées!C30</f>
        <v>MOB-B</v>
      </c>
      <c r="C30" s="40" t="str">
        <f aca="false">Épopées!D30</f>
        <v>Onboarding et authentification</v>
      </c>
      <c r="D30" s="41" t="n">
        <f aca="false">Épopées!E30</f>
        <v>1</v>
      </c>
      <c r="E30" s="42" t="n">
        <f aca="false">Épopées!L30</f>
        <v>46436</v>
      </c>
      <c r="F30" s="42" t="n">
        <f aca="false">Épopées!M30</f>
        <v>46455</v>
      </c>
      <c r="G30" s="43" t="n">
        <f aca="false">Épopées!O30</f>
        <v>0</v>
      </c>
    </row>
    <row r="31" customFormat="false" ht="15" hidden="false" customHeight="false" outlineLevel="0" collapsed="false">
      <c r="A31" s="40" t="str">
        <f aca="false">Épopées!B31</f>
        <v>Mobile</v>
      </c>
      <c r="B31" s="40" t="str">
        <f aca="false">Épopées!C31</f>
        <v>MOB-Q</v>
      </c>
      <c r="C31" s="40" t="str">
        <f aca="false">Épopées!D31</f>
        <v>Paramètres et compte</v>
      </c>
      <c r="D31" s="41" t="n">
        <f aca="false">Épopées!E31</f>
        <v>1</v>
      </c>
      <c r="E31" s="42" t="n">
        <f aca="false">Épopées!L31</f>
        <v>46456</v>
      </c>
      <c r="F31" s="42" t="n">
        <f aca="false">Épopées!M31</f>
        <v>46472</v>
      </c>
      <c r="G31" s="43" t="n">
        <f aca="false">Épopées!O31</f>
        <v>0</v>
      </c>
    </row>
    <row r="32" customFormat="false" ht="15" hidden="false" customHeight="false" outlineLevel="0" collapsed="false">
      <c r="A32" s="40" t="str">
        <f aca="false">Épopées!B32</f>
        <v>Mobile</v>
      </c>
      <c r="B32" s="40" t="str">
        <f aca="false">Épopées!C32</f>
        <v>MOB-C</v>
      </c>
      <c r="C32" s="40" t="str">
        <f aca="false">Épopées!D32</f>
        <v>Accueil — dashboard</v>
      </c>
      <c r="D32" s="41" t="n">
        <f aca="false">Épopées!E32</f>
        <v>1</v>
      </c>
      <c r="E32" s="42" t="n">
        <f aca="false">Épopées!L32</f>
        <v>46475</v>
      </c>
      <c r="F32" s="42" t="n">
        <f aca="false">Épopées!M32</f>
        <v>46490</v>
      </c>
      <c r="G32" s="43" t="n">
        <f aca="false">Épopées!O32</f>
        <v>0</v>
      </c>
    </row>
    <row r="33" customFormat="false" ht="15" hidden="false" customHeight="false" outlineLevel="0" collapsed="false">
      <c r="A33" s="40" t="str">
        <f aca="false">Épopées!B33</f>
        <v>Mobile</v>
      </c>
      <c r="B33" s="40" t="str">
        <f aca="false">Épopées!C33</f>
        <v>MOB-F</v>
      </c>
      <c r="C33" s="40" t="str">
        <f aca="false">Épopées!D33</f>
        <v>Historique et fiches</v>
      </c>
      <c r="D33" s="41" t="n">
        <f aca="false">Épopées!E33</f>
        <v>1</v>
      </c>
      <c r="E33" s="42" t="n">
        <f aca="false">Épopées!L33</f>
        <v>46491</v>
      </c>
      <c r="F33" s="42" t="n">
        <f aca="false">Épopées!M33</f>
        <v>46510</v>
      </c>
      <c r="G33" s="43" t="n">
        <f aca="false">Épopées!O33</f>
        <v>0</v>
      </c>
    </row>
    <row r="34" customFormat="false" ht="15" hidden="false" customHeight="false" outlineLevel="0" collapsed="false">
      <c r="A34" s="40" t="str">
        <f aca="false">Épopées!B34</f>
        <v>Mobile</v>
      </c>
      <c r="B34" s="40" t="str">
        <f aca="false">Épopées!C34</f>
        <v>MOB-L</v>
      </c>
      <c r="C34" s="40" t="str">
        <f aca="false">Épopées!D34</f>
        <v>Calendrier et export agenda</v>
      </c>
      <c r="D34" s="41" t="n">
        <f aca="false">Épopées!E34</f>
        <v>1</v>
      </c>
      <c r="E34" s="42" t="n">
        <f aca="false">Épopées!L34</f>
        <v>46511</v>
      </c>
      <c r="F34" s="42" t="n">
        <f aca="false">Épopées!M34</f>
        <v>46533</v>
      </c>
      <c r="G34" s="43" t="n">
        <f aca="false">Épopées!O34</f>
        <v>0</v>
      </c>
    </row>
    <row r="35" customFormat="false" ht="15" hidden="false" customHeight="false" outlineLevel="0" collapsed="false">
      <c r="A35" s="40" t="str">
        <f aca="false">Épopées!B35</f>
        <v>Mobile</v>
      </c>
      <c r="B35" s="40" t="str">
        <f aca="false">Épopées!C35</f>
        <v>MOB-D</v>
      </c>
      <c r="C35" s="40" t="str">
        <f aca="false">Épopées!D35</f>
        <v>Jeux — Guess the Player</v>
      </c>
      <c r="D35" s="41" t="n">
        <f aca="false">Épopées!E35</f>
        <v>1</v>
      </c>
      <c r="E35" s="42" t="n">
        <f aca="false">Épopées!L35</f>
        <v>46534</v>
      </c>
      <c r="F35" s="42" t="n">
        <f aca="false">Épopées!M35</f>
        <v>46552</v>
      </c>
      <c r="G35" s="43" t="n">
        <f aca="false">Épopées!O35</f>
        <v>0</v>
      </c>
    </row>
    <row r="36" customFormat="false" ht="15" hidden="false" customHeight="false" outlineLevel="0" collapsed="false">
      <c r="A36" s="40" t="str">
        <f aca="false">Épopées!B36</f>
        <v>Mobile</v>
      </c>
      <c r="B36" s="40" t="str">
        <f aca="false">Épopées!C36</f>
        <v>MOB-E</v>
      </c>
      <c r="C36" s="40" t="str">
        <f aca="false">Épopées!D36</f>
        <v>Quiz adaptatif</v>
      </c>
      <c r="D36" s="41" t="n">
        <f aca="false">Épopées!E36</f>
        <v>1</v>
      </c>
      <c r="E36" s="42" t="n">
        <f aca="false">Épopées!L36</f>
        <v>46553</v>
      </c>
      <c r="F36" s="42" t="n">
        <f aca="false">Épopées!M36</f>
        <v>46573</v>
      </c>
      <c r="G36" s="43" t="n">
        <f aca="false">Épopées!O36</f>
        <v>0</v>
      </c>
    </row>
    <row r="37" customFormat="false" ht="15" hidden="false" customHeight="false" outlineLevel="0" collapsed="false">
      <c r="A37" s="40" t="str">
        <f aca="false">Épopées!B37</f>
        <v>Mobile</v>
      </c>
      <c r="B37" s="40" t="str">
        <f aca="false">Épopées!C37</f>
        <v>MOB-N</v>
      </c>
      <c r="C37" s="40" t="str">
        <f aca="false">Épopées!D37</f>
        <v>Assistant IA Barça AI</v>
      </c>
      <c r="D37" s="41" t="n">
        <f aca="false">Épopées!E37</f>
        <v>1</v>
      </c>
      <c r="E37" s="42" t="n">
        <f aca="false">Épopées!L37</f>
        <v>46574</v>
      </c>
      <c r="F37" s="42" t="n">
        <f aca="false">Épopées!M37</f>
        <v>46597</v>
      </c>
      <c r="G37" s="43" t="n">
        <f aca="false">Épopées!O37</f>
        <v>0</v>
      </c>
    </row>
    <row r="38" customFormat="false" ht="15" hidden="false" customHeight="false" outlineLevel="0" collapsed="false">
      <c r="A38" s="40" t="str">
        <f aca="false">Épopées!B38</f>
        <v>Mobile</v>
      </c>
      <c r="B38" s="40" t="str">
        <f aca="false">Épopées!C38</f>
        <v>MOB-O</v>
      </c>
      <c r="C38" s="40" t="str">
        <f aca="false">Épopées!D38</f>
        <v>Notifications</v>
      </c>
      <c r="D38" s="41" t="n">
        <f aca="false">Épopées!E38</f>
        <v>1</v>
      </c>
      <c r="E38" s="42" t="n">
        <f aca="false">Épopées!L38</f>
        <v>46598</v>
      </c>
      <c r="F38" s="42" t="n">
        <f aca="false">Épopées!M38</f>
        <v>46615</v>
      </c>
      <c r="G38" s="43" t="n">
        <f aca="false">Épopées!O38</f>
        <v>0</v>
      </c>
    </row>
    <row r="39" customFormat="false" ht="15" hidden="false" customHeight="false" outlineLevel="0" collapsed="false">
      <c r="A39" s="40" t="str">
        <f aca="false">Épopées!B39</f>
        <v>Mobile</v>
      </c>
      <c r="B39" s="40" t="str">
        <f aca="false">Épopées!C39</f>
        <v>MOB-G</v>
      </c>
      <c r="C39" s="40" t="str">
        <f aca="false">Épopées!D39</f>
        <v>Comparateur GOAT</v>
      </c>
      <c r="D39" s="41" t="n">
        <f aca="false">Épopées!E39</f>
        <v>2</v>
      </c>
      <c r="E39" s="42" t="n">
        <f aca="false">Épopées!L39</f>
        <v>46616</v>
      </c>
      <c r="F39" s="42" t="n">
        <f aca="false">Épopées!M39</f>
        <v>46626</v>
      </c>
      <c r="G39" s="43" t="n">
        <f aca="false">Épopées!O39</f>
        <v>0</v>
      </c>
    </row>
    <row r="40" customFormat="false" ht="15" hidden="false" customHeight="false" outlineLevel="0" collapsed="false">
      <c r="A40" s="40" t="str">
        <f aca="false">Épopées!B40</f>
        <v>Mobile</v>
      </c>
      <c r="B40" s="40" t="str">
        <f aca="false">Épopées!C40</f>
        <v>MOB-H</v>
      </c>
      <c r="C40" s="40" t="str">
        <f aca="false">Épopées!D40</f>
        <v>Fantasy Barça</v>
      </c>
      <c r="D40" s="41" t="n">
        <f aca="false">Épopées!E40</f>
        <v>2</v>
      </c>
      <c r="E40" s="42" t="n">
        <f aca="false">Épopées!L40</f>
        <v>46629</v>
      </c>
      <c r="F40" s="42" t="n">
        <f aca="false">Épopées!M40</f>
        <v>46653</v>
      </c>
      <c r="G40" s="43" t="n">
        <f aca="false">Épopées!O40</f>
        <v>0</v>
      </c>
    </row>
    <row r="41" customFormat="false" ht="15" hidden="false" customHeight="false" outlineLevel="0" collapsed="false">
      <c r="A41" s="40" t="str">
        <f aca="false">Épopées!B41</f>
        <v>Mobile</v>
      </c>
      <c r="B41" s="40" t="str">
        <f aca="false">Épopées!C41</f>
        <v>MOB-J</v>
      </c>
      <c r="C41" s="40" t="str">
        <f aca="false">Épopées!D41</f>
        <v>Carte communautaire</v>
      </c>
      <c r="D41" s="41" t="n">
        <f aca="false">Épopées!E41</f>
        <v>2</v>
      </c>
      <c r="E41" s="42" t="n">
        <f aca="false">Épopées!L41</f>
        <v>46654</v>
      </c>
      <c r="F41" s="42" t="n">
        <f aca="false">Épopées!M41</f>
        <v>46673</v>
      </c>
      <c r="G41" s="43" t="n">
        <f aca="false">Épopées!O41</f>
        <v>0</v>
      </c>
    </row>
    <row r="42" customFormat="false" ht="15" hidden="false" customHeight="false" outlineLevel="0" collapsed="false">
      <c r="A42" s="40" t="str">
        <f aca="false">Épopées!B42</f>
        <v>Mobile</v>
      </c>
      <c r="B42" s="40" t="str">
        <f aca="false">Épopées!C42</f>
        <v>MOB-K</v>
      </c>
      <c r="C42" s="40" t="str">
        <f aca="false">Épopées!D42</f>
        <v>Groupes locaux</v>
      </c>
      <c r="D42" s="41" t="n">
        <f aca="false">Épopées!E42</f>
        <v>2</v>
      </c>
      <c r="E42" s="42" t="n">
        <f aca="false">Épopées!L42</f>
        <v>46674</v>
      </c>
      <c r="F42" s="42" t="n">
        <f aca="false">Épopées!M42</f>
        <v>46695</v>
      </c>
      <c r="G42" s="43" t="n">
        <f aca="false">Épopées!O42</f>
        <v>0</v>
      </c>
    </row>
    <row r="43" customFormat="false" ht="15" hidden="false" customHeight="false" outlineLevel="0" collapsed="false">
      <c r="A43" s="40" t="str">
        <f aca="false">Épopées!B43</f>
        <v>Mobile</v>
      </c>
      <c r="B43" s="40" t="str">
        <f aca="false">Épopées!C43</f>
        <v>MOB-P</v>
      </c>
      <c r="C43" s="40" t="str">
        <f aca="false">Épopées!D43</f>
        <v>Culé Passport</v>
      </c>
      <c r="D43" s="41" t="n">
        <f aca="false">Épopées!E43</f>
        <v>2</v>
      </c>
      <c r="E43" s="42" t="n">
        <f aca="false">Épopées!L43</f>
        <v>46696</v>
      </c>
      <c r="F43" s="42" t="n">
        <f aca="false">Épopées!M43</f>
        <v>46710</v>
      </c>
      <c r="G43" s="43" t="n">
        <f aca="false">Épopées!O43</f>
        <v>0</v>
      </c>
    </row>
    <row r="44" customFormat="false" ht="15" hidden="false" customHeight="false" outlineLevel="0" collapsed="false">
      <c r="A44" s="40" t="str">
        <f aca="false">Épopées!B44</f>
        <v>Mobile</v>
      </c>
      <c r="B44" s="40" t="str">
        <f aca="false">Épopées!C44</f>
        <v>MOB-I</v>
      </c>
      <c r="C44" s="40" t="str">
        <f aca="false">Épopées!D44</f>
        <v>La Masia Academy</v>
      </c>
      <c r="D44" s="41" t="n">
        <f aca="false">Épopées!E44</f>
        <v>3</v>
      </c>
      <c r="E44" s="42" t="n">
        <f aca="false">Épopées!L44</f>
        <v>46713</v>
      </c>
      <c r="F44" s="42" t="n">
        <f aca="false">Épopées!M44</f>
        <v>46727</v>
      </c>
      <c r="G44" s="43" t="n">
        <f aca="false">Épopées!O44</f>
        <v>0</v>
      </c>
    </row>
    <row r="45" customFormat="false" ht="15" hidden="false" customHeight="false" outlineLevel="0" collapsed="false">
      <c r="A45" s="40" t="str">
        <f aca="false">Épopées!B45</f>
        <v>Mobile</v>
      </c>
      <c r="B45" s="40" t="str">
        <f aca="false">Épopées!C45</f>
        <v>MOB-M</v>
      </c>
      <c r="C45" s="40" t="str">
        <f aca="false">Épopées!D45</f>
        <v>Wallpapers IA</v>
      </c>
      <c r="D45" s="41" t="n">
        <f aca="false">Épopées!E45</f>
        <v>3</v>
      </c>
      <c r="E45" s="42" t="n">
        <f aca="false">Épopées!L45</f>
        <v>46728</v>
      </c>
      <c r="F45" s="42" t="n">
        <f aca="false">Épopées!M45</f>
        <v>46748</v>
      </c>
      <c r="G45" s="43" t="n">
        <f aca="false">Épopées!O45</f>
        <v>0</v>
      </c>
    </row>
    <row r="46" customFormat="false" ht="15" hidden="false" customHeight="false" outlineLevel="0" collapsed="false">
      <c r="A46" s="40" t="str">
        <f aca="false">Épopées!B46</f>
        <v>Admin</v>
      </c>
      <c r="B46" s="40" t="str">
        <f aca="false">Épopées!C46</f>
        <v>ADM-FND</v>
      </c>
      <c r="C46" s="40" t="str">
        <f aca="false">Épopées!D46</f>
        <v>Socle technique admin</v>
      </c>
      <c r="D46" s="41" t="n">
        <f aca="false">Épopées!E46</f>
        <v>0</v>
      </c>
      <c r="E46" s="42" t="n">
        <f aca="false">Épopées!L46</f>
        <v>46328</v>
      </c>
      <c r="F46" s="42" t="n">
        <f aca="false">Épopées!M46</f>
        <v>46353</v>
      </c>
      <c r="G46" s="43" t="n">
        <f aca="false">Épopées!O46</f>
        <v>0</v>
      </c>
    </row>
    <row r="47" customFormat="false" ht="15" hidden="false" customHeight="false" outlineLevel="0" collapsed="false">
      <c r="A47" s="40" t="str">
        <f aca="false">Épopées!B47</f>
        <v>Admin</v>
      </c>
      <c r="B47" s="40" t="str">
        <f aca="false">Épopées!C47</f>
        <v>ADM-ADS</v>
      </c>
      <c r="C47" s="40" t="str">
        <f aca="false">Épopées!D47</f>
        <v>Design system admin</v>
      </c>
      <c r="D47" s="41" t="n">
        <f aca="false">Épopées!E47</f>
        <v>0</v>
      </c>
      <c r="E47" s="42" t="n">
        <f aca="false">Épopées!L47</f>
        <v>46356</v>
      </c>
      <c r="F47" s="42" t="n">
        <f aca="false">Épopées!M47</f>
        <v>46387</v>
      </c>
      <c r="G47" s="43" t="n">
        <f aca="false">Épopées!O47</f>
        <v>0</v>
      </c>
    </row>
    <row r="48" customFormat="false" ht="15" hidden="false" customHeight="false" outlineLevel="0" collapsed="false">
      <c r="A48" s="40" t="str">
        <f aca="false">Épopées!B48</f>
        <v>Admin</v>
      </c>
      <c r="B48" s="40" t="str">
        <f aca="false">Épopées!C48</f>
        <v>ADM-WA</v>
      </c>
      <c r="C48" s="40" t="str">
        <f aca="false">Épopées!D48</f>
        <v>Authentification et erreurs</v>
      </c>
      <c r="D48" s="41" t="n">
        <f aca="false">Épopées!E48</f>
        <v>1</v>
      </c>
      <c r="E48" s="42" t="n">
        <f aca="false">Épopées!L48</f>
        <v>46388</v>
      </c>
      <c r="F48" s="42" t="n">
        <f aca="false">Épopées!M48</f>
        <v>46406</v>
      </c>
      <c r="G48" s="43" t="n">
        <f aca="false">Épopées!O48</f>
        <v>0</v>
      </c>
    </row>
    <row r="49" customFormat="false" ht="15" hidden="false" customHeight="false" outlineLevel="0" collapsed="false">
      <c r="A49" s="40" t="str">
        <f aca="false">Épopées!B49</f>
        <v>Admin</v>
      </c>
      <c r="B49" s="40" t="str">
        <f aca="false">Épopées!C49</f>
        <v>ADM-WB</v>
      </c>
      <c r="C49" s="40" t="str">
        <f aca="false">Épopées!D49</f>
        <v>Tableau de bord et recherche</v>
      </c>
      <c r="D49" s="41" t="n">
        <f aca="false">Épopées!E49</f>
        <v>1</v>
      </c>
      <c r="E49" s="42" t="n">
        <f aca="false">Épopées!L49</f>
        <v>46407</v>
      </c>
      <c r="F49" s="42" t="n">
        <f aca="false">Épopées!M49</f>
        <v>46423</v>
      </c>
      <c r="G49" s="43" t="n">
        <f aca="false">Épopées!O49</f>
        <v>0</v>
      </c>
    </row>
    <row r="50" customFormat="false" ht="15" hidden="false" customHeight="false" outlineLevel="0" collapsed="false">
      <c r="A50" s="40" t="str">
        <f aca="false">Épopées!B50</f>
        <v>Admin</v>
      </c>
      <c r="B50" s="40" t="str">
        <f aca="false">Épopées!C50</f>
        <v>ADM-WC</v>
      </c>
      <c r="C50" s="40" t="str">
        <f aca="false">Épopées!D50</f>
        <v>Gestion des joueurs</v>
      </c>
      <c r="D50" s="41" t="n">
        <f aca="false">Épopées!E50</f>
        <v>1</v>
      </c>
      <c r="E50" s="42" t="n">
        <f aca="false">Épopées!L50</f>
        <v>46426</v>
      </c>
      <c r="F50" s="42" t="n">
        <f aca="false">Épopées!M50</f>
        <v>46455</v>
      </c>
      <c r="G50" s="43" t="n">
        <f aca="false">Épopées!O50</f>
        <v>0</v>
      </c>
    </row>
    <row r="51" customFormat="false" ht="15" hidden="false" customHeight="false" outlineLevel="0" collapsed="false">
      <c r="A51" s="40" t="str">
        <f aca="false">Épopées!B51</f>
        <v>Admin</v>
      </c>
      <c r="B51" s="40" t="str">
        <f aca="false">Épopées!C51</f>
        <v>ADM-WD</v>
      </c>
      <c r="C51" s="40" t="str">
        <f aca="false">Épopées!D51</f>
        <v>Matchs et compétitions</v>
      </c>
      <c r="D51" s="41" t="n">
        <f aca="false">Épopées!E51</f>
        <v>1</v>
      </c>
      <c r="E51" s="42" t="n">
        <f aca="false">Épopées!L51</f>
        <v>46456</v>
      </c>
      <c r="F51" s="42" t="n">
        <f aca="false">Épopées!M51</f>
        <v>46476</v>
      </c>
      <c r="G51" s="43" t="n">
        <f aca="false">Épopées!O51</f>
        <v>0</v>
      </c>
    </row>
    <row r="52" customFormat="false" ht="15" hidden="false" customHeight="false" outlineLevel="0" collapsed="false">
      <c r="A52" s="40" t="str">
        <f aca="false">Épopées!B52</f>
        <v>Admin</v>
      </c>
      <c r="B52" s="40" t="str">
        <f aca="false">Épopées!C52</f>
        <v>ADM-WE</v>
      </c>
      <c r="C52" s="40" t="str">
        <f aca="false">Épopées!D52</f>
        <v>Contenu éditorial</v>
      </c>
      <c r="D52" s="41" t="n">
        <f aca="false">Épopées!E52</f>
        <v>1</v>
      </c>
      <c r="E52" s="42" t="n">
        <f aca="false">Épopées!L52</f>
        <v>46477</v>
      </c>
      <c r="F52" s="42" t="n">
        <f aca="false">Épopées!M52</f>
        <v>46497</v>
      </c>
      <c r="G52" s="43" t="n">
        <f aca="false">Épopées!O52</f>
        <v>0</v>
      </c>
    </row>
    <row r="53" customFormat="false" ht="15" hidden="false" customHeight="false" outlineLevel="0" collapsed="false">
      <c r="A53" s="40" t="str">
        <f aca="false">Épopées!B53</f>
        <v>Admin</v>
      </c>
      <c r="B53" s="40" t="str">
        <f aca="false">Épopées!C53</f>
        <v>ADM-WF</v>
      </c>
      <c r="C53" s="40" t="str">
        <f aca="false">Épopées!D53</f>
        <v>Questions de quiz</v>
      </c>
      <c r="D53" s="41" t="n">
        <f aca="false">Épopées!E53</f>
        <v>1</v>
      </c>
      <c r="E53" s="42" t="n">
        <f aca="false">Épopées!L53</f>
        <v>46498</v>
      </c>
      <c r="F53" s="42" t="n">
        <f aca="false">Épopées!M53</f>
        <v>46521</v>
      </c>
      <c r="G53" s="43" t="n">
        <f aca="false">Épopées!O53</f>
        <v>0</v>
      </c>
    </row>
    <row r="54" customFormat="false" ht="15" hidden="false" customHeight="false" outlineLevel="0" collapsed="false">
      <c r="A54" s="40" t="str">
        <f aca="false">Épopées!B54</f>
        <v>Admin</v>
      </c>
      <c r="B54" s="40" t="str">
        <f aca="false">Épopées!C54</f>
        <v>ADM-WH</v>
      </c>
      <c r="C54" s="40" t="str">
        <f aca="false">Épopées!D54</f>
        <v>Supervision technique</v>
      </c>
      <c r="D54" s="41" t="n">
        <f aca="false">Épopées!E54</f>
        <v>1</v>
      </c>
      <c r="E54" s="42" t="n">
        <f aca="false">Épopées!L54</f>
        <v>46524</v>
      </c>
      <c r="F54" s="42" t="n">
        <f aca="false">Épopées!M54</f>
        <v>46540</v>
      </c>
      <c r="G54" s="43" t="n">
        <f aca="false">Épopées!O54</f>
        <v>0</v>
      </c>
    </row>
    <row r="55" customFormat="false" ht="15" hidden="false" customHeight="false" outlineLevel="0" collapsed="false">
      <c r="A55" s="40" t="str">
        <f aca="false">Épopées!B55</f>
        <v>Admin</v>
      </c>
      <c r="B55" s="40" t="str">
        <f aca="false">Épopées!C55</f>
        <v>ADM-WI</v>
      </c>
      <c r="C55" s="40" t="str">
        <f aca="false">Épopées!D55</f>
        <v>Comptes, configuration et notifications</v>
      </c>
      <c r="D55" s="41" t="n">
        <f aca="false">Épopées!E55</f>
        <v>1</v>
      </c>
      <c r="E55" s="42" t="n">
        <f aca="false">Épopées!L55</f>
        <v>46541</v>
      </c>
      <c r="F55" s="42" t="n">
        <f aca="false">Épopées!M55</f>
        <v>46563</v>
      </c>
      <c r="G55" s="43" t="n">
        <f aca="false">Épopées!O55</f>
        <v>0</v>
      </c>
    </row>
    <row r="56" customFormat="false" ht="15" hidden="false" customHeight="false" outlineLevel="0" collapsed="false">
      <c r="A56" s="40" t="str">
        <f aca="false">Épopées!B56</f>
        <v>Admin</v>
      </c>
      <c r="B56" s="40" t="str">
        <f aca="false">Épopées!C56</f>
        <v>ADM-WJ</v>
      </c>
      <c r="C56" s="40" t="str">
        <f aca="false">Épopées!D56</f>
        <v>Utilisateurs et évolutions phase 2-3</v>
      </c>
      <c r="D56" s="41" t="n">
        <f aca="false">Épopées!E56</f>
        <v>1</v>
      </c>
      <c r="E56" s="42" t="n">
        <f aca="false">Épopées!L56</f>
        <v>46566</v>
      </c>
      <c r="F56" s="42" t="n">
        <f aca="false">Épopées!M56</f>
        <v>46573</v>
      </c>
      <c r="G56" s="43" t="n">
        <f aca="false">Épopées!O56</f>
        <v>0</v>
      </c>
    </row>
    <row r="57" customFormat="false" ht="15" hidden="false" customHeight="false" outlineLevel="0" collapsed="false">
      <c r="A57" s="40" t="str">
        <f aca="false">Épopées!B57</f>
        <v>Admin</v>
      </c>
      <c r="B57" s="40" t="str">
        <f aca="false">Épopées!C57</f>
        <v>ADM-WG</v>
      </c>
      <c r="C57" s="40" t="str">
        <f aca="false">Épopées!D57</f>
        <v>Modération communautaire</v>
      </c>
      <c r="D57" s="41" t="n">
        <f aca="false">Épopées!E57</f>
        <v>2</v>
      </c>
      <c r="E57" s="42" t="n">
        <f aca="false">Épopées!L57</f>
        <v>46574</v>
      </c>
      <c r="F57" s="42" t="n">
        <f aca="false">Épopées!M57</f>
        <v>46601</v>
      </c>
      <c r="G57" s="43" t="n">
        <f aca="false">Épopées!O57</f>
        <v>0</v>
      </c>
    </row>
    <row r="58" customFormat="false" ht="15" hidden="false" customHeight="false" outlineLevel="0" collapsed="false">
      <c r="A58" s="40" t="str">
        <f aca="false">Épopées!B58</f>
        <v>Admin</v>
      </c>
      <c r="B58" s="40" t="str">
        <f aca="false">Épopées!C58</f>
        <v>ADM-WJ</v>
      </c>
      <c r="C58" s="40" t="str">
        <f aca="false">Épopées!D58</f>
        <v>Utilisateurs et évolutions phase 2-3</v>
      </c>
      <c r="D58" s="41" t="n">
        <f aca="false">Épopées!E58</f>
        <v>2</v>
      </c>
      <c r="E58" s="42" t="n">
        <f aca="false">Épopées!L58</f>
        <v>46602</v>
      </c>
      <c r="F58" s="42" t="n">
        <f aca="false">Épopées!M58</f>
        <v>46609</v>
      </c>
      <c r="G58" s="43" t="n">
        <f aca="false">Épopées!O58</f>
        <v>0</v>
      </c>
    </row>
    <row r="59" customFormat="false" ht="15" hidden="false" customHeight="false" outlineLevel="0" collapsed="false">
      <c r="A59" s="40" t="str">
        <f aca="false">Épopées!B59</f>
        <v>Admin</v>
      </c>
      <c r="B59" s="40" t="str">
        <f aca="false">Épopées!C59</f>
        <v>ADM-WJ</v>
      </c>
      <c r="C59" s="40" t="str">
        <f aca="false">Épopées!D59</f>
        <v>Utilisateurs et évolutions phase 2-3</v>
      </c>
      <c r="D59" s="41" t="n">
        <f aca="false">Épopées!E59</f>
        <v>3</v>
      </c>
      <c r="E59" s="42" t="n">
        <f aca="false">Épopées!L59</f>
        <v>46673</v>
      </c>
      <c r="F59" s="42" t="n">
        <f aca="false">Épopées!M59</f>
        <v>46679</v>
      </c>
      <c r="G59" s="43" t="n">
        <f aca="false">Épopées!O59</f>
        <v>0</v>
      </c>
    </row>
    <row r="61" customFormat="false" ht="15" hidden="false" customHeight="false" outlineLevel="0" collapsed="false">
      <c r="C61" s="44" t="s">
        <v>290</v>
      </c>
      <c r="H61" s="45" t="str">
        <f aca="false">IF(OR(AND(Jalons!$D$7&gt;=H$5,Jalons!$D$7&lt;H$5+7),AND(Jalons!$D$8&gt;=H$5,Jalons!$D$8&lt;H$5+7),AND(Jalons!$D$9&gt;=H$5,Jalons!$D$9&lt;H$5+7),AND(Jalons!$D$10&gt;=H$5,Jalons!$D$10&lt;H$5+7)),"◆","")</f>
        <v/>
      </c>
      <c r="I61" s="45" t="str">
        <f aca="false">IF(OR(AND(Jalons!$D$7&gt;=I$5,Jalons!$D$7&lt;I$5+7),AND(Jalons!$D$8&gt;=I$5,Jalons!$D$8&lt;I$5+7),AND(Jalons!$D$9&gt;=I$5,Jalons!$D$9&lt;I$5+7),AND(Jalons!$D$10&gt;=I$5,Jalons!$D$10&lt;I$5+7)),"◆","")</f>
        <v/>
      </c>
      <c r="J61" s="45" t="str">
        <f aca="false">IF(OR(AND(Jalons!$D$7&gt;=J$5,Jalons!$D$7&lt;J$5+7),AND(Jalons!$D$8&gt;=J$5,Jalons!$D$8&lt;J$5+7),AND(Jalons!$D$9&gt;=J$5,Jalons!$D$9&lt;J$5+7),AND(Jalons!$D$10&gt;=J$5,Jalons!$D$10&lt;J$5+7)),"◆","")</f>
        <v/>
      </c>
      <c r="K61" s="45" t="str">
        <f aca="false">IF(OR(AND(Jalons!$D$7&gt;=K$5,Jalons!$D$7&lt;K$5+7),AND(Jalons!$D$8&gt;=K$5,Jalons!$D$8&lt;K$5+7),AND(Jalons!$D$9&gt;=K$5,Jalons!$D$9&lt;K$5+7),AND(Jalons!$D$10&gt;=K$5,Jalons!$D$10&lt;K$5+7)),"◆","")</f>
        <v/>
      </c>
      <c r="L61" s="45" t="str">
        <f aca="false">IF(OR(AND(Jalons!$D$7&gt;=L$5,Jalons!$D$7&lt;L$5+7),AND(Jalons!$D$8&gt;=L$5,Jalons!$D$8&lt;L$5+7),AND(Jalons!$D$9&gt;=L$5,Jalons!$D$9&lt;L$5+7),AND(Jalons!$D$10&gt;=L$5,Jalons!$D$10&lt;L$5+7)),"◆","")</f>
        <v/>
      </c>
      <c r="M61" s="45" t="str">
        <f aca="false">IF(OR(AND(Jalons!$D$7&gt;=M$5,Jalons!$D$7&lt;M$5+7),AND(Jalons!$D$8&gt;=M$5,Jalons!$D$8&lt;M$5+7),AND(Jalons!$D$9&gt;=M$5,Jalons!$D$9&lt;M$5+7),AND(Jalons!$D$10&gt;=M$5,Jalons!$D$10&lt;M$5+7)),"◆","")</f>
        <v/>
      </c>
      <c r="N61" s="45" t="str">
        <f aca="false">IF(OR(AND(Jalons!$D$7&gt;=N$5,Jalons!$D$7&lt;N$5+7),AND(Jalons!$D$8&gt;=N$5,Jalons!$D$8&lt;N$5+7),AND(Jalons!$D$9&gt;=N$5,Jalons!$D$9&lt;N$5+7),AND(Jalons!$D$10&gt;=N$5,Jalons!$D$10&lt;N$5+7)),"◆","")</f>
        <v/>
      </c>
      <c r="O61" s="45" t="str">
        <f aca="false">IF(OR(AND(Jalons!$D$7&gt;=O$5,Jalons!$D$7&lt;O$5+7),AND(Jalons!$D$8&gt;=O$5,Jalons!$D$8&lt;O$5+7),AND(Jalons!$D$9&gt;=O$5,Jalons!$D$9&lt;O$5+7),AND(Jalons!$D$10&gt;=O$5,Jalons!$D$10&lt;O$5+7)),"◆","")</f>
        <v/>
      </c>
      <c r="P61" s="45" t="str">
        <f aca="false">IF(OR(AND(Jalons!$D$7&gt;=P$5,Jalons!$D$7&lt;P$5+7),AND(Jalons!$D$8&gt;=P$5,Jalons!$D$8&lt;P$5+7),AND(Jalons!$D$9&gt;=P$5,Jalons!$D$9&lt;P$5+7),AND(Jalons!$D$10&gt;=P$5,Jalons!$D$10&lt;P$5+7)),"◆","")</f>
        <v/>
      </c>
      <c r="Q61" s="45" t="str">
        <f aca="false">IF(OR(AND(Jalons!$D$7&gt;=Q$5,Jalons!$D$7&lt;Q$5+7),AND(Jalons!$D$8&gt;=Q$5,Jalons!$D$8&lt;Q$5+7),AND(Jalons!$D$9&gt;=Q$5,Jalons!$D$9&lt;Q$5+7),AND(Jalons!$D$10&gt;=Q$5,Jalons!$D$10&lt;Q$5+7)),"◆","")</f>
        <v/>
      </c>
      <c r="R61" s="45" t="str">
        <f aca="false">IF(OR(AND(Jalons!$D$7&gt;=R$5,Jalons!$D$7&lt;R$5+7),AND(Jalons!$D$8&gt;=R$5,Jalons!$D$8&lt;R$5+7),AND(Jalons!$D$9&gt;=R$5,Jalons!$D$9&lt;R$5+7),AND(Jalons!$D$10&gt;=R$5,Jalons!$D$10&lt;R$5+7)),"◆","")</f>
        <v/>
      </c>
      <c r="S61" s="45" t="str">
        <f aca="false">IF(OR(AND(Jalons!$D$7&gt;=S$5,Jalons!$D$7&lt;S$5+7),AND(Jalons!$D$8&gt;=S$5,Jalons!$D$8&lt;S$5+7),AND(Jalons!$D$9&gt;=S$5,Jalons!$D$9&lt;S$5+7),AND(Jalons!$D$10&gt;=S$5,Jalons!$D$10&lt;S$5+7)),"◆","")</f>
        <v/>
      </c>
      <c r="T61" s="45" t="str">
        <f aca="false">IF(OR(AND(Jalons!$D$7&gt;=T$5,Jalons!$D$7&lt;T$5+7),AND(Jalons!$D$8&gt;=T$5,Jalons!$D$8&lt;T$5+7),AND(Jalons!$D$9&gt;=T$5,Jalons!$D$9&lt;T$5+7),AND(Jalons!$D$10&gt;=T$5,Jalons!$D$10&lt;T$5+7)),"◆","")</f>
        <v/>
      </c>
      <c r="U61" s="45" t="str">
        <f aca="false">IF(OR(AND(Jalons!$D$7&gt;=U$5,Jalons!$D$7&lt;U$5+7),AND(Jalons!$D$8&gt;=U$5,Jalons!$D$8&lt;U$5+7),AND(Jalons!$D$9&gt;=U$5,Jalons!$D$9&lt;U$5+7),AND(Jalons!$D$10&gt;=U$5,Jalons!$D$10&lt;U$5+7)),"◆","")</f>
        <v/>
      </c>
      <c r="V61" s="45" t="str">
        <f aca="false">IF(OR(AND(Jalons!$D$7&gt;=V$5,Jalons!$D$7&lt;V$5+7),AND(Jalons!$D$8&gt;=V$5,Jalons!$D$8&lt;V$5+7),AND(Jalons!$D$9&gt;=V$5,Jalons!$D$9&lt;V$5+7),AND(Jalons!$D$10&gt;=V$5,Jalons!$D$10&lt;V$5+7)),"◆","")</f>
        <v/>
      </c>
      <c r="W61" s="45" t="str">
        <f aca="false">IF(OR(AND(Jalons!$D$7&gt;=W$5,Jalons!$D$7&lt;W$5+7),AND(Jalons!$D$8&gt;=W$5,Jalons!$D$8&lt;W$5+7),AND(Jalons!$D$9&gt;=W$5,Jalons!$D$9&lt;W$5+7),AND(Jalons!$D$10&gt;=W$5,Jalons!$D$10&lt;W$5+7)),"◆","")</f>
        <v/>
      </c>
      <c r="X61" s="45" t="str">
        <f aca="false">IF(OR(AND(Jalons!$D$7&gt;=X$5,Jalons!$D$7&lt;X$5+7),AND(Jalons!$D$8&gt;=X$5,Jalons!$D$8&lt;X$5+7),AND(Jalons!$D$9&gt;=X$5,Jalons!$D$9&lt;X$5+7),AND(Jalons!$D$10&gt;=X$5,Jalons!$D$10&lt;X$5+7)),"◆","")</f>
        <v/>
      </c>
      <c r="Y61" s="45" t="str">
        <f aca="false">IF(OR(AND(Jalons!$D$7&gt;=Y$5,Jalons!$D$7&lt;Y$5+7),AND(Jalons!$D$8&gt;=Y$5,Jalons!$D$8&lt;Y$5+7),AND(Jalons!$D$9&gt;=Y$5,Jalons!$D$9&lt;Y$5+7),AND(Jalons!$D$10&gt;=Y$5,Jalons!$D$10&lt;Y$5+7)),"◆","")</f>
        <v>◆</v>
      </c>
      <c r="Z61" s="45" t="str">
        <f aca="false">IF(OR(AND(Jalons!$D$7&gt;=Z$5,Jalons!$D$7&lt;Z$5+7),AND(Jalons!$D$8&gt;=Z$5,Jalons!$D$8&lt;Z$5+7),AND(Jalons!$D$9&gt;=Z$5,Jalons!$D$9&lt;Z$5+7),AND(Jalons!$D$10&gt;=Z$5,Jalons!$D$10&lt;Z$5+7)),"◆","")</f>
        <v/>
      </c>
      <c r="AA61" s="45" t="str">
        <f aca="false">IF(OR(AND(Jalons!$D$7&gt;=AA$5,Jalons!$D$7&lt;AA$5+7),AND(Jalons!$D$8&gt;=AA$5,Jalons!$D$8&lt;AA$5+7),AND(Jalons!$D$9&gt;=AA$5,Jalons!$D$9&lt;AA$5+7),AND(Jalons!$D$10&gt;=AA$5,Jalons!$D$10&lt;AA$5+7)),"◆","")</f>
        <v/>
      </c>
      <c r="AB61" s="45" t="str">
        <f aca="false">IF(OR(AND(Jalons!$D$7&gt;=AB$5,Jalons!$D$7&lt;AB$5+7),AND(Jalons!$D$8&gt;=AB$5,Jalons!$D$8&lt;AB$5+7),AND(Jalons!$D$9&gt;=AB$5,Jalons!$D$9&lt;AB$5+7),AND(Jalons!$D$10&gt;=AB$5,Jalons!$D$10&lt;AB$5+7)),"◆","")</f>
        <v/>
      </c>
      <c r="AC61" s="45" t="str">
        <f aca="false">IF(OR(AND(Jalons!$D$7&gt;=AC$5,Jalons!$D$7&lt;AC$5+7),AND(Jalons!$D$8&gt;=AC$5,Jalons!$D$8&lt;AC$5+7),AND(Jalons!$D$9&gt;=AC$5,Jalons!$D$9&lt;AC$5+7),AND(Jalons!$D$10&gt;=AC$5,Jalons!$D$10&lt;AC$5+7)),"◆","")</f>
        <v/>
      </c>
      <c r="AD61" s="45" t="str">
        <f aca="false">IF(OR(AND(Jalons!$D$7&gt;=AD$5,Jalons!$D$7&lt;AD$5+7),AND(Jalons!$D$8&gt;=AD$5,Jalons!$D$8&lt;AD$5+7),AND(Jalons!$D$9&gt;=AD$5,Jalons!$D$9&lt;AD$5+7),AND(Jalons!$D$10&gt;=AD$5,Jalons!$D$10&lt;AD$5+7)),"◆","")</f>
        <v/>
      </c>
      <c r="AE61" s="45" t="str">
        <f aca="false">IF(OR(AND(Jalons!$D$7&gt;=AE$5,Jalons!$D$7&lt;AE$5+7),AND(Jalons!$D$8&gt;=AE$5,Jalons!$D$8&lt;AE$5+7),AND(Jalons!$D$9&gt;=AE$5,Jalons!$D$9&lt;AE$5+7),AND(Jalons!$D$10&gt;=AE$5,Jalons!$D$10&lt;AE$5+7)),"◆","")</f>
        <v/>
      </c>
      <c r="AF61" s="45" t="str">
        <f aca="false">IF(OR(AND(Jalons!$D$7&gt;=AF$5,Jalons!$D$7&lt;AF$5+7),AND(Jalons!$D$8&gt;=AF$5,Jalons!$D$8&lt;AF$5+7),AND(Jalons!$D$9&gt;=AF$5,Jalons!$D$9&lt;AF$5+7),AND(Jalons!$D$10&gt;=AF$5,Jalons!$D$10&lt;AF$5+7)),"◆","")</f>
        <v/>
      </c>
      <c r="AG61" s="45" t="str">
        <f aca="false">IF(OR(AND(Jalons!$D$7&gt;=AG$5,Jalons!$D$7&lt;AG$5+7),AND(Jalons!$D$8&gt;=AG$5,Jalons!$D$8&lt;AG$5+7),AND(Jalons!$D$9&gt;=AG$5,Jalons!$D$9&lt;AG$5+7),AND(Jalons!$D$10&gt;=AG$5,Jalons!$D$10&lt;AG$5+7)),"◆","")</f>
        <v/>
      </c>
      <c r="AH61" s="45" t="str">
        <f aca="false">IF(OR(AND(Jalons!$D$7&gt;=AH$5,Jalons!$D$7&lt;AH$5+7),AND(Jalons!$D$8&gt;=AH$5,Jalons!$D$8&lt;AH$5+7),AND(Jalons!$D$9&gt;=AH$5,Jalons!$D$9&lt;AH$5+7),AND(Jalons!$D$10&gt;=AH$5,Jalons!$D$10&lt;AH$5+7)),"◆","")</f>
        <v/>
      </c>
      <c r="AI61" s="45" t="str">
        <f aca="false">IF(OR(AND(Jalons!$D$7&gt;=AI$5,Jalons!$D$7&lt;AI$5+7),AND(Jalons!$D$8&gt;=AI$5,Jalons!$D$8&lt;AI$5+7),AND(Jalons!$D$9&gt;=AI$5,Jalons!$D$9&lt;AI$5+7),AND(Jalons!$D$10&gt;=AI$5,Jalons!$D$10&lt;AI$5+7)),"◆","")</f>
        <v/>
      </c>
      <c r="AJ61" s="45" t="str">
        <f aca="false">IF(OR(AND(Jalons!$D$7&gt;=AJ$5,Jalons!$D$7&lt;AJ$5+7),AND(Jalons!$D$8&gt;=AJ$5,Jalons!$D$8&lt;AJ$5+7),AND(Jalons!$D$9&gt;=AJ$5,Jalons!$D$9&lt;AJ$5+7),AND(Jalons!$D$10&gt;=AJ$5,Jalons!$D$10&lt;AJ$5+7)),"◆","")</f>
        <v/>
      </c>
      <c r="AK61" s="45" t="str">
        <f aca="false">IF(OR(AND(Jalons!$D$7&gt;=AK$5,Jalons!$D$7&lt;AK$5+7),AND(Jalons!$D$8&gt;=AK$5,Jalons!$D$8&lt;AK$5+7),AND(Jalons!$D$9&gt;=AK$5,Jalons!$D$9&lt;AK$5+7),AND(Jalons!$D$10&gt;=AK$5,Jalons!$D$10&lt;AK$5+7)),"◆","")</f>
        <v/>
      </c>
      <c r="AL61" s="45" t="str">
        <f aca="false">IF(OR(AND(Jalons!$D$7&gt;=AL$5,Jalons!$D$7&lt;AL$5+7),AND(Jalons!$D$8&gt;=AL$5,Jalons!$D$8&lt;AL$5+7),AND(Jalons!$D$9&gt;=AL$5,Jalons!$D$9&lt;AL$5+7),AND(Jalons!$D$10&gt;=AL$5,Jalons!$D$10&lt;AL$5+7)),"◆","")</f>
        <v/>
      </c>
      <c r="AM61" s="45" t="str">
        <f aca="false">IF(OR(AND(Jalons!$D$7&gt;=AM$5,Jalons!$D$7&lt;AM$5+7),AND(Jalons!$D$8&gt;=AM$5,Jalons!$D$8&lt;AM$5+7),AND(Jalons!$D$9&gt;=AM$5,Jalons!$D$9&lt;AM$5+7),AND(Jalons!$D$10&gt;=AM$5,Jalons!$D$10&lt;AM$5+7)),"◆","")</f>
        <v/>
      </c>
      <c r="AN61" s="45" t="str">
        <f aca="false">IF(OR(AND(Jalons!$D$7&gt;=AN$5,Jalons!$D$7&lt;AN$5+7),AND(Jalons!$D$8&gt;=AN$5,Jalons!$D$8&lt;AN$5+7),AND(Jalons!$D$9&gt;=AN$5,Jalons!$D$9&lt;AN$5+7),AND(Jalons!$D$10&gt;=AN$5,Jalons!$D$10&lt;AN$5+7)),"◆","")</f>
        <v/>
      </c>
      <c r="AO61" s="45" t="str">
        <f aca="false">IF(OR(AND(Jalons!$D$7&gt;=AO$5,Jalons!$D$7&lt;AO$5+7),AND(Jalons!$D$8&gt;=AO$5,Jalons!$D$8&lt;AO$5+7),AND(Jalons!$D$9&gt;=AO$5,Jalons!$D$9&lt;AO$5+7),AND(Jalons!$D$10&gt;=AO$5,Jalons!$D$10&lt;AO$5+7)),"◆","")</f>
        <v/>
      </c>
      <c r="AP61" s="45" t="str">
        <f aca="false">IF(OR(AND(Jalons!$D$7&gt;=AP$5,Jalons!$D$7&lt;AP$5+7),AND(Jalons!$D$8&gt;=AP$5,Jalons!$D$8&lt;AP$5+7),AND(Jalons!$D$9&gt;=AP$5,Jalons!$D$9&lt;AP$5+7),AND(Jalons!$D$10&gt;=AP$5,Jalons!$D$10&lt;AP$5+7)),"◆","")</f>
        <v/>
      </c>
      <c r="AQ61" s="45" t="str">
        <f aca="false">IF(OR(AND(Jalons!$D$7&gt;=AQ$5,Jalons!$D$7&lt;AQ$5+7),AND(Jalons!$D$8&gt;=AQ$5,Jalons!$D$8&lt;AQ$5+7),AND(Jalons!$D$9&gt;=AQ$5,Jalons!$D$9&lt;AQ$5+7),AND(Jalons!$D$10&gt;=AQ$5,Jalons!$D$10&lt;AQ$5+7)),"◆","")</f>
        <v/>
      </c>
      <c r="AR61" s="45" t="str">
        <f aca="false">IF(OR(AND(Jalons!$D$7&gt;=AR$5,Jalons!$D$7&lt;AR$5+7),AND(Jalons!$D$8&gt;=AR$5,Jalons!$D$8&lt;AR$5+7),AND(Jalons!$D$9&gt;=AR$5,Jalons!$D$9&lt;AR$5+7),AND(Jalons!$D$10&gt;=AR$5,Jalons!$D$10&lt;AR$5+7)),"◆","")</f>
        <v/>
      </c>
      <c r="AS61" s="45" t="str">
        <f aca="false">IF(OR(AND(Jalons!$D$7&gt;=AS$5,Jalons!$D$7&lt;AS$5+7),AND(Jalons!$D$8&gt;=AS$5,Jalons!$D$8&lt;AS$5+7),AND(Jalons!$D$9&gt;=AS$5,Jalons!$D$9&lt;AS$5+7),AND(Jalons!$D$10&gt;=AS$5,Jalons!$D$10&lt;AS$5+7)),"◆","")</f>
        <v/>
      </c>
      <c r="AT61" s="45" t="str">
        <f aca="false">IF(OR(AND(Jalons!$D$7&gt;=AT$5,Jalons!$D$7&lt;AT$5+7),AND(Jalons!$D$8&gt;=AT$5,Jalons!$D$8&lt;AT$5+7),AND(Jalons!$D$9&gt;=AT$5,Jalons!$D$9&lt;AT$5+7),AND(Jalons!$D$10&gt;=AT$5,Jalons!$D$10&lt;AT$5+7)),"◆","")</f>
        <v/>
      </c>
      <c r="AU61" s="45" t="str">
        <f aca="false">IF(OR(AND(Jalons!$D$7&gt;=AU$5,Jalons!$D$7&lt;AU$5+7),AND(Jalons!$D$8&gt;=AU$5,Jalons!$D$8&lt;AU$5+7),AND(Jalons!$D$9&gt;=AU$5,Jalons!$D$9&lt;AU$5+7),AND(Jalons!$D$10&gt;=AU$5,Jalons!$D$10&lt;AU$5+7)),"◆","")</f>
        <v/>
      </c>
      <c r="AV61" s="45" t="str">
        <f aca="false">IF(OR(AND(Jalons!$D$7&gt;=AV$5,Jalons!$D$7&lt;AV$5+7),AND(Jalons!$D$8&gt;=AV$5,Jalons!$D$8&lt;AV$5+7),AND(Jalons!$D$9&gt;=AV$5,Jalons!$D$9&lt;AV$5+7),AND(Jalons!$D$10&gt;=AV$5,Jalons!$D$10&lt;AV$5+7)),"◆","")</f>
        <v/>
      </c>
      <c r="AW61" s="45" t="str">
        <f aca="false">IF(OR(AND(Jalons!$D$7&gt;=AW$5,Jalons!$D$7&lt;AW$5+7),AND(Jalons!$D$8&gt;=AW$5,Jalons!$D$8&lt;AW$5+7),AND(Jalons!$D$9&gt;=AW$5,Jalons!$D$9&lt;AW$5+7),AND(Jalons!$D$10&gt;=AW$5,Jalons!$D$10&lt;AW$5+7)),"◆","")</f>
        <v/>
      </c>
      <c r="AX61" s="45" t="str">
        <f aca="false">IF(OR(AND(Jalons!$D$7&gt;=AX$5,Jalons!$D$7&lt;AX$5+7),AND(Jalons!$D$8&gt;=AX$5,Jalons!$D$8&lt;AX$5+7),AND(Jalons!$D$9&gt;=AX$5,Jalons!$D$9&lt;AX$5+7),AND(Jalons!$D$10&gt;=AX$5,Jalons!$D$10&lt;AX$5+7)),"◆","")</f>
        <v/>
      </c>
      <c r="AY61" s="45" t="str">
        <f aca="false">IF(OR(AND(Jalons!$D$7&gt;=AY$5,Jalons!$D$7&lt;AY$5+7),AND(Jalons!$D$8&gt;=AY$5,Jalons!$D$8&lt;AY$5+7),AND(Jalons!$D$9&gt;=AY$5,Jalons!$D$9&lt;AY$5+7),AND(Jalons!$D$10&gt;=AY$5,Jalons!$D$10&lt;AY$5+7)),"◆","")</f>
        <v>◆</v>
      </c>
      <c r="AZ61" s="45" t="str">
        <f aca="false">IF(OR(AND(Jalons!$D$7&gt;=AZ$5,Jalons!$D$7&lt;AZ$5+7),AND(Jalons!$D$8&gt;=AZ$5,Jalons!$D$8&lt;AZ$5+7),AND(Jalons!$D$9&gt;=AZ$5,Jalons!$D$9&lt;AZ$5+7),AND(Jalons!$D$10&gt;=AZ$5,Jalons!$D$10&lt;AZ$5+7)),"◆","")</f>
        <v/>
      </c>
      <c r="BA61" s="45" t="str">
        <f aca="false">IF(OR(AND(Jalons!$D$7&gt;=BA$5,Jalons!$D$7&lt;BA$5+7),AND(Jalons!$D$8&gt;=BA$5,Jalons!$D$8&lt;BA$5+7),AND(Jalons!$D$9&gt;=BA$5,Jalons!$D$9&lt;BA$5+7),AND(Jalons!$D$10&gt;=BA$5,Jalons!$D$10&lt;BA$5+7)),"◆","")</f>
        <v/>
      </c>
      <c r="BB61" s="45" t="str">
        <f aca="false">IF(OR(AND(Jalons!$D$7&gt;=BB$5,Jalons!$D$7&lt;BB$5+7),AND(Jalons!$D$8&gt;=BB$5,Jalons!$D$8&lt;BB$5+7),AND(Jalons!$D$9&gt;=BB$5,Jalons!$D$9&lt;BB$5+7),AND(Jalons!$D$10&gt;=BB$5,Jalons!$D$10&lt;BB$5+7)),"◆","")</f>
        <v/>
      </c>
      <c r="BC61" s="45" t="str">
        <f aca="false">IF(OR(AND(Jalons!$D$7&gt;=BC$5,Jalons!$D$7&lt;BC$5+7),AND(Jalons!$D$8&gt;=BC$5,Jalons!$D$8&lt;BC$5+7),AND(Jalons!$D$9&gt;=BC$5,Jalons!$D$9&lt;BC$5+7),AND(Jalons!$D$10&gt;=BC$5,Jalons!$D$10&lt;BC$5+7)),"◆","")</f>
        <v/>
      </c>
      <c r="BD61" s="45" t="str">
        <f aca="false">IF(OR(AND(Jalons!$D$7&gt;=BD$5,Jalons!$D$7&lt;BD$5+7),AND(Jalons!$D$8&gt;=BD$5,Jalons!$D$8&lt;BD$5+7),AND(Jalons!$D$9&gt;=BD$5,Jalons!$D$9&lt;BD$5+7),AND(Jalons!$D$10&gt;=BD$5,Jalons!$D$10&lt;BD$5+7)),"◆","")</f>
        <v/>
      </c>
      <c r="BE61" s="45" t="str">
        <f aca="false">IF(OR(AND(Jalons!$D$7&gt;=BE$5,Jalons!$D$7&lt;BE$5+7),AND(Jalons!$D$8&gt;=BE$5,Jalons!$D$8&lt;BE$5+7),AND(Jalons!$D$9&gt;=BE$5,Jalons!$D$9&lt;BE$5+7),AND(Jalons!$D$10&gt;=BE$5,Jalons!$D$10&lt;BE$5+7)),"◆","")</f>
        <v/>
      </c>
      <c r="BF61" s="45" t="str">
        <f aca="false">IF(OR(AND(Jalons!$D$7&gt;=BF$5,Jalons!$D$7&lt;BF$5+7),AND(Jalons!$D$8&gt;=BF$5,Jalons!$D$8&lt;BF$5+7),AND(Jalons!$D$9&gt;=BF$5,Jalons!$D$9&lt;BF$5+7),AND(Jalons!$D$10&gt;=BF$5,Jalons!$D$10&lt;BF$5+7)),"◆","")</f>
        <v/>
      </c>
      <c r="BG61" s="45" t="str">
        <f aca="false">IF(OR(AND(Jalons!$D$7&gt;=BG$5,Jalons!$D$7&lt;BG$5+7),AND(Jalons!$D$8&gt;=BG$5,Jalons!$D$8&lt;BG$5+7),AND(Jalons!$D$9&gt;=BG$5,Jalons!$D$9&lt;BG$5+7),AND(Jalons!$D$10&gt;=BG$5,Jalons!$D$10&lt;BG$5+7)),"◆","")</f>
        <v/>
      </c>
      <c r="BH61" s="45" t="str">
        <f aca="false">IF(OR(AND(Jalons!$D$7&gt;=BH$5,Jalons!$D$7&lt;BH$5+7),AND(Jalons!$D$8&gt;=BH$5,Jalons!$D$8&lt;BH$5+7),AND(Jalons!$D$9&gt;=BH$5,Jalons!$D$9&lt;BH$5+7),AND(Jalons!$D$10&gt;=BH$5,Jalons!$D$10&lt;BH$5+7)),"◆","")</f>
        <v/>
      </c>
      <c r="BI61" s="45" t="str">
        <f aca="false">IF(OR(AND(Jalons!$D$7&gt;=BI$5,Jalons!$D$7&lt;BI$5+7),AND(Jalons!$D$8&gt;=BI$5,Jalons!$D$8&lt;BI$5+7),AND(Jalons!$D$9&gt;=BI$5,Jalons!$D$9&lt;BI$5+7),AND(Jalons!$D$10&gt;=BI$5,Jalons!$D$10&lt;BI$5+7)),"◆","")</f>
        <v/>
      </c>
      <c r="BJ61" s="45" t="str">
        <f aca="false">IF(OR(AND(Jalons!$D$7&gt;=BJ$5,Jalons!$D$7&lt;BJ$5+7),AND(Jalons!$D$8&gt;=BJ$5,Jalons!$D$8&lt;BJ$5+7),AND(Jalons!$D$9&gt;=BJ$5,Jalons!$D$9&lt;BJ$5+7),AND(Jalons!$D$10&gt;=BJ$5,Jalons!$D$10&lt;BJ$5+7)),"◆","")</f>
        <v/>
      </c>
      <c r="BK61" s="45" t="str">
        <f aca="false">IF(OR(AND(Jalons!$D$7&gt;=BK$5,Jalons!$D$7&lt;BK$5+7),AND(Jalons!$D$8&gt;=BK$5,Jalons!$D$8&lt;BK$5+7),AND(Jalons!$D$9&gt;=BK$5,Jalons!$D$9&lt;BK$5+7),AND(Jalons!$D$10&gt;=BK$5,Jalons!$D$10&lt;BK$5+7)),"◆","")</f>
        <v/>
      </c>
      <c r="BL61" s="45" t="str">
        <f aca="false">IF(OR(AND(Jalons!$D$7&gt;=BL$5,Jalons!$D$7&lt;BL$5+7),AND(Jalons!$D$8&gt;=BL$5,Jalons!$D$8&lt;BL$5+7),AND(Jalons!$D$9&gt;=BL$5,Jalons!$D$9&lt;BL$5+7),AND(Jalons!$D$10&gt;=BL$5,Jalons!$D$10&lt;BL$5+7)),"◆","")</f>
        <v>◆</v>
      </c>
      <c r="BM61" s="45" t="str">
        <f aca="false">IF(OR(AND(Jalons!$D$7&gt;=BM$5,Jalons!$D$7&lt;BM$5+7),AND(Jalons!$D$8&gt;=BM$5,Jalons!$D$8&lt;BM$5+7),AND(Jalons!$D$9&gt;=BM$5,Jalons!$D$9&lt;BM$5+7),AND(Jalons!$D$10&gt;=BM$5,Jalons!$D$10&lt;BM$5+7)),"◆","")</f>
        <v/>
      </c>
      <c r="BN61" s="45" t="str">
        <f aca="false">IF(OR(AND(Jalons!$D$7&gt;=BN$5,Jalons!$D$7&lt;BN$5+7),AND(Jalons!$D$8&gt;=BN$5,Jalons!$D$8&lt;BN$5+7),AND(Jalons!$D$9&gt;=BN$5,Jalons!$D$9&lt;BN$5+7),AND(Jalons!$D$10&gt;=BN$5,Jalons!$D$10&lt;BN$5+7)),"◆","")</f>
        <v/>
      </c>
      <c r="BO61" s="45" t="str">
        <f aca="false">IF(OR(AND(Jalons!$D$7&gt;=BO$5,Jalons!$D$7&lt;BO$5+7),AND(Jalons!$D$8&gt;=BO$5,Jalons!$D$8&lt;BO$5+7),AND(Jalons!$D$9&gt;=BO$5,Jalons!$D$9&lt;BO$5+7),AND(Jalons!$D$10&gt;=BO$5,Jalons!$D$10&lt;BO$5+7)),"◆","")</f>
        <v/>
      </c>
      <c r="BP61" s="45" t="str">
        <f aca="false">IF(OR(AND(Jalons!$D$7&gt;=BP$5,Jalons!$D$7&lt;BP$5+7),AND(Jalons!$D$8&gt;=BP$5,Jalons!$D$8&lt;BP$5+7),AND(Jalons!$D$9&gt;=BP$5,Jalons!$D$9&lt;BP$5+7),AND(Jalons!$D$10&gt;=BP$5,Jalons!$D$10&lt;BP$5+7)),"◆","")</f>
        <v/>
      </c>
      <c r="BQ61" s="45" t="str">
        <f aca="false">IF(OR(AND(Jalons!$D$7&gt;=BQ$5,Jalons!$D$7&lt;BQ$5+7),AND(Jalons!$D$8&gt;=BQ$5,Jalons!$D$8&lt;BQ$5+7),AND(Jalons!$D$9&gt;=BQ$5,Jalons!$D$9&lt;BQ$5+7),AND(Jalons!$D$10&gt;=BQ$5,Jalons!$D$10&lt;BQ$5+7)),"◆","")</f>
        <v/>
      </c>
      <c r="BR61" s="45" t="str">
        <f aca="false">IF(OR(AND(Jalons!$D$7&gt;=BR$5,Jalons!$D$7&lt;BR$5+7),AND(Jalons!$D$8&gt;=BR$5,Jalons!$D$8&lt;BR$5+7),AND(Jalons!$D$9&gt;=BR$5,Jalons!$D$9&lt;BR$5+7),AND(Jalons!$D$10&gt;=BR$5,Jalons!$D$10&lt;BR$5+7)),"◆","")</f>
        <v>◆</v>
      </c>
      <c r="BS61" s="45" t="str">
        <f aca="false">IF(OR(AND(Jalons!$D$7&gt;=BS$5,Jalons!$D$7&lt;BS$5+7),AND(Jalons!$D$8&gt;=BS$5,Jalons!$D$8&lt;BS$5+7),AND(Jalons!$D$9&gt;=BS$5,Jalons!$D$9&lt;BS$5+7),AND(Jalons!$D$10&gt;=BS$5,Jalons!$D$10&lt;BS$5+7)),"◆","")</f>
        <v/>
      </c>
      <c r="BT61" s="45" t="str">
        <f aca="false">IF(OR(AND(Jalons!$D$7&gt;=BT$5,Jalons!$D$7&lt;BT$5+7),AND(Jalons!$D$8&gt;=BT$5,Jalons!$D$8&lt;BT$5+7),AND(Jalons!$D$9&gt;=BT$5,Jalons!$D$9&lt;BT$5+7),AND(Jalons!$D$10&gt;=BT$5,Jalons!$D$10&lt;BT$5+7)),"◆","")</f>
        <v/>
      </c>
      <c r="BU61" s="45" t="str">
        <f aca="false">IF(OR(AND(Jalons!$D$7&gt;=BU$5,Jalons!$D$7&lt;BU$5+7),AND(Jalons!$D$8&gt;=BU$5,Jalons!$D$8&lt;BU$5+7),AND(Jalons!$D$9&gt;=BU$5,Jalons!$D$9&lt;BU$5+7),AND(Jalons!$D$10&gt;=BU$5,Jalons!$D$10&lt;BU$5+7)),"◆","")</f>
        <v/>
      </c>
      <c r="BV61" s="45" t="str">
        <f aca="false">IF(OR(AND(Jalons!$D$7&gt;=BV$5,Jalons!$D$7&lt;BV$5+7),AND(Jalons!$D$8&gt;=BV$5,Jalons!$D$8&lt;BV$5+7),AND(Jalons!$D$9&gt;=BV$5,Jalons!$D$9&lt;BV$5+7),AND(Jalons!$D$10&gt;=BV$5,Jalons!$D$10&lt;BV$5+7)),"◆","")</f>
        <v/>
      </c>
      <c r="BW61" s="45" t="str">
        <f aca="false">IF(OR(AND(Jalons!$D$7&gt;=BW$5,Jalons!$D$7&lt;BW$5+7),AND(Jalons!$D$8&gt;=BW$5,Jalons!$D$8&lt;BW$5+7),AND(Jalons!$D$9&gt;=BW$5,Jalons!$D$9&lt;BW$5+7),AND(Jalons!$D$10&gt;=BW$5,Jalons!$D$10&lt;BW$5+7)),"◆","")</f>
        <v/>
      </c>
      <c r="BX61" s="45" t="str">
        <f aca="false">IF(OR(AND(Jalons!$D$7&gt;=BX$5,Jalons!$D$7&lt;BX$5+7),AND(Jalons!$D$8&gt;=BX$5,Jalons!$D$8&lt;BX$5+7),AND(Jalons!$D$9&gt;=BX$5,Jalons!$D$9&lt;BX$5+7),AND(Jalons!$D$10&gt;=BX$5,Jalons!$D$10&lt;BX$5+7)),"◆","")</f>
        <v/>
      </c>
      <c r="BY61" s="45" t="str">
        <f aca="false">IF(OR(AND(Jalons!$D$7&gt;=BY$5,Jalons!$D$7&lt;BY$5+7),AND(Jalons!$D$8&gt;=BY$5,Jalons!$D$8&lt;BY$5+7),AND(Jalons!$D$9&gt;=BY$5,Jalons!$D$9&lt;BY$5+7),AND(Jalons!$D$10&gt;=BY$5,Jalons!$D$10&lt;BY$5+7)),"◆","")</f>
        <v/>
      </c>
      <c r="BZ61" s="45" t="str">
        <f aca="false">IF(OR(AND(Jalons!$D$7&gt;=BZ$5,Jalons!$D$7&lt;BZ$5+7),AND(Jalons!$D$8&gt;=BZ$5,Jalons!$D$8&lt;BZ$5+7),AND(Jalons!$D$9&gt;=BZ$5,Jalons!$D$9&lt;BZ$5+7),AND(Jalons!$D$10&gt;=BZ$5,Jalons!$D$10&lt;BZ$5+7)),"◆","")</f>
        <v/>
      </c>
      <c r="CA61" s="45" t="str">
        <f aca="false">IF(OR(AND(Jalons!$D$7&gt;=CA$5,Jalons!$D$7&lt;CA$5+7),AND(Jalons!$D$8&gt;=CA$5,Jalons!$D$8&lt;CA$5+7),AND(Jalons!$D$9&gt;=CA$5,Jalons!$D$9&lt;CA$5+7),AND(Jalons!$D$10&gt;=CA$5,Jalons!$D$10&lt;CA$5+7)),"◆","")</f>
        <v/>
      </c>
      <c r="CB61" s="45" t="str">
        <f aca="false">IF(OR(AND(Jalons!$D$7&gt;=CB$5,Jalons!$D$7&lt;CB$5+7),AND(Jalons!$D$8&gt;=CB$5,Jalons!$D$8&lt;CB$5+7),AND(Jalons!$D$9&gt;=CB$5,Jalons!$D$9&lt;CB$5+7),AND(Jalons!$D$10&gt;=CB$5,Jalons!$D$10&lt;CB$5+7)),"◆","")</f>
        <v/>
      </c>
      <c r="CC61" s="45" t="str">
        <f aca="false">IF(OR(AND(Jalons!$D$7&gt;=CC$5,Jalons!$D$7&lt;CC$5+7),AND(Jalons!$D$8&gt;=CC$5,Jalons!$D$8&lt;CC$5+7),AND(Jalons!$D$9&gt;=CC$5,Jalons!$D$9&lt;CC$5+7),AND(Jalons!$D$10&gt;=CC$5,Jalons!$D$10&lt;CC$5+7)),"◆","")</f>
        <v/>
      </c>
      <c r="CD61" s="45" t="str">
        <f aca="false">IF(OR(AND(Jalons!$D$7&gt;=CD$5,Jalons!$D$7&lt;CD$5+7),AND(Jalons!$D$8&gt;=CD$5,Jalons!$D$8&lt;CD$5+7),AND(Jalons!$D$9&gt;=CD$5,Jalons!$D$9&lt;CD$5+7),AND(Jalons!$D$10&gt;=CD$5,Jalons!$D$10&lt;CD$5+7)),"◆","")</f>
        <v/>
      </c>
      <c r="CE61" s="45" t="str">
        <f aca="false">IF(OR(AND(Jalons!$D$7&gt;=CE$5,Jalons!$D$7&lt;CE$5+7),AND(Jalons!$D$8&gt;=CE$5,Jalons!$D$8&lt;CE$5+7),AND(Jalons!$D$9&gt;=CE$5,Jalons!$D$9&lt;CE$5+7),AND(Jalons!$D$10&gt;=CE$5,Jalons!$D$10&lt;CE$5+7)),"◆","")</f>
        <v/>
      </c>
      <c r="CF61" s="45" t="str">
        <f aca="false">IF(OR(AND(Jalons!$D$7&gt;=CF$5,Jalons!$D$7&lt;CF$5+7),AND(Jalons!$D$8&gt;=CF$5,Jalons!$D$8&lt;CF$5+7),AND(Jalons!$D$9&gt;=CF$5,Jalons!$D$9&lt;CF$5+7),AND(Jalons!$D$10&gt;=CF$5,Jalons!$D$10&lt;CF$5+7)),"◆","")</f>
        <v/>
      </c>
      <c r="CG61" s="45" t="str">
        <f aca="false">IF(OR(AND(Jalons!$D$7&gt;=CG$5,Jalons!$D$7&lt;CG$5+7),AND(Jalons!$D$8&gt;=CG$5,Jalons!$D$8&lt;CG$5+7),AND(Jalons!$D$9&gt;=CG$5,Jalons!$D$9&lt;CG$5+7),AND(Jalons!$D$10&gt;=CG$5,Jalons!$D$10&lt;CG$5+7)),"◆","")</f>
        <v/>
      </c>
      <c r="CH61" s="45" t="str">
        <f aca="false">IF(OR(AND(Jalons!$D$7&gt;=CH$5,Jalons!$D$7&lt;CH$5+7),AND(Jalons!$D$8&gt;=CH$5,Jalons!$D$8&lt;CH$5+7),AND(Jalons!$D$9&gt;=CH$5,Jalons!$D$9&lt;CH$5+7),AND(Jalons!$D$10&gt;=CH$5,Jalons!$D$10&lt;CH$5+7)),"◆","")</f>
        <v/>
      </c>
      <c r="CI61" s="45" t="str">
        <f aca="false">IF(OR(AND(Jalons!$D$7&gt;=CI$5,Jalons!$D$7&lt;CI$5+7),AND(Jalons!$D$8&gt;=CI$5,Jalons!$D$8&lt;CI$5+7),AND(Jalons!$D$9&gt;=CI$5,Jalons!$D$9&lt;CI$5+7),AND(Jalons!$D$10&gt;=CI$5,Jalons!$D$10&lt;CI$5+7)),"◆","")</f>
        <v/>
      </c>
      <c r="CJ61" s="45" t="str">
        <f aca="false">IF(OR(AND(Jalons!$D$7&gt;=CJ$5,Jalons!$D$7&lt;CJ$5+7),AND(Jalons!$D$8&gt;=CJ$5,Jalons!$D$8&lt;CJ$5+7),AND(Jalons!$D$9&gt;=CJ$5,Jalons!$D$9&lt;CJ$5+7),AND(Jalons!$D$10&gt;=CJ$5,Jalons!$D$10&lt;CJ$5+7)),"◆","")</f>
        <v/>
      </c>
      <c r="CK61" s="45" t="str">
        <f aca="false">IF(OR(AND(Jalons!$D$7&gt;=CK$5,Jalons!$D$7&lt;CK$5+7),AND(Jalons!$D$8&gt;=CK$5,Jalons!$D$8&lt;CK$5+7),AND(Jalons!$D$9&gt;=CK$5,Jalons!$D$9&lt;CK$5+7),AND(Jalons!$D$10&gt;=CK$5,Jalons!$D$10&lt;CK$5+7)),"◆","")</f>
        <v/>
      </c>
      <c r="CL61" s="45" t="str">
        <f aca="false">IF(OR(AND(Jalons!$D$7&gt;=CL$5,Jalons!$D$7&lt;CL$5+7),AND(Jalons!$D$8&gt;=CL$5,Jalons!$D$8&lt;CL$5+7),AND(Jalons!$D$9&gt;=CL$5,Jalons!$D$9&lt;CL$5+7),AND(Jalons!$D$10&gt;=CL$5,Jalons!$D$10&lt;CL$5+7)),"◆","")</f>
        <v/>
      </c>
      <c r="CM61" s="45" t="str">
        <f aca="false">IF(OR(AND(Jalons!$D$7&gt;=CM$5,Jalons!$D$7&lt;CM$5+7),AND(Jalons!$D$8&gt;=CM$5,Jalons!$D$8&lt;CM$5+7),AND(Jalons!$D$9&gt;=CM$5,Jalons!$D$9&lt;CM$5+7),AND(Jalons!$D$10&gt;=CM$5,Jalons!$D$10&lt;CM$5+7)),"◆","")</f>
        <v/>
      </c>
      <c r="CN61" s="45" t="str">
        <f aca="false">IF(OR(AND(Jalons!$D$7&gt;=CN$5,Jalons!$D$7&lt;CN$5+7),AND(Jalons!$D$8&gt;=CN$5,Jalons!$D$8&lt;CN$5+7),AND(Jalons!$D$9&gt;=CN$5,Jalons!$D$9&lt;CN$5+7),AND(Jalons!$D$10&gt;=CN$5,Jalons!$D$10&lt;CN$5+7)),"◆","")</f>
        <v/>
      </c>
      <c r="CO61" s="45" t="str">
        <f aca="false">IF(OR(AND(Jalons!$D$7&gt;=CO$5,Jalons!$D$7&lt;CO$5+7),AND(Jalons!$D$8&gt;=CO$5,Jalons!$D$8&lt;CO$5+7),AND(Jalons!$D$9&gt;=CO$5,Jalons!$D$9&lt;CO$5+7),AND(Jalons!$D$10&gt;=CO$5,Jalons!$D$10&lt;CO$5+7)),"◆","")</f>
        <v/>
      </c>
      <c r="CP61" s="45" t="str">
        <f aca="false">IF(OR(AND(Jalons!$D$7&gt;=CP$5,Jalons!$D$7&lt;CP$5+7),AND(Jalons!$D$8&gt;=CP$5,Jalons!$D$8&lt;CP$5+7),AND(Jalons!$D$9&gt;=CP$5,Jalons!$D$9&lt;CP$5+7),AND(Jalons!$D$10&gt;=CP$5,Jalons!$D$10&lt;CP$5+7)),"◆","")</f>
        <v/>
      </c>
      <c r="CQ61" s="45" t="str">
        <f aca="false">IF(OR(AND(Jalons!$D$7&gt;=CQ$5,Jalons!$D$7&lt;CQ$5+7),AND(Jalons!$D$8&gt;=CQ$5,Jalons!$D$8&lt;CQ$5+7),AND(Jalons!$D$9&gt;=CQ$5,Jalons!$D$9&lt;CQ$5+7),AND(Jalons!$D$10&gt;=CQ$5,Jalons!$D$10&lt;CQ$5+7)),"◆","")</f>
        <v/>
      </c>
      <c r="CR61" s="45" t="str">
        <f aca="false">IF(OR(AND(Jalons!$D$7&gt;=CR$5,Jalons!$D$7&lt;CR$5+7),AND(Jalons!$D$8&gt;=CR$5,Jalons!$D$8&lt;CR$5+7),AND(Jalons!$D$9&gt;=CR$5,Jalons!$D$9&lt;CR$5+7),AND(Jalons!$D$10&gt;=CR$5,Jalons!$D$10&lt;CR$5+7)),"◆","")</f>
        <v/>
      </c>
      <c r="CS61" s="45" t="str">
        <f aca="false">IF(OR(AND(Jalons!$D$7&gt;=CS$5,Jalons!$D$7&lt;CS$5+7),AND(Jalons!$D$8&gt;=CS$5,Jalons!$D$8&lt;CS$5+7),AND(Jalons!$D$9&gt;=CS$5,Jalons!$D$9&lt;CS$5+7),AND(Jalons!$D$10&gt;=CS$5,Jalons!$D$10&lt;CS$5+7)),"◆","")</f>
        <v/>
      </c>
    </row>
  </sheetData>
  <conditionalFormatting sqref="H6:CS59">
    <cfRule type="expression" priority="2" aboveAverage="0" equalAverage="0" bottom="0" percent="0" rank="0" text="" dxfId="0">
      <formula>AND($D6=0,H$5+4&gt;=$E6,H$5&lt;=$F6)</formula>
    </cfRule>
    <cfRule type="expression" priority="3" aboveAverage="0" equalAverage="0" bottom="0" percent="0" rank="0" text="" dxfId="1">
      <formula>AND($D6=1,H$5+4&gt;=$E6,H$5&lt;=$F6)</formula>
    </cfRule>
    <cfRule type="expression" priority="4" aboveAverage="0" equalAverage="0" bottom="0" percent="0" rank="0" text="" dxfId="2">
      <formula>AND($D6=2,H$5+4&gt;=$E6,H$5&lt;=$F6)</formula>
    </cfRule>
    <cfRule type="expression" priority="5" aboveAverage="0" equalAverage="0" bottom="0" percent="0" rank="0" text="" dxfId="3">
      <formula>AND($D6=3,H$5+4&gt;=$E6,H$5&lt;=$F6)</formula>
    </cfRule>
    <cfRule type="expression" priority="6" aboveAverage="0" equalAverage="0" bottom="0" percent="0" rank="0" text="" dxfId="4">
      <formula>AND(TODAY()&gt;=H$5,TODAY()&lt;H$5+7)</formula>
    </cfRule>
  </conditionalFormatting>
  <conditionalFormatting sqref="H5:CS5">
    <cfRule type="expression" priority="7" aboveAverage="0" equalAverage="0" bottom="0" percent="0" rank="0" text="" dxfId="5">
      <formula>AND(TODAY()&gt;=H$5,TODAY()&lt;H$5+7)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6070"/>
    <pageSetUpPr fitToPage="false"/>
  </sheetPr>
  <dimension ref="A1:P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10"/>
    <col collapsed="false" customWidth="true" hidden="false" outlineLevel="0" max="4" min="4" style="0" width="42"/>
    <col collapsed="false" customWidth="true" hidden="false" outlineLevel="0" max="5" min="5" style="0" width="7"/>
    <col collapsed="false" customWidth="true" hidden="false" outlineLevel="0" max="6" min="6" style="0" width="9"/>
    <col collapsed="false" customWidth="true" hidden="false" outlineLevel="0" max="7" min="7" style="0" width="10"/>
    <col collapsed="false" customWidth="true" hidden="false" outlineLevel="0" max="8" min="8" style="0" width="6"/>
    <col collapsed="false" customWidth="true" hidden="false" outlineLevel="0" max="9" min="9" style="0" width="10"/>
    <col collapsed="false" customWidth="true" hidden="false" outlineLevel="0" max="10" min="10" style="0" width="13"/>
    <col collapsed="false" customWidth="true" hidden="false" outlineLevel="0" max="11" min="11" style="0" width="10"/>
    <col collapsed="false" customWidth="true" hidden="false" outlineLevel="0" max="13" min="12" style="0" width="12"/>
    <col collapsed="false" customWidth="true" hidden="false" outlineLevel="0" max="14" min="14" style="0" width="10"/>
    <col collapsed="false" customWidth="true" hidden="false" outlineLevel="0" max="15" min="15" style="0" width="12"/>
    <col collapsed="false" customWidth="true" hidden="false" outlineLevel="0" max="16" min="16" style="0" width="11"/>
  </cols>
  <sheetData>
    <row r="1" customFormat="false" ht="19.7" hidden="false" customHeight="false" outlineLevel="0" collapsed="false">
      <c r="A1" s="1" t="s">
        <v>291</v>
      </c>
    </row>
    <row r="2" customFormat="false" ht="15" hidden="false" customHeight="false" outlineLevel="0" collapsed="false">
      <c r="A2" s="2" t="s">
        <v>292</v>
      </c>
    </row>
    <row r="5" customFormat="false" ht="23.85" hidden="false" customHeight="false" outlineLevel="0" collapsed="false">
      <c r="A5" s="12" t="s">
        <v>293</v>
      </c>
      <c r="B5" s="12" t="s">
        <v>287</v>
      </c>
      <c r="C5" s="12" t="s">
        <v>288</v>
      </c>
      <c r="D5" s="12" t="s">
        <v>49</v>
      </c>
      <c r="E5" s="12" t="s">
        <v>48</v>
      </c>
      <c r="F5" s="12" t="s">
        <v>294</v>
      </c>
      <c r="G5" s="12" t="s">
        <v>35</v>
      </c>
      <c r="H5" s="12" t="s">
        <v>295</v>
      </c>
      <c r="I5" s="12" t="s">
        <v>69</v>
      </c>
      <c r="J5" s="12" t="s">
        <v>296</v>
      </c>
      <c r="K5" s="12" t="s">
        <v>297</v>
      </c>
      <c r="L5" s="12" t="s">
        <v>67</v>
      </c>
      <c r="M5" s="12" t="s">
        <v>68</v>
      </c>
      <c r="N5" s="12" t="s">
        <v>298</v>
      </c>
      <c r="O5" s="12" t="s">
        <v>299</v>
      </c>
      <c r="P5" s="12" t="s">
        <v>70</v>
      </c>
    </row>
    <row r="6" customFormat="false" ht="15" hidden="false" customHeight="false" outlineLevel="0" collapsed="false">
      <c r="A6" s="31" t="s">
        <v>300</v>
      </c>
      <c r="B6" s="31" t="s">
        <v>301</v>
      </c>
      <c r="C6" s="31" t="s">
        <v>186</v>
      </c>
      <c r="D6" s="31" t="s">
        <v>302</v>
      </c>
      <c r="E6" s="32" t="n">
        <v>0</v>
      </c>
      <c r="F6" s="31" t="n">
        <f aca="false">COUNTIFS(Backlog!$K$6:$K$1327,A6)</f>
        <v>10</v>
      </c>
      <c r="G6" s="46" t="n">
        <f aca="false">SUMIFS(Backlog!$I$6:$I$1327,Backlog!$K$6:$K$1327,A6)</f>
        <v>6.75</v>
      </c>
      <c r="H6" s="46" t="n">
        <f aca="false">IF(B6="API",Paramètres!$B$7,IF(B6="Mobile",Paramètres!$B$8,Paramètres!$B$9))</f>
        <v>3</v>
      </c>
      <c r="I6" s="31" t="n">
        <f aca="false">MAX(1,ROUNDUP(G6*(1+Paramètres!$B$6)/(H6*Paramètres!$B$5),0))</f>
        <v>4</v>
      </c>
      <c r="J6" s="33" t="n">
        <f aca="false">Paramètres!$B$4</f>
        <v>46328</v>
      </c>
      <c r="K6" s="31" t="n">
        <f aca="false">ROUNDUP(I6/5,0)</f>
        <v>1</v>
      </c>
      <c r="L6" s="33" t="n">
        <f aca="false">J6</f>
        <v>46328</v>
      </c>
      <c r="M6" s="33" t="n">
        <f aca="false">WORKDAY(L6,I6-1)</f>
        <v>46331</v>
      </c>
      <c r="N6" s="31" t="n">
        <f aca="false">COUNTIFS(Backlog!$K$6:$K$1327,A6,Backlog!$O$6:$O$1327,"Terminé")</f>
        <v>0</v>
      </c>
      <c r="O6" s="47" t="n">
        <f aca="false">IF(F6=0,0,N6/F6)</f>
        <v>0</v>
      </c>
      <c r="P6" s="31" t="str">
        <f aca="false">IF(O6=1,"Terminé",IF(OR(O6&gt;0,COUNTIFS(Backlog!$K$6:$K$1327,A6,Backlog!$O$6:$O$1327,"En cours")&gt;0),"En cours","À faire"))</f>
        <v>À faire</v>
      </c>
    </row>
    <row r="7" customFormat="false" ht="15" hidden="false" customHeight="false" outlineLevel="0" collapsed="false">
      <c r="A7" s="31" t="s">
        <v>303</v>
      </c>
      <c r="B7" s="31" t="s">
        <v>301</v>
      </c>
      <c r="C7" s="31" t="s">
        <v>304</v>
      </c>
      <c r="D7" s="31" t="s">
        <v>305</v>
      </c>
      <c r="E7" s="32" t="n">
        <v>0</v>
      </c>
      <c r="F7" s="31" t="n">
        <f aca="false">COUNTIFS(Backlog!$K$6:$K$1327,A7)</f>
        <v>2</v>
      </c>
      <c r="G7" s="46" t="n">
        <f aca="false">SUMIFS(Backlog!$I$6:$I$1327,Backlog!$K$6:$K$1327,A7)</f>
        <v>2</v>
      </c>
      <c r="H7" s="46" t="n">
        <f aca="false">IF(B7="API",Paramètres!$B$7,IF(B7="Mobile",Paramètres!$B$8,Paramètres!$B$9))</f>
        <v>3</v>
      </c>
      <c r="I7" s="31" t="n">
        <f aca="false">MAX(1,ROUNDUP(G7*(1+Paramètres!$B$6)/(H7*Paramètres!$B$5),0))</f>
        <v>1</v>
      </c>
      <c r="J7" s="33" t="n">
        <f aca="false">Paramètres!$B$4</f>
        <v>46328</v>
      </c>
      <c r="K7" s="31" t="n">
        <f aca="false">ROUNDUP(I7/5,0)</f>
        <v>1</v>
      </c>
      <c r="L7" s="33" t="n">
        <f aca="false">MAX(J7,WORKDAY(M6,1))</f>
        <v>46332</v>
      </c>
      <c r="M7" s="33" t="n">
        <f aca="false">WORKDAY(L7,I7-1)</f>
        <v>46332</v>
      </c>
      <c r="N7" s="31" t="n">
        <f aca="false">COUNTIFS(Backlog!$K$6:$K$1327,A7,Backlog!$O$6:$O$1327,"Terminé")</f>
        <v>0</v>
      </c>
      <c r="O7" s="47" t="n">
        <f aca="false">IF(F7=0,0,N7/F7)</f>
        <v>0</v>
      </c>
      <c r="P7" s="31" t="str">
        <f aca="false">IF(O7=1,"Terminé",IF(OR(O7&gt;0,COUNTIFS(Backlog!$K$6:$K$1327,A7,Backlog!$O$6:$O$1327,"En cours")&gt;0),"En cours","À faire"))</f>
        <v>À faire</v>
      </c>
    </row>
    <row r="8" customFormat="false" ht="15" hidden="false" customHeight="false" outlineLevel="0" collapsed="false">
      <c r="A8" s="31" t="s">
        <v>306</v>
      </c>
      <c r="B8" s="31" t="s">
        <v>301</v>
      </c>
      <c r="C8" s="31" t="s">
        <v>186</v>
      </c>
      <c r="D8" s="31" t="s">
        <v>302</v>
      </c>
      <c r="E8" s="36" t="n">
        <v>1</v>
      </c>
      <c r="F8" s="31" t="n">
        <f aca="false">COUNTIFS(Backlog!$K$6:$K$1327,A8)</f>
        <v>43</v>
      </c>
      <c r="G8" s="46" t="n">
        <f aca="false">SUMIFS(Backlog!$I$6:$I$1327,Backlog!$K$6:$K$1327,A8)</f>
        <v>42</v>
      </c>
      <c r="H8" s="46" t="n">
        <f aca="false">IF(B8="API",Paramètres!$B$7,IF(B8="Mobile",Paramètres!$B$8,Paramètres!$B$9))</f>
        <v>3</v>
      </c>
      <c r="I8" s="31" t="n">
        <f aca="false">MAX(1,ROUNDUP(G8*(1+Paramètres!$B$6)/(H8*Paramètres!$B$5),0))</f>
        <v>21</v>
      </c>
      <c r="J8" s="33" t="n">
        <f aca="false">Paramètres!$B$4</f>
        <v>46328</v>
      </c>
      <c r="K8" s="31" t="n">
        <f aca="false">ROUNDUP(I8/5,0)</f>
        <v>5</v>
      </c>
      <c r="L8" s="33" t="n">
        <f aca="false">MAX(J8,WORKDAY(M7,1))</f>
        <v>46335</v>
      </c>
      <c r="M8" s="33" t="n">
        <f aca="false">WORKDAY(L8,I8-1)</f>
        <v>46363</v>
      </c>
      <c r="N8" s="31" t="n">
        <f aca="false">COUNTIFS(Backlog!$K$6:$K$1327,A8,Backlog!$O$6:$O$1327,"Terminé")</f>
        <v>0</v>
      </c>
      <c r="O8" s="47" t="n">
        <f aca="false">IF(F8=0,0,N8/F8)</f>
        <v>0</v>
      </c>
      <c r="P8" s="31" t="str">
        <f aca="false">IF(O8=1,"Terminé",IF(OR(O8&gt;0,COUNTIFS(Backlog!$K$6:$K$1327,A8,Backlog!$O$6:$O$1327,"En cours")&gt;0),"En cours","À faire"))</f>
        <v>À faire</v>
      </c>
    </row>
    <row r="9" customFormat="false" ht="15" hidden="false" customHeight="false" outlineLevel="0" collapsed="false">
      <c r="A9" s="31" t="s">
        <v>307</v>
      </c>
      <c r="B9" s="31" t="s">
        <v>301</v>
      </c>
      <c r="C9" s="31" t="s">
        <v>304</v>
      </c>
      <c r="D9" s="31" t="s">
        <v>305</v>
      </c>
      <c r="E9" s="36" t="n">
        <v>1</v>
      </c>
      <c r="F9" s="31" t="n">
        <f aca="false">COUNTIFS(Backlog!$K$6:$K$1327,A9)</f>
        <v>43</v>
      </c>
      <c r="G9" s="46" t="n">
        <f aca="false">SUMIFS(Backlog!$I$6:$I$1327,Backlog!$K$6:$K$1327,A9)</f>
        <v>51</v>
      </c>
      <c r="H9" s="46" t="n">
        <f aca="false">IF(B9="API",Paramètres!$B$7,IF(B9="Mobile",Paramètres!$B$8,Paramètres!$B$9))</f>
        <v>3</v>
      </c>
      <c r="I9" s="31" t="n">
        <f aca="false">MAX(1,ROUNDUP(G9*(1+Paramètres!$B$6)/(H9*Paramètres!$B$5),0))</f>
        <v>25</v>
      </c>
      <c r="J9" s="33" t="n">
        <f aca="false">Paramètres!$B$4</f>
        <v>46328</v>
      </c>
      <c r="K9" s="31" t="n">
        <f aca="false">ROUNDUP(I9/5,0)</f>
        <v>5</v>
      </c>
      <c r="L9" s="33" t="n">
        <f aca="false">MAX(J9,WORKDAY(M8,1))</f>
        <v>46364</v>
      </c>
      <c r="M9" s="33" t="n">
        <f aca="false">WORKDAY(L9,I9-1)</f>
        <v>46398</v>
      </c>
      <c r="N9" s="31" t="n">
        <f aca="false">COUNTIFS(Backlog!$K$6:$K$1327,A9,Backlog!$O$6:$O$1327,"Terminé")</f>
        <v>0</v>
      </c>
      <c r="O9" s="47" t="n">
        <f aca="false">IF(F9=0,0,N9/F9)</f>
        <v>0</v>
      </c>
      <c r="P9" s="31" t="str">
        <f aca="false">IF(O9=1,"Terminé",IF(OR(O9&gt;0,COUNTIFS(Backlog!$K$6:$K$1327,A9,Backlog!$O$6:$O$1327,"En cours")&gt;0),"En cours","À faire"))</f>
        <v>À faire</v>
      </c>
    </row>
    <row r="10" customFormat="false" ht="15" hidden="false" customHeight="false" outlineLevel="0" collapsed="false">
      <c r="A10" s="31" t="s">
        <v>308</v>
      </c>
      <c r="B10" s="31" t="s">
        <v>301</v>
      </c>
      <c r="C10" s="31" t="s">
        <v>309</v>
      </c>
      <c r="D10" s="31" t="s">
        <v>310</v>
      </c>
      <c r="E10" s="36" t="n">
        <v>1</v>
      </c>
      <c r="F10" s="31" t="n">
        <f aca="false">COUNTIFS(Backlog!$K$6:$K$1327,A10)</f>
        <v>56</v>
      </c>
      <c r="G10" s="46" t="n">
        <f aca="false">SUMIFS(Backlog!$I$6:$I$1327,Backlog!$K$6:$K$1327,A10)</f>
        <v>61.5</v>
      </c>
      <c r="H10" s="46" t="n">
        <f aca="false">IF(B10="API",Paramètres!$B$7,IF(B10="Mobile",Paramètres!$B$8,Paramètres!$B$9))</f>
        <v>3</v>
      </c>
      <c r="I10" s="31" t="n">
        <f aca="false">MAX(1,ROUNDUP(G10*(1+Paramètres!$B$6)/(H10*Paramètres!$B$5),0))</f>
        <v>30</v>
      </c>
      <c r="J10" s="33" t="n">
        <f aca="false">Paramètres!$B$4</f>
        <v>46328</v>
      </c>
      <c r="K10" s="31" t="n">
        <f aca="false">ROUNDUP(I10/5,0)</f>
        <v>6</v>
      </c>
      <c r="L10" s="33" t="n">
        <f aca="false">MAX(J10,WORKDAY(M9,1))</f>
        <v>46399</v>
      </c>
      <c r="M10" s="33" t="n">
        <f aca="false">WORKDAY(L10,I10-1)</f>
        <v>46440</v>
      </c>
      <c r="N10" s="31" t="n">
        <f aca="false">COUNTIFS(Backlog!$K$6:$K$1327,A10,Backlog!$O$6:$O$1327,"Terminé")</f>
        <v>0</v>
      </c>
      <c r="O10" s="47" t="n">
        <f aca="false">IF(F10=0,0,N10/F10)</f>
        <v>0</v>
      </c>
      <c r="P10" s="31" t="str">
        <f aca="false">IF(O10=1,"Terminé",IF(OR(O10&gt;0,COUNTIFS(Backlog!$K$6:$K$1327,A10,Backlog!$O$6:$O$1327,"En cours")&gt;0),"En cours","À faire"))</f>
        <v>À faire</v>
      </c>
    </row>
    <row r="11" customFormat="false" ht="15" hidden="false" customHeight="false" outlineLevel="0" collapsed="false">
      <c r="A11" s="31" t="s">
        <v>311</v>
      </c>
      <c r="B11" s="31" t="s">
        <v>301</v>
      </c>
      <c r="C11" s="31" t="s">
        <v>312</v>
      </c>
      <c r="D11" s="31" t="s">
        <v>313</v>
      </c>
      <c r="E11" s="36" t="n">
        <v>1</v>
      </c>
      <c r="F11" s="31" t="n">
        <f aca="false">COUNTIFS(Backlog!$K$6:$K$1327,A11)</f>
        <v>24</v>
      </c>
      <c r="G11" s="46" t="n">
        <f aca="false">SUMIFS(Backlog!$I$6:$I$1327,Backlog!$K$6:$K$1327,A11)</f>
        <v>18</v>
      </c>
      <c r="H11" s="46" t="n">
        <f aca="false">IF(B11="API",Paramètres!$B$7,IF(B11="Mobile",Paramètres!$B$8,Paramètres!$B$9))</f>
        <v>3</v>
      </c>
      <c r="I11" s="31" t="n">
        <f aca="false">MAX(1,ROUNDUP(G11*(1+Paramètres!$B$6)/(H11*Paramètres!$B$5),0))</f>
        <v>9</v>
      </c>
      <c r="J11" s="33" t="n">
        <f aca="false">Paramètres!$B$4</f>
        <v>46328</v>
      </c>
      <c r="K11" s="31" t="n">
        <f aca="false">ROUNDUP(I11/5,0)</f>
        <v>2</v>
      </c>
      <c r="L11" s="33" t="n">
        <f aca="false">MAX(J11,WORKDAY(M10,1))</f>
        <v>46441</v>
      </c>
      <c r="M11" s="33" t="n">
        <f aca="false">WORKDAY(L11,I11-1)</f>
        <v>46451</v>
      </c>
      <c r="N11" s="31" t="n">
        <f aca="false">COUNTIFS(Backlog!$K$6:$K$1327,A11,Backlog!$O$6:$O$1327,"Terminé")</f>
        <v>0</v>
      </c>
      <c r="O11" s="47" t="n">
        <f aca="false">IF(F11=0,0,N11/F11)</f>
        <v>0</v>
      </c>
      <c r="P11" s="31" t="str">
        <f aca="false">IF(O11=1,"Terminé",IF(OR(O11&gt;0,COUNTIFS(Backlog!$K$6:$K$1327,A11,Backlog!$O$6:$O$1327,"En cours")&gt;0),"En cours","À faire"))</f>
        <v>À faire</v>
      </c>
    </row>
    <row r="12" customFormat="false" ht="15" hidden="false" customHeight="false" outlineLevel="0" collapsed="false">
      <c r="A12" s="31" t="s">
        <v>314</v>
      </c>
      <c r="B12" s="31" t="s">
        <v>301</v>
      </c>
      <c r="C12" s="31" t="s">
        <v>315</v>
      </c>
      <c r="D12" s="31" t="s">
        <v>316</v>
      </c>
      <c r="E12" s="36" t="n">
        <v>1</v>
      </c>
      <c r="F12" s="31" t="n">
        <f aca="false">COUNTIFS(Backlog!$K$6:$K$1327,A12)</f>
        <v>37</v>
      </c>
      <c r="G12" s="46" t="n">
        <f aca="false">SUMIFS(Backlog!$I$6:$I$1327,Backlog!$K$6:$K$1327,A12)</f>
        <v>48</v>
      </c>
      <c r="H12" s="46" t="n">
        <f aca="false">IF(B12="API",Paramètres!$B$7,IF(B12="Mobile",Paramètres!$B$8,Paramètres!$B$9))</f>
        <v>3</v>
      </c>
      <c r="I12" s="31" t="n">
        <f aca="false">MAX(1,ROUNDUP(G12*(1+Paramètres!$B$6)/(H12*Paramètres!$B$5),0))</f>
        <v>23</v>
      </c>
      <c r="J12" s="33" t="n">
        <f aca="false">Paramètres!$B$4</f>
        <v>46328</v>
      </c>
      <c r="K12" s="31" t="n">
        <f aca="false">ROUNDUP(I12/5,0)</f>
        <v>5</v>
      </c>
      <c r="L12" s="33" t="n">
        <f aca="false">MAX(J12,WORKDAY(M11,1))</f>
        <v>46454</v>
      </c>
      <c r="M12" s="33" t="n">
        <f aca="false">WORKDAY(L12,I12-1)</f>
        <v>46484</v>
      </c>
      <c r="N12" s="31" t="n">
        <f aca="false">COUNTIFS(Backlog!$K$6:$K$1327,A12,Backlog!$O$6:$O$1327,"Terminé")</f>
        <v>0</v>
      </c>
      <c r="O12" s="47" t="n">
        <f aca="false">IF(F12=0,0,N12/F12)</f>
        <v>0</v>
      </c>
      <c r="P12" s="31" t="str">
        <f aca="false">IF(O12=1,"Terminé",IF(OR(O12&gt;0,COUNTIFS(Backlog!$K$6:$K$1327,A12,Backlog!$O$6:$O$1327,"En cours")&gt;0),"En cours","À faire"))</f>
        <v>À faire</v>
      </c>
    </row>
    <row r="13" customFormat="false" ht="15" hidden="false" customHeight="false" outlineLevel="0" collapsed="false">
      <c r="A13" s="31" t="s">
        <v>317</v>
      </c>
      <c r="B13" s="31" t="s">
        <v>301</v>
      </c>
      <c r="C13" s="31" t="s">
        <v>318</v>
      </c>
      <c r="D13" s="31" t="s">
        <v>319</v>
      </c>
      <c r="E13" s="36" t="n">
        <v>1</v>
      </c>
      <c r="F13" s="31" t="n">
        <f aca="false">COUNTIFS(Backlog!$K$6:$K$1327,A13)</f>
        <v>31</v>
      </c>
      <c r="G13" s="46" t="n">
        <f aca="false">SUMIFS(Backlog!$I$6:$I$1327,Backlog!$K$6:$K$1327,A13)</f>
        <v>30</v>
      </c>
      <c r="H13" s="46" t="n">
        <f aca="false">IF(B13="API",Paramètres!$B$7,IF(B13="Mobile",Paramètres!$B$8,Paramètres!$B$9))</f>
        <v>3</v>
      </c>
      <c r="I13" s="31" t="n">
        <f aca="false">MAX(1,ROUNDUP(G13*(1+Paramètres!$B$6)/(H13*Paramètres!$B$5),0))</f>
        <v>15</v>
      </c>
      <c r="J13" s="33" t="n">
        <f aca="false">Paramètres!$B$4</f>
        <v>46328</v>
      </c>
      <c r="K13" s="31" t="n">
        <f aca="false">ROUNDUP(I13/5,0)</f>
        <v>3</v>
      </c>
      <c r="L13" s="33" t="n">
        <f aca="false">MAX(J13,WORKDAY(M12,1))</f>
        <v>46485</v>
      </c>
      <c r="M13" s="33" t="n">
        <f aca="false">WORKDAY(L13,I13-1)</f>
        <v>46505</v>
      </c>
      <c r="N13" s="31" t="n">
        <f aca="false">COUNTIFS(Backlog!$K$6:$K$1327,A13,Backlog!$O$6:$O$1327,"Terminé")</f>
        <v>0</v>
      </c>
      <c r="O13" s="47" t="n">
        <f aca="false">IF(F13=0,0,N13/F13)</f>
        <v>0</v>
      </c>
      <c r="P13" s="31" t="str">
        <f aca="false">IF(O13=1,"Terminé",IF(OR(O13&gt;0,COUNTIFS(Backlog!$K$6:$K$1327,A13,Backlog!$O$6:$O$1327,"En cours")&gt;0),"En cours","À faire"))</f>
        <v>À faire</v>
      </c>
    </row>
    <row r="14" customFormat="false" ht="15" hidden="false" customHeight="false" outlineLevel="0" collapsed="false">
      <c r="A14" s="31" t="s">
        <v>320</v>
      </c>
      <c r="B14" s="31" t="s">
        <v>301</v>
      </c>
      <c r="C14" s="31" t="s">
        <v>321</v>
      </c>
      <c r="D14" s="31" t="s">
        <v>131</v>
      </c>
      <c r="E14" s="36" t="n">
        <v>1</v>
      </c>
      <c r="F14" s="31" t="n">
        <f aca="false">COUNTIFS(Backlog!$K$6:$K$1327,A14)</f>
        <v>34</v>
      </c>
      <c r="G14" s="46" t="n">
        <f aca="false">SUMIFS(Backlog!$I$6:$I$1327,Backlog!$K$6:$K$1327,A14)</f>
        <v>30.5</v>
      </c>
      <c r="H14" s="46" t="n">
        <f aca="false">IF(B14="API",Paramètres!$B$7,IF(B14="Mobile",Paramètres!$B$8,Paramètres!$B$9))</f>
        <v>3</v>
      </c>
      <c r="I14" s="31" t="n">
        <f aca="false">MAX(1,ROUNDUP(G14*(1+Paramètres!$B$6)/(H14*Paramètres!$B$5),0))</f>
        <v>15</v>
      </c>
      <c r="J14" s="33" t="n">
        <f aca="false">Paramètres!$B$4</f>
        <v>46328</v>
      </c>
      <c r="K14" s="31" t="n">
        <f aca="false">ROUNDUP(I14/5,0)</f>
        <v>3</v>
      </c>
      <c r="L14" s="33" t="n">
        <f aca="false">MAX(J14,WORKDAY(M13,1))</f>
        <v>46506</v>
      </c>
      <c r="M14" s="33" t="n">
        <f aca="false">WORKDAY(L14,I14-1)</f>
        <v>46526</v>
      </c>
      <c r="N14" s="31" t="n">
        <f aca="false">COUNTIFS(Backlog!$K$6:$K$1327,A14,Backlog!$O$6:$O$1327,"Terminé")</f>
        <v>0</v>
      </c>
      <c r="O14" s="47" t="n">
        <f aca="false">IF(F14=0,0,N14/F14)</f>
        <v>0</v>
      </c>
      <c r="P14" s="31" t="str">
        <f aca="false">IF(O14=1,"Terminé",IF(OR(O14&gt;0,COUNTIFS(Backlog!$K$6:$K$1327,A14,Backlog!$O$6:$O$1327,"En cours")&gt;0),"En cours","À faire"))</f>
        <v>À faire</v>
      </c>
    </row>
    <row r="15" customFormat="false" ht="15" hidden="false" customHeight="false" outlineLevel="0" collapsed="false">
      <c r="A15" s="31" t="s">
        <v>322</v>
      </c>
      <c r="B15" s="31" t="s">
        <v>301</v>
      </c>
      <c r="C15" s="31" t="s">
        <v>323</v>
      </c>
      <c r="D15" s="31" t="s">
        <v>324</v>
      </c>
      <c r="E15" s="37" t="n">
        <v>2</v>
      </c>
      <c r="F15" s="31" t="n">
        <f aca="false">COUNTIFS(Backlog!$K$6:$K$1327,A15)</f>
        <v>33</v>
      </c>
      <c r="G15" s="46" t="n">
        <f aca="false">SUMIFS(Backlog!$I$6:$I$1327,Backlog!$K$6:$K$1327,A15)</f>
        <v>36</v>
      </c>
      <c r="H15" s="46" t="n">
        <f aca="false">IF(B15="API",Paramètres!$B$7,IF(B15="Mobile",Paramètres!$B$8,Paramètres!$B$9))</f>
        <v>3</v>
      </c>
      <c r="I15" s="31" t="n">
        <f aca="false">MAX(1,ROUNDUP(G15*(1+Paramètres!$B$6)/(H15*Paramètres!$B$5),0))</f>
        <v>18</v>
      </c>
      <c r="J15" s="33" t="n">
        <f aca="false">Paramètres!$B$4</f>
        <v>46328</v>
      </c>
      <c r="K15" s="31" t="n">
        <f aca="false">ROUNDUP(I15/5,0)</f>
        <v>4</v>
      </c>
      <c r="L15" s="33" t="n">
        <f aca="false">MAX(J15,WORKDAY(M14,1))</f>
        <v>46527</v>
      </c>
      <c r="M15" s="33" t="n">
        <f aca="false">WORKDAY(L15,I15-1)</f>
        <v>46552</v>
      </c>
      <c r="N15" s="31" t="n">
        <f aca="false">COUNTIFS(Backlog!$K$6:$K$1327,A15,Backlog!$O$6:$O$1327,"Terminé")</f>
        <v>0</v>
      </c>
      <c r="O15" s="47" t="n">
        <f aca="false">IF(F15=0,0,N15/F15)</f>
        <v>0</v>
      </c>
      <c r="P15" s="31" t="str">
        <f aca="false">IF(O15=1,"Terminé",IF(OR(O15&gt;0,COUNTIFS(Backlog!$K$6:$K$1327,A15,Backlog!$O$6:$O$1327,"En cours")&gt;0),"En cours","À faire"))</f>
        <v>À faire</v>
      </c>
    </row>
    <row r="16" customFormat="false" ht="15" hidden="false" customHeight="false" outlineLevel="0" collapsed="false">
      <c r="A16" s="31" t="s">
        <v>325</v>
      </c>
      <c r="B16" s="31" t="s">
        <v>301</v>
      </c>
      <c r="C16" s="31" t="s">
        <v>326</v>
      </c>
      <c r="D16" s="31" t="s">
        <v>327</v>
      </c>
      <c r="E16" s="37" t="n">
        <v>2</v>
      </c>
      <c r="F16" s="31" t="n">
        <f aca="false">COUNTIFS(Backlog!$K$6:$K$1327,A16)</f>
        <v>32</v>
      </c>
      <c r="G16" s="46" t="n">
        <f aca="false">SUMIFS(Backlog!$I$6:$I$1327,Backlog!$K$6:$K$1327,A16)</f>
        <v>38.5</v>
      </c>
      <c r="H16" s="46" t="n">
        <f aca="false">IF(B16="API",Paramètres!$B$7,IF(B16="Mobile",Paramètres!$B$8,Paramètres!$B$9))</f>
        <v>3</v>
      </c>
      <c r="I16" s="31" t="n">
        <f aca="false">MAX(1,ROUNDUP(G16*(1+Paramètres!$B$6)/(H16*Paramètres!$B$5),0))</f>
        <v>19</v>
      </c>
      <c r="J16" s="33" t="n">
        <f aca="false">Paramètres!$B$4</f>
        <v>46328</v>
      </c>
      <c r="K16" s="31" t="n">
        <f aca="false">ROUNDUP(I16/5,0)</f>
        <v>4</v>
      </c>
      <c r="L16" s="33" t="n">
        <f aca="false">MAX(J16,WORKDAY(M15,1))</f>
        <v>46553</v>
      </c>
      <c r="M16" s="33" t="n">
        <f aca="false">WORKDAY(L16,I16-1)</f>
        <v>46577</v>
      </c>
      <c r="N16" s="31" t="n">
        <f aca="false">COUNTIFS(Backlog!$K$6:$K$1327,A16,Backlog!$O$6:$O$1327,"Terminé")</f>
        <v>0</v>
      </c>
      <c r="O16" s="47" t="n">
        <f aca="false">IF(F16=0,0,N16/F16)</f>
        <v>0</v>
      </c>
      <c r="P16" s="31" t="str">
        <f aca="false">IF(O16=1,"Terminé",IF(OR(O16&gt;0,COUNTIFS(Backlog!$K$6:$K$1327,A16,Backlog!$O$6:$O$1327,"En cours")&gt;0),"En cours","À faire"))</f>
        <v>À faire</v>
      </c>
    </row>
    <row r="17" customFormat="false" ht="15" hidden="false" customHeight="false" outlineLevel="0" collapsed="false">
      <c r="A17" s="31" t="s">
        <v>328</v>
      </c>
      <c r="B17" s="31" t="s">
        <v>301</v>
      </c>
      <c r="C17" s="31" t="s">
        <v>329</v>
      </c>
      <c r="D17" s="31" t="s">
        <v>330</v>
      </c>
      <c r="E17" s="37" t="n">
        <v>2</v>
      </c>
      <c r="F17" s="31" t="n">
        <f aca="false">COUNTIFS(Backlog!$K$6:$K$1327,A17)</f>
        <v>26</v>
      </c>
      <c r="G17" s="46" t="n">
        <f aca="false">SUMIFS(Backlog!$I$6:$I$1327,Backlog!$K$6:$K$1327,A17)</f>
        <v>25</v>
      </c>
      <c r="H17" s="46" t="n">
        <f aca="false">IF(B17="API",Paramètres!$B$7,IF(B17="Mobile",Paramètres!$B$8,Paramètres!$B$9))</f>
        <v>3</v>
      </c>
      <c r="I17" s="31" t="n">
        <f aca="false">MAX(1,ROUNDUP(G17*(1+Paramètres!$B$6)/(H17*Paramètres!$B$5),0))</f>
        <v>12</v>
      </c>
      <c r="J17" s="33" t="n">
        <f aca="false">Paramètres!$B$4</f>
        <v>46328</v>
      </c>
      <c r="K17" s="31" t="n">
        <f aca="false">ROUNDUP(I17/5,0)</f>
        <v>3</v>
      </c>
      <c r="L17" s="33" t="n">
        <f aca="false">MAX(J17,WORKDAY(M16,1))</f>
        <v>46580</v>
      </c>
      <c r="M17" s="33" t="n">
        <f aca="false">WORKDAY(L17,I17-1)</f>
        <v>46595</v>
      </c>
      <c r="N17" s="31" t="n">
        <f aca="false">COUNTIFS(Backlog!$K$6:$K$1327,A17,Backlog!$O$6:$O$1327,"Terminé")</f>
        <v>0</v>
      </c>
      <c r="O17" s="47" t="n">
        <f aca="false">IF(F17=0,0,N17/F17)</f>
        <v>0</v>
      </c>
      <c r="P17" s="31" t="str">
        <f aca="false">IF(O17=1,"Terminé",IF(OR(O17&gt;0,COUNTIFS(Backlog!$K$6:$K$1327,A17,Backlog!$O$6:$O$1327,"En cours")&gt;0),"En cours","À faire"))</f>
        <v>À faire</v>
      </c>
    </row>
    <row r="18" customFormat="false" ht="15" hidden="false" customHeight="false" outlineLevel="0" collapsed="false">
      <c r="A18" s="31" t="s">
        <v>331</v>
      </c>
      <c r="B18" s="31" t="s">
        <v>301</v>
      </c>
      <c r="C18" s="31" t="s">
        <v>332</v>
      </c>
      <c r="D18" s="31" t="s">
        <v>333</v>
      </c>
      <c r="E18" s="37" t="n">
        <v>2</v>
      </c>
      <c r="F18" s="31" t="n">
        <f aca="false">COUNTIFS(Backlog!$K$6:$K$1327,A18)</f>
        <v>24</v>
      </c>
      <c r="G18" s="46" t="n">
        <f aca="false">SUMIFS(Backlog!$I$6:$I$1327,Backlog!$K$6:$K$1327,A18)</f>
        <v>33.5</v>
      </c>
      <c r="H18" s="46" t="n">
        <f aca="false">IF(B18="API",Paramètres!$B$7,IF(B18="Mobile",Paramètres!$B$8,Paramètres!$B$9))</f>
        <v>3</v>
      </c>
      <c r="I18" s="31" t="n">
        <f aca="false">MAX(1,ROUNDUP(G18*(1+Paramètres!$B$6)/(H18*Paramètres!$B$5),0))</f>
        <v>17</v>
      </c>
      <c r="J18" s="33" t="n">
        <f aca="false">Paramètres!$B$4</f>
        <v>46328</v>
      </c>
      <c r="K18" s="31" t="n">
        <f aca="false">ROUNDUP(I18/5,0)</f>
        <v>4</v>
      </c>
      <c r="L18" s="33" t="n">
        <f aca="false">MAX(J18,WORKDAY(M17,1))</f>
        <v>46596</v>
      </c>
      <c r="M18" s="33" t="n">
        <f aca="false">WORKDAY(L18,I18-1)</f>
        <v>46618</v>
      </c>
      <c r="N18" s="31" t="n">
        <f aca="false">COUNTIFS(Backlog!$K$6:$K$1327,A18,Backlog!$O$6:$O$1327,"Terminé")</f>
        <v>0</v>
      </c>
      <c r="O18" s="47" t="n">
        <f aca="false">IF(F18=0,0,N18/F18)</f>
        <v>0</v>
      </c>
      <c r="P18" s="31" t="str">
        <f aca="false">IF(O18=1,"Terminé",IF(OR(O18&gt;0,COUNTIFS(Backlog!$K$6:$K$1327,A18,Backlog!$O$6:$O$1327,"En cours")&gt;0),"En cours","À faire"))</f>
        <v>À faire</v>
      </c>
    </row>
    <row r="19" customFormat="false" ht="15" hidden="false" customHeight="false" outlineLevel="0" collapsed="false">
      <c r="A19" s="31" t="s">
        <v>334</v>
      </c>
      <c r="B19" s="31" t="s">
        <v>301</v>
      </c>
      <c r="C19" s="31" t="s">
        <v>335</v>
      </c>
      <c r="D19" s="31" t="s">
        <v>336</v>
      </c>
      <c r="E19" s="37" t="n">
        <v>2</v>
      </c>
      <c r="F19" s="31" t="n">
        <f aca="false">COUNTIFS(Backlog!$K$6:$K$1327,A19)</f>
        <v>33</v>
      </c>
      <c r="G19" s="46" t="n">
        <f aca="false">SUMIFS(Backlog!$I$6:$I$1327,Backlog!$K$6:$K$1327,A19)</f>
        <v>33</v>
      </c>
      <c r="H19" s="46" t="n">
        <f aca="false">IF(B19="API",Paramètres!$B$7,IF(B19="Mobile",Paramètres!$B$8,Paramètres!$B$9))</f>
        <v>3</v>
      </c>
      <c r="I19" s="31" t="n">
        <f aca="false">MAX(1,ROUNDUP(G19*(1+Paramètres!$B$6)/(H19*Paramètres!$B$5),0))</f>
        <v>16</v>
      </c>
      <c r="J19" s="33" t="n">
        <f aca="false">Paramètres!$B$4</f>
        <v>46328</v>
      </c>
      <c r="K19" s="31" t="n">
        <f aca="false">ROUNDUP(I19/5,0)</f>
        <v>4</v>
      </c>
      <c r="L19" s="33" t="n">
        <f aca="false">MAX(J19,WORKDAY(M18,1))</f>
        <v>46619</v>
      </c>
      <c r="M19" s="33" t="n">
        <f aca="false">WORKDAY(L19,I19-1)</f>
        <v>46640</v>
      </c>
      <c r="N19" s="31" t="n">
        <f aca="false">COUNTIFS(Backlog!$K$6:$K$1327,A19,Backlog!$O$6:$O$1327,"Terminé")</f>
        <v>0</v>
      </c>
      <c r="O19" s="47" t="n">
        <f aca="false">IF(F19=0,0,N19/F19)</f>
        <v>0</v>
      </c>
      <c r="P19" s="31" t="str">
        <f aca="false">IF(O19=1,"Terminé",IF(OR(O19&gt;0,COUNTIFS(Backlog!$K$6:$K$1327,A19,Backlog!$O$6:$O$1327,"En cours")&gt;0),"En cours","À faire"))</f>
        <v>À faire</v>
      </c>
    </row>
    <row r="20" customFormat="false" ht="15" hidden="false" customHeight="false" outlineLevel="0" collapsed="false">
      <c r="A20" s="31" t="s">
        <v>337</v>
      </c>
      <c r="B20" s="31" t="s">
        <v>301</v>
      </c>
      <c r="C20" s="31" t="s">
        <v>186</v>
      </c>
      <c r="D20" s="31" t="s">
        <v>302</v>
      </c>
      <c r="E20" s="37" t="n">
        <v>2</v>
      </c>
      <c r="F20" s="31" t="n">
        <f aca="false">COUNTIFS(Backlog!$K$6:$K$1327,A20)</f>
        <v>2</v>
      </c>
      <c r="G20" s="46" t="n">
        <f aca="false">SUMIFS(Backlog!$I$6:$I$1327,Backlog!$K$6:$K$1327,A20)</f>
        <v>3</v>
      </c>
      <c r="H20" s="46" t="n">
        <f aca="false">IF(B20="API",Paramètres!$B$7,IF(B20="Mobile",Paramètres!$B$8,Paramètres!$B$9))</f>
        <v>3</v>
      </c>
      <c r="I20" s="31" t="n">
        <f aca="false">MAX(1,ROUNDUP(G20*(1+Paramètres!$B$6)/(H20*Paramètres!$B$5),0))</f>
        <v>2</v>
      </c>
      <c r="J20" s="33" t="n">
        <f aca="false">Paramètres!$B$4</f>
        <v>46328</v>
      </c>
      <c r="K20" s="31" t="n">
        <f aca="false">ROUNDUP(I20/5,0)</f>
        <v>1</v>
      </c>
      <c r="L20" s="33" t="n">
        <f aca="false">MAX(J20,WORKDAY(M19,1))</f>
        <v>46643</v>
      </c>
      <c r="M20" s="33" t="n">
        <f aca="false">WORKDAY(L20,I20-1)</f>
        <v>46644</v>
      </c>
      <c r="N20" s="31" t="n">
        <f aca="false">COUNTIFS(Backlog!$K$6:$K$1327,A20,Backlog!$O$6:$O$1327,"Terminé")</f>
        <v>0</v>
      </c>
      <c r="O20" s="47" t="n">
        <f aca="false">IF(F20=0,0,N20/F20)</f>
        <v>0</v>
      </c>
      <c r="P20" s="31" t="str">
        <f aca="false">IF(O20=1,"Terminé",IF(OR(O20&gt;0,COUNTIFS(Backlog!$K$6:$K$1327,A20,Backlog!$O$6:$O$1327,"En cours")&gt;0),"En cours","À faire"))</f>
        <v>À faire</v>
      </c>
    </row>
    <row r="21" customFormat="false" ht="15" hidden="false" customHeight="false" outlineLevel="0" collapsed="false">
      <c r="A21" s="31" t="s">
        <v>338</v>
      </c>
      <c r="B21" s="31" t="s">
        <v>301</v>
      </c>
      <c r="C21" s="31" t="s">
        <v>332</v>
      </c>
      <c r="D21" s="31" t="s">
        <v>333</v>
      </c>
      <c r="E21" s="38" t="n">
        <v>3</v>
      </c>
      <c r="F21" s="31" t="n">
        <f aca="false">COUNTIFS(Backlog!$K$6:$K$1327,A21)</f>
        <v>10</v>
      </c>
      <c r="G21" s="46" t="n">
        <f aca="false">SUMIFS(Backlog!$I$6:$I$1327,Backlog!$K$6:$K$1327,A21)</f>
        <v>12</v>
      </c>
      <c r="H21" s="46" t="n">
        <f aca="false">IF(B21="API",Paramètres!$B$7,IF(B21="Mobile",Paramètres!$B$8,Paramètres!$B$9))</f>
        <v>3</v>
      </c>
      <c r="I21" s="31" t="n">
        <f aca="false">MAX(1,ROUNDUP(G21*(1+Paramètres!$B$6)/(H21*Paramètres!$B$5),0))</f>
        <v>6</v>
      </c>
      <c r="J21" s="33" t="n">
        <f aca="false">Paramètres!$B$4</f>
        <v>46328</v>
      </c>
      <c r="K21" s="31" t="n">
        <f aca="false">ROUNDUP(I21/5,0)</f>
        <v>2</v>
      </c>
      <c r="L21" s="33" t="n">
        <f aca="false">MAX(J21,WORKDAY(M20,1))</f>
        <v>46645</v>
      </c>
      <c r="M21" s="33" t="n">
        <f aca="false">WORKDAY(L21,I21-1)</f>
        <v>46652</v>
      </c>
      <c r="N21" s="31" t="n">
        <f aca="false">COUNTIFS(Backlog!$K$6:$K$1327,A21,Backlog!$O$6:$O$1327,"Terminé")</f>
        <v>0</v>
      </c>
      <c r="O21" s="47" t="n">
        <f aca="false">IF(F21=0,0,N21/F21)</f>
        <v>0</v>
      </c>
      <c r="P21" s="31" t="str">
        <f aca="false">IF(O21=1,"Terminé",IF(OR(O21&gt;0,COUNTIFS(Backlog!$K$6:$K$1327,A21,Backlog!$O$6:$O$1327,"En cours")&gt;0),"En cours","À faire"))</f>
        <v>À faire</v>
      </c>
    </row>
    <row r="22" customFormat="false" ht="15" hidden="false" customHeight="false" outlineLevel="0" collapsed="false">
      <c r="A22" s="31" t="s">
        <v>339</v>
      </c>
      <c r="B22" s="31" t="s">
        <v>301</v>
      </c>
      <c r="C22" s="31" t="s">
        <v>340</v>
      </c>
      <c r="D22" s="31" t="s">
        <v>204</v>
      </c>
      <c r="E22" s="38" t="n">
        <v>3</v>
      </c>
      <c r="F22" s="31" t="n">
        <f aca="false">COUNTIFS(Backlog!$K$6:$K$1327,A22)</f>
        <v>31</v>
      </c>
      <c r="G22" s="46" t="n">
        <f aca="false">SUMIFS(Backlog!$I$6:$I$1327,Backlog!$K$6:$K$1327,A22)</f>
        <v>22.75</v>
      </c>
      <c r="H22" s="46" t="n">
        <f aca="false">IF(B22="API",Paramètres!$B$7,IF(B22="Mobile",Paramètres!$B$8,Paramètres!$B$9))</f>
        <v>3</v>
      </c>
      <c r="I22" s="31" t="n">
        <f aca="false">MAX(1,ROUNDUP(G22*(1+Paramètres!$B$6)/(H22*Paramètres!$B$5),0))</f>
        <v>11</v>
      </c>
      <c r="J22" s="33" t="n">
        <f aca="false">Paramètres!$B$4</f>
        <v>46328</v>
      </c>
      <c r="K22" s="31" t="n">
        <f aca="false">ROUNDUP(I22/5,0)</f>
        <v>3</v>
      </c>
      <c r="L22" s="33" t="n">
        <f aca="false">MAX(J22,WORKDAY(M21,1))</f>
        <v>46653</v>
      </c>
      <c r="M22" s="33" t="n">
        <f aca="false">WORKDAY(L22,I22-1)</f>
        <v>46667</v>
      </c>
      <c r="N22" s="31" t="n">
        <f aca="false">COUNTIFS(Backlog!$K$6:$K$1327,A22,Backlog!$O$6:$O$1327,"Terminé")</f>
        <v>0</v>
      </c>
      <c r="O22" s="47" t="n">
        <f aca="false">IF(F22=0,0,N22/F22)</f>
        <v>0</v>
      </c>
      <c r="P22" s="31" t="str">
        <f aca="false">IF(O22=1,"Terminé",IF(OR(O22&gt;0,COUNTIFS(Backlog!$K$6:$K$1327,A22,Backlog!$O$6:$O$1327,"En cours")&gt;0),"En cours","À faire"))</f>
        <v>À faire</v>
      </c>
    </row>
    <row r="23" customFormat="false" ht="15" hidden="false" customHeight="false" outlineLevel="0" collapsed="false">
      <c r="A23" s="31" t="s">
        <v>341</v>
      </c>
      <c r="B23" s="31" t="s">
        <v>342</v>
      </c>
      <c r="C23" s="31" t="s">
        <v>343</v>
      </c>
      <c r="D23" s="31" t="s">
        <v>344</v>
      </c>
      <c r="E23" s="32" t="n">
        <v>0</v>
      </c>
      <c r="F23" s="31" t="n">
        <f aca="false">COUNTIFS(Backlog!$K$6:$K$1327,A23)</f>
        <v>47</v>
      </c>
      <c r="G23" s="46" t="n">
        <f aca="false">SUMIFS(Backlog!$I$6:$I$1327,Backlog!$K$6:$K$1327,A23)</f>
        <v>50.25</v>
      </c>
      <c r="H23" s="46" t="n">
        <f aca="false">IF(B23="API",Paramètres!$B$7,IF(B23="Mobile",Paramètres!$B$8,Paramètres!$B$9))</f>
        <v>3</v>
      </c>
      <c r="I23" s="31" t="n">
        <f aca="false">MAX(1,ROUNDUP(G23*(1+Paramètres!$B$6)/(H23*Paramètres!$B$5),0))</f>
        <v>25</v>
      </c>
      <c r="J23" s="33" t="n">
        <f aca="false">Paramètres!$B$4</f>
        <v>46328</v>
      </c>
      <c r="K23" s="31" t="n">
        <f aca="false">ROUNDUP(I23/5,0)</f>
        <v>5</v>
      </c>
      <c r="L23" s="33" t="n">
        <f aca="false">J23</f>
        <v>46328</v>
      </c>
      <c r="M23" s="33" t="n">
        <f aca="false">WORKDAY(L23,I23-1)</f>
        <v>46360</v>
      </c>
      <c r="N23" s="31" t="n">
        <f aca="false">COUNTIFS(Backlog!$K$6:$K$1327,A23,Backlog!$O$6:$O$1327,"Terminé")</f>
        <v>0</v>
      </c>
      <c r="O23" s="47" t="n">
        <f aca="false">IF(F23=0,0,N23/F23)</f>
        <v>0</v>
      </c>
      <c r="P23" s="31" t="str">
        <f aca="false">IF(O23=1,"Terminé",IF(OR(O23&gt;0,COUNTIFS(Backlog!$K$6:$K$1327,A23,Backlog!$O$6:$O$1327,"En cours")&gt;0),"En cours","À faire"))</f>
        <v>À faire</v>
      </c>
    </row>
    <row r="24" customFormat="false" ht="15" hidden="false" customHeight="false" outlineLevel="0" collapsed="false">
      <c r="A24" s="31" t="s">
        <v>345</v>
      </c>
      <c r="B24" s="31" t="s">
        <v>342</v>
      </c>
      <c r="C24" s="31" t="s">
        <v>346</v>
      </c>
      <c r="D24" s="31" t="s">
        <v>347</v>
      </c>
      <c r="E24" s="32" t="n">
        <v>0</v>
      </c>
      <c r="F24" s="31" t="n">
        <f aca="false">COUNTIFS(Backlog!$K$6:$K$1327,A24)</f>
        <v>16</v>
      </c>
      <c r="G24" s="46" t="n">
        <f aca="false">SUMIFS(Backlog!$I$6:$I$1327,Backlog!$K$6:$K$1327,A24)</f>
        <v>14.5</v>
      </c>
      <c r="H24" s="46" t="n">
        <f aca="false">IF(B24="API",Paramètres!$B$7,IF(B24="Mobile",Paramètres!$B$8,Paramètres!$B$9))</f>
        <v>3</v>
      </c>
      <c r="I24" s="31" t="n">
        <f aca="false">MAX(1,ROUNDUP(G24*(1+Paramètres!$B$6)/(H24*Paramètres!$B$5),0))</f>
        <v>7</v>
      </c>
      <c r="J24" s="33" t="n">
        <f aca="false">Paramètres!$B$4</f>
        <v>46328</v>
      </c>
      <c r="K24" s="31" t="n">
        <f aca="false">ROUNDUP(I24/5,0)</f>
        <v>2</v>
      </c>
      <c r="L24" s="33" t="n">
        <f aca="false">MAX(J24,WORKDAY(M23,1))</f>
        <v>46363</v>
      </c>
      <c r="M24" s="33" t="n">
        <f aca="false">WORKDAY(L24,I24-1)</f>
        <v>46371</v>
      </c>
      <c r="N24" s="31" t="n">
        <f aca="false">COUNTIFS(Backlog!$K$6:$K$1327,A24,Backlog!$O$6:$O$1327,"Terminé")</f>
        <v>0</v>
      </c>
      <c r="O24" s="47" t="n">
        <f aca="false">IF(F24=0,0,N24/F24)</f>
        <v>0</v>
      </c>
      <c r="P24" s="31" t="str">
        <f aca="false">IF(O24=1,"Terminé",IF(OR(O24&gt;0,COUNTIFS(Backlog!$K$6:$K$1327,A24,Backlog!$O$6:$O$1327,"En cours")&gt;0),"En cours","À faire"))</f>
        <v>À faire</v>
      </c>
    </row>
    <row r="25" customFormat="false" ht="15" hidden="false" customHeight="false" outlineLevel="0" collapsed="false">
      <c r="A25" s="31" t="s">
        <v>348</v>
      </c>
      <c r="B25" s="31" t="s">
        <v>342</v>
      </c>
      <c r="C25" s="31" t="s">
        <v>349</v>
      </c>
      <c r="D25" s="31" t="s">
        <v>350</v>
      </c>
      <c r="E25" s="32" t="n">
        <v>0</v>
      </c>
      <c r="F25" s="31" t="n">
        <f aca="false">COUNTIFS(Backlog!$K$6:$K$1327,A25)</f>
        <v>18</v>
      </c>
      <c r="G25" s="46" t="n">
        <f aca="false">SUMIFS(Backlog!$I$6:$I$1327,Backlog!$K$6:$K$1327,A25)</f>
        <v>21</v>
      </c>
      <c r="H25" s="46" t="n">
        <f aca="false">IF(B25="API",Paramètres!$B$7,IF(B25="Mobile",Paramètres!$B$8,Paramètres!$B$9))</f>
        <v>3</v>
      </c>
      <c r="I25" s="31" t="n">
        <f aca="false">MAX(1,ROUNDUP(G25*(1+Paramètres!$B$6)/(H25*Paramètres!$B$5),0))</f>
        <v>11</v>
      </c>
      <c r="J25" s="33" t="n">
        <f aca="false">Paramètres!$B$4</f>
        <v>46328</v>
      </c>
      <c r="K25" s="31" t="n">
        <f aca="false">ROUNDUP(I25/5,0)</f>
        <v>3</v>
      </c>
      <c r="L25" s="33" t="n">
        <f aca="false">MAX(J25,WORKDAY(M24,1))</f>
        <v>46372</v>
      </c>
      <c r="M25" s="33" t="n">
        <f aca="false">WORKDAY(L25,I25-1)</f>
        <v>46386</v>
      </c>
      <c r="N25" s="31" t="n">
        <f aca="false">COUNTIFS(Backlog!$K$6:$K$1327,A25,Backlog!$O$6:$O$1327,"Terminé")</f>
        <v>0</v>
      </c>
      <c r="O25" s="47" t="n">
        <f aca="false">IF(F25=0,0,N25/F25)</f>
        <v>0</v>
      </c>
      <c r="P25" s="31" t="str">
        <f aca="false">IF(O25=1,"Terminé",IF(OR(O25&gt;0,COUNTIFS(Backlog!$K$6:$K$1327,A25,Backlog!$O$6:$O$1327,"En cours")&gt;0),"En cours","À faire"))</f>
        <v>À faire</v>
      </c>
    </row>
    <row r="26" customFormat="false" ht="15" hidden="false" customHeight="false" outlineLevel="0" collapsed="false">
      <c r="A26" s="31" t="s">
        <v>351</v>
      </c>
      <c r="B26" s="31" t="s">
        <v>342</v>
      </c>
      <c r="C26" s="31" t="s">
        <v>352</v>
      </c>
      <c r="D26" s="31" t="s">
        <v>353</v>
      </c>
      <c r="E26" s="32" t="n">
        <v>0</v>
      </c>
      <c r="F26" s="31" t="n">
        <f aca="false">COUNTIFS(Backlog!$K$6:$K$1327,A26)</f>
        <v>17</v>
      </c>
      <c r="G26" s="46" t="n">
        <f aca="false">SUMIFS(Backlog!$I$6:$I$1327,Backlog!$K$6:$K$1327,A26)</f>
        <v>18</v>
      </c>
      <c r="H26" s="46" t="n">
        <f aca="false">IF(B26="API",Paramètres!$B$7,IF(B26="Mobile",Paramètres!$B$8,Paramètres!$B$9))</f>
        <v>3</v>
      </c>
      <c r="I26" s="31" t="n">
        <f aca="false">MAX(1,ROUNDUP(G26*(1+Paramètres!$B$6)/(H26*Paramètres!$B$5),0))</f>
        <v>9</v>
      </c>
      <c r="J26" s="33" t="n">
        <f aca="false">Paramètres!$B$4</f>
        <v>46328</v>
      </c>
      <c r="K26" s="31" t="n">
        <f aca="false">ROUNDUP(I26/5,0)</f>
        <v>2</v>
      </c>
      <c r="L26" s="33" t="n">
        <f aca="false">MAX(J26,WORKDAY(M25,1))</f>
        <v>46387</v>
      </c>
      <c r="M26" s="33" t="n">
        <f aca="false">WORKDAY(L26,I26-1)</f>
        <v>46399</v>
      </c>
      <c r="N26" s="31" t="n">
        <f aca="false">COUNTIFS(Backlog!$K$6:$K$1327,A26,Backlog!$O$6:$O$1327,"Terminé")</f>
        <v>0</v>
      </c>
      <c r="O26" s="47" t="n">
        <f aca="false">IF(F26=0,0,N26/F26)</f>
        <v>0</v>
      </c>
      <c r="P26" s="31" t="str">
        <f aca="false">IF(O26=1,"Terminé",IF(OR(O26&gt;0,COUNTIFS(Backlog!$K$6:$K$1327,A26,Backlog!$O$6:$O$1327,"En cours")&gt;0),"En cours","À faire"))</f>
        <v>À faire</v>
      </c>
    </row>
    <row r="27" customFormat="false" ht="15" hidden="false" customHeight="false" outlineLevel="0" collapsed="false">
      <c r="A27" s="31" t="s">
        <v>354</v>
      </c>
      <c r="B27" s="31" t="s">
        <v>342</v>
      </c>
      <c r="C27" s="31" t="s">
        <v>355</v>
      </c>
      <c r="D27" s="31" t="s">
        <v>356</v>
      </c>
      <c r="E27" s="32" t="n">
        <v>0</v>
      </c>
      <c r="F27" s="31" t="n">
        <f aca="false">COUNTIFS(Backlog!$K$6:$K$1327,A27)</f>
        <v>14</v>
      </c>
      <c r="G27" s="46" t="n">
        <f aca="false">SUMIFS(Backlog!$I$6:$I$1327,Backlog!$K$6:$K$1327,A27)</f>
        <v>16.5</v>
      </c>
      <c r="H27" s="46" t="n">
        <f aca="false">IF(B27="API",Paramètres!$B$7,IF(B27="Mobile",Paramètres!$B$8,Paramètres!$B$9))</f>
        <v>3</v>
      </c>
      <c r="I27" s="31" t="n">
        <f aca="false">MAX(1,ROUNDUP(G27*(1+Paramètres!$B$6)/(H27*Paramètres!$B$5),0))</f>
        <v>8</v>
      </c>
      <c r="J27" s="33" t="n">
        <f aca="false">Paramètres!$B$4</f>
        <v>46328</v>
      </c>
      <c r="K27" s="31" t="n">
        <f aca="false">ROUNDUP(I27/5,0)</f>
        <v>2</v>
      </c>
      <c r="L27" s="33" t="n">
        <f aca="false">MAX(J27,WORKDAY(M26,1))</f>
        <v>46400</v>
      </c>
      <c r="M27" s="33" t="n">
        <f aca="false">WORKDAY(L27,I27-1)</f>
        <v>46409</v>
      </c>
      <c r="N27" s="31" t="n">
        <f aca="false">COUNTIFS(Backlog!$K$6:$K$1327,A27,Backlog!$O$6:$O$1327,"Terminé")</f>
        <v>0</v>
      </c>
      <c r="O27" s="47" t="n">
        <f aca="false">IF(F27=0,0,N27/F27)</f>
        <v>0</v>
      </c>
      <c r="P27" s="31" t="str">
        <f aca="false">IF(O27=1,"Terminé",IF(OR(O27&gt;0,COUNTIFS(Backlog!$K$6:$K$1327,A27,Backlog!$O$6:$O$1327,"En cours")&gt;0),"En cours","À faire"))</f>
        <v>À faire</v>
      </c>
    </row>
    <row r="28" customFormat="false" ht="15" hidden="false" customHeight="false" outlineLevel="0" collapsed="false">
      <c r="A28" s="31" t="s">
        <v>357</v>
      </c>
      <c r="B28" s="31" t="s">
        <v>342</v>
      </c>
      <c r="C28" s="31" t="s">
        <v>358</v>
      </c>
      <c r="D28" s="31" t="s">
        <v>359</v>
      </c>
      <c r="E28" s="32" t="n">
        <v>0</v>
      </c>
      <c r="F28" s="31" t="n">
        <f aca="false">COUNTIFS(Backlog!$K$6:$K$1327,A28)</f>
        <v>18</v>
      </c>
      <c r="G28" s="46" t="n">
        <f aca="false">SUMIFS(Backlog!$I$6:$I$1327,Backlog!$K$6:$K$1327,A28)</f>
        <v>19.5</v>
      </c>
      <c r="H28" s="46" t="n">
        <f aca="false">IF(B28="API",Paramètres!$B$7,IF(B28="Mobile",Paramètres!$B$8,Paramètres!$B$9))</f>
        <v>3</v>
      </c>
      <c r="I28" s="31" t="n">
        <f aca="false">MAX(1,ROUNDUP(G28*(1+Paramètres!$B$6)/(H28*Paramètres!$B$5),0))</f>
        <v>10</v>
      </c>
      <c r="J28" s="33" t="n">
        <f aca="false">Paramètres!$B$4</f>
        <v>46328</v>
      </c>
      <c r="K28" s="31" t="n">
        <f aca="false">ROUNDUP(I28/5,0)</f>
        <v>2</v>
      </c>
      <c r="L28" s="33" t="n">
        <f aca="false">MAX(J28,WORKDAY(M27,1))</f>
        <v>46412</v>
      </c>
      <c r="M28" s="33" t="n">
        <f aca="false">WORKDAY(L28,I28-1)</f>
        <v>46423</v>
      </c>
      <c r="N28" s="31" t="n">
        <f aca="false">COUNTIFS(Backlog!$K$6:$K$1327,A28,Backlog!$O$6:$O$1327,"Terminé")</f>
        <v>0</v>
      </c>
      <c r="O28" s="47" t="n">
        <f aca="false">IF(F28=0,0,N28/F28)</f>
        <v>0</v>
      </c>
      <c r="P28" s="31" t="str">
        <f aca="false">IF(O28=1,"Terminé",IF(OR(O28&gt;0,COUNTIFS(Backlog!$K$6:$K$1327,A28,Backlog!$O$6:$O$1327,"En cours")&gt;0),"En cours","À faire"))</f>
        <v>À faire</v>
      </c>
    </row>
    <row r="29" customFormat="false" ht="15" hidden="false" customHeight="false" outlineLevel="0" collapsed="false">
      <c r="A29" s="31" t="s">
        <v>360</v>
      </c>
      <c r="B29" s="31" t="s">
        <v>342</v>
      </c>
      <c r="C29" s="31" t="s">
        <v>361</v>
      </c>
      <c r="D29" s="31" t="s">
        <v>362</v>
      </c>
      <c r="E29" s="32" t="n">
        <v>0</v>
      </c>
      <c r="F29" s="31" t="n">
        <f aca="false">COUNTIFS(Backlog!$K$6:$K$1327,A29)</f>
        <v>19</v>
      </c>
      <c r="G29" s="46" t="n">
        <f aca="false">SUMIFS(Backlog!$I$6:$I$1327,Backlog!$K$6:$K$1327,A29)</f>
        <v>16</v>
      </c>
      <c r="H29" s="46" t="n">
        <f aca="false">IF(B29="API",Paramètres!$B$7,IF(B29="Mobile",Paramètres!$B$8,Paramètres!$B$9))</f>
        <v>3</v>
      </c>
      <c r="I29" s="31" t="n">
        <f aca="false">MAX(1,ROUNDUP(G29*(1+Paramètres!$B$6)/(H29*Paramètres!$B$5),0))</f>
        <v>8</v>
      </c>
      <c r="J29" s="33" t="n">
        <f aca="false">Paramètres!$B$4</f>
        <v>46328</v>
      </c>
      <c r="K29" s="31" t="n">
        <f aca="false">ROUNDUP(I29/5,0)</f>
        <v>2</v>
      </c>
      <c r="L29" s="33" t="n">
        <f aca="false">MAX(J29,WORKDAY(M28,1))</f>
        <v>46426</v>
      </c>
      <c r="M29" s="33" t="n">
        <f aca="false">WORKDAY(L29,I29-1)</f>
        <v>46435</v>
      </c>
      <c r="N29" s="31" t="n">
        <f aca="false">COUNTIFS(Backlog!$K$6:$K$1327,A29,Backlog!$O$6:$O$1327,"Terminé")</f>
        <v>0</v>
      </c>
      <c r="O29" s="47" t="n">
        <f aca="false">IF(F29=0,0,N29/F29)</f>
        <v>0</v>
      </c>
      <c r="P29" s="31" t="str">
        <f aca="false">IF(O29=1,"Terminé",IF(OR(O29&gt;0,COUNTIFS(Backlog!$K$6:$K$1327,A29,Backlog!$O$6:$O$1327,"En cours")&gt;0),"En cours","À faire"))</f>
        <v>À faire</v>
      </c>
    </row>
    <row r="30" customFormat="false" ht="15" hidden="false" customHeight="false" outlineLevel="0" collapsed="false">
      <c r="A30" s="31" t="s">
        <v>363</v>
      </c>
      <c r="B30" s="31" t="s">
        <v>342</v>
      </c>
      <c r="C30" s="31" t="s">
        <v>364</v>
      </c>
      <c r="D30" s="31" t="s">
        <v>365</v>
      </c>
      <c r="E30" s="36" t="n">
        <v>1</v>
      </c>
      <c r="F30" s="31" t="n">
        <f aca="false">COUNTIFS(Backlog!$K$6:$K$1327,A30)</f>
        <v>29</v>
      </c>
      <c r="G30" s="46" t="n">
        <f aca="false">SUMIFS(Backlog!$I$6:$I$1327,Backlog!$K$6:$K$1327,A30)</f>
        <v>27.75</v>
      </c>
      <c r="H30" s="46" t="n">
        <f aca="false">IF(B30="API",Paramètres!$B$7,IF(B30="Mobile",Paramètres!$B$8,Paramètres!$B$9))</f>
        <v>3</v>
      </c>
      <c r="I30" s="31" t="n">
        <f aca="false">MAX(1,ROUNDUP(G30*(1+Paramètres!$B$6)/(H30*Paramètres!$B$5),0))</f>
        <v>14</v>
      </c>
      <c r="J30" s="33" t="n">
        <f aca="false">WORKDAY(_xlfn.MINIFS($L$6:$L$22,$E$6:$E$22,E30),Paramètres!$B$10)</f>
        <v>46363</v>
      </c>
      <c r="K30" s="31" t="n">
        <f aca="false">ROUNDUP(I30/5,0)</f>
        <v>3</v>
      </c>
      <c r="L30" s="33" t="n">
        <f aca="false">MAX(J30,WORKDAY(M29,1))</f>
        <v>46436</v>
      </c>
      <c r="M30" s="33" t="n">
        <f aca="false">WORKDAY(L30,I30-1)</f>
        <v>46455</v>
      </c>
      <c r="N30" s="31" t="n">
        <f aca="false">COUNTIFS(Backlog!$K$6:$K$1327,A30,Backlog!$O$6:$O$1327,"Terminé")</f>
        <v>0</v>
      </c>
      <c r="O30" s="47" t="n">
        <f aca="false">IF(F30=0,0,N30/F30)</f>
        <v>0</v>
      </c>
      <c r="P30" s="31" t="str">
        <f aca="false">IF(O30=1,"Terminé",IF(OR(O30&gt;0,COUNTIFS(Backlog!$K$6:$K$1327,A30,Backlog!$O$6:$O$1327,"En cours")&gt;0),"En cours","À faire"))</f>
        <v>À faire</v>
      </c>
    </row>
    <row r="31" customFormat="false" ht="15" hidden="false" customHeight="false" outlineLevel="0" collapsed="false">
      <c r="A31" s="31" t="s">
        <v>366</v>
      </c>
      <c r="B31" s="31" t="s">
        <v>342</v>
      </c>
      <c r="C31" s="31" t="s">
        <v>367</v>
      </c>
      <c r="D31" s="31" t="s">
        <v>368</v>
      </c>
      <c r="E31" s="36" t="n">
        <v>1</v>
      </c>
      <c r="F31" s="31" t="n">
        <f aca="false">COUNTIFS(Backlog!$K$6:$K$1327,A31)</f>
        <v>31</v>
      </c>
      <c r="G31" s="46" t="n">
        <f aca="false">SUMIFS(Backlog!$I$6:$I$1327,Backlog!$K$6:$K$1327,A31)</f>
        <v>26.5</v>
      </c>
      <c r="H31" s="46" t="n">
        <f aca="false">IF(B31="API",Paramètres!$B$7,IF(B31="Mobile",Paramètres!$B$8,Paramètres!$B$9))</f>
        <v>3</v>
      </c>
      <c r="I31" s="31" t="n">
        <f aca="false">MAX(1,ROUNDUP(G31*(1+Paramètres!$B$6)/(H31*Paramètres!$B$5),0))</f>
        <v>13</v>
      </c>
      <c r="J31" s="33" t="n">
        <f aca="false">WORKDAY(_xlfn.MINIFS($L$6:$L$22,$E$6:$E$22,E31),Paramètres!$B$10)</f>
        <v>46363</v>
      </c>
      <c r="K31" s="31" t="n">
        <f aca="false">ROUNDUP(I31/5,0)</f>
        <v>3</v>
      </c>
      <c r="L31" s="33" t="n">
        <f aca="false">MAX(J31,WORKDAY(M30,1))</f>
        <v>46456</v>
      </c>
      <c r="M31" s="33" t="n">
        <f aca="false">WORKDAY(L31,I31-1)</f>
        <v>46472</v>
      </c>
      <c r="N31" s="31" t="n">
        <f aca="false">COUNTIFS(Backlog!$K$6:$K$1327,A31,Backlog!$O$6:$O$1327,"Terminé")</f>
        <v>0</v>
      </c>
      <c r="O31" s="47" t="n">
        <f aca="false">IF(F31=0,0,N31/F31)</f>
        <v>0</v>
      </c>
      <c r="P31" s="31" t="str">
        <f aca="false">IF(O31=1,"Terminé",IF(OR(O31&gt;0,COUNTIFS(Backlog!$K$6:$K$1327,A31,Backlog!$O$6:$O$1327,"En cours")&gt;0),"En cours","À faire"))</f>
        <v>À faire</v>
      </c>
    </row>
    <row r="32" customFormat="false" ht="15" hidden="false" customHeight="false" outlineLevel="0" collapsed="false">
      <c r="A32" s="31" t="s">
        <v>369</v>
      </c>
      <c r="B32" s="31" t="s">
        <v>342</v>
      </c>
      <c r="C32" s="31" t="s">
        <v>370</v>
      </c>
      <c r="D32" s="31" t="s">
        <v>371</v>
      </c>
      <c r="E32" s="36" t="n">
        <v>1</v>
      </c>
      <c r="F32" s="31" t="n">
        <f aca="false">COUNTIFS(Backlog!$K$6:$K$1327,A32)</f>
        <v>27</v>
      </c>
      <c r="G32" s="46" t="n">
        <f aca="false">SUMIFS(Backlog!$I$6:$I$1327,Backlog!$K$6:$K$1327,A32)</f>
        <v>24.5</v>
      </c>
      <c r="H32" s="46" t="n">
        <f aca="false">IF(B32="API",Paramètres!$B$7,IF(B32="Mobile",Paramètres!$B$8,Paramètres!$B$9))</f>
        <v>3</v>
      </c>
      <c r="I32" s="31" t="n">
        <f aca="false">MAX(1,ROUNDUP(G32*(1+Paramètres!$B$6)/(H32*Paramètres!$B$5),0))</f>
        <v>12</v>
      </c>
      <c r="J32" s="33" t="n">
        <f aca="false">WORKDAY(_xlfn.MINIFS($L$6:$L$22,$E$6:$E$22,E32),Paramètres!$B$10)</f>
        <v>46363</v>
      </c>
      <c r="K32" s="31" t="n">
        <f aca="false">ROUNDUP(I32/5,0)</f>
        <v>3</v>
      </c>
      <c r="L32" s="33" t="n">
        <f aca="false">MAX(J32,WORKDAY(M31,1))</f>
        <v>46475</v>
      </c>
      <c r="M32" s="33" t="n">
        <f aca="false">WORKDAY(L32,I32-1)</f>
        <v>46490</v>
      </c>
      <c r="N32" s="31" t="n">
        <f aca="false">COUNTIFS(Backlog!$K$6:$K$1327,A32,Backlog!$O$6:$O$1327,"Terminé")</f>
        <v>0</v>
      </c>
      <c r="O32" s="47" t="n">
        <f aca="false">IF(F32=0,0,N32/F32)</f>
        <v>0</v>
      </c>
      <c r="P32" s="31" t="str">
        <f aca="false">IF(O32=1,"Terminé",IF(OR(O32&gt;0,COUNTIFS(Backlog!$K$6:$K$1327,A32,Backlog!$O$6:$O$1327,"En cours")&gt;0),"En cours","À faire"))</f>
        <v>À faire</v>
      </c>
    </row>
    <row r="33" customFormat="false" ht="15" hidden="false" customHeight="false" outlineLevel="0" collapsed="false">
      <c r="A33" s="31" t="s">
        <v>372</v>
      </c>
      <c r="B33" s="31" t="s">
        <v>342</v>
      </c>
      <c r="C33" s="31" t="s">
        <v>373</v>
      </c>
      <c r="D33" s="31" t="s">
        <v>374</v>
      </c>
      <c r="E33" s="36" t="n">
        <v>1</v>
      </c>
      <c r="F33" s="31" t="n">
        <f aca="false">COUNTIFS(Backlog!$K$6:$K$1327,A33)</f>
        <v>27</v>
      </c>
      <c r="G33" s="46" t="n">
        <f aca="false">SUMIFS(Backlog!$I$6:$I$1327,Backlog!$K$6:$K$1327,A33)</f>
        <v>27.5</v>
      </c>
      <c r="H33" s="46" t="n">
        <f aca="false">IF(B33="API",Paramètres!$B$7,IF(B33="Mobile",Paramètres!$B$8,Paramètres!$B$9))</f>
        <v>3</v>
      </c>
      <c r="I33" s="31" t="n">
        <f aca="false">MAX(1,ROUNDUP(G33*(1+Paramètres!$B$6)/(H33*Paramètres!$B$5),0))</f>
        <v>14</v>
      </c>
      <c r="J33" s="33" t="n">
        <f aca="false">WORKDAY(_xlfn.MINIFS($L$6:$L$22,$E$6:$E$22,E33),Paramètres!$B$10)</f>
        <v>46363</v>
      </c>
      <c r="K33" s="31" t="n">
        <f aca="false">ROUNDUP(I33/5,0)</f>
        <v>3</v>
      </c>
      <c r="L33" s="33" t="n">
        <f aca="false">MAX(J33,WORKDAY(M32,1))</f>
        <v>46491</v>
      </c>
      <c r="M33" s="33" t="n">
        <f aca="false">WORKDAY(L33,I33-1)</f>
        <v>46510</v>
      </c>
      <c r="N33" s="31" t="n">
        <f aca="false">COUNTIFS(Backlog!$K$6:$K$1327,A33,Backlog!$O$6:$O$1327,"Terminé")</f>
        <v>0</v>
      </c>
      <c r="O33" s="47" t="n">
        <f aca="false">IF(F33=0,0,N33/F33)</f>
        <v>0</v>
      </c>
      <c r="P33" s="31" t="str">
        <f aca="false">IF(O33=1,"Terminé",IF(OR(O33&gt;0,COUNTIFS(Backlog!$K$6:$K$1327,A33,Backlog!$O$6:$O$1327,"En cours")&gt;0),"En cours","À faire"))</f>
        <v>À faire</v>
      </c>
    </row>
    <row r="34" customFormat="false" ht="15" hidden="false" customHeight="false" outlineLevel="0" collapsed="false">
      <c r="A34" s="31" t="s">
        <v>375</v>
      </c>
      <c r="B34" s="31" t="s">
        <v>342</v>
      </c>
      <c r="C34" s="31" t="s">
        <v>376</v>
      </c>
      <c r="D34" s="31" t="s">
        <v>313</v>
      </c>
      <c r="E34" s="36" t="n">
        <v>1</v>
      </c>
      <c r="F34" s="31" t="n">
        <f aca="false">COUNTIFS(Backlog!$K$6:$K$1327,A34)</f>
        <v>29</v>
      </c>
      <c r="G34" s="46" t="n">
        <f aca="false">SUMIFS(Backlog!$I$6:$I$1327,Backlog!$K$6:$K$1327,A34)</f>
        <v>34</v>
      </c>
      <c r="H34" s="46" t="n">
        <f aca="false">IF(B34="API",Paramètres!$B$7,IF(B34="Mobile",Paramètres!$B$8,Paramètres!$B$9))</f>
        <v>3</v>
      </c>
      <c r="I34" s="31" t="n">
        <f aca="false">MAX(1,ROUNDUP(G34*(1+Paramètres!$B$6)/(H34*Paramètres!$B$5),0))</f>
        <v>17</v>
      </c>
      <c r="J34" s="33" t="n">
        <f aca="false">WORKDAY(_xlfn.MINIFS($L$6:$L$22,$E$6:$E$22,E34),Paramètres!$B$10)</f>
        <v>46363</v>
      </c>
      <c r="K34" s="31" t="n">
        <f aca="false">ROUNDUP(I34/5,0)</f>
        <v>4</v>
      </c>
      <c r="L34" s="33" t="n">
        <f aca="false">MAX(J34,WORKDAY(M33,1))</f>
        <v>46511</v>
      </c>
      <c r="M34" s="33" t="n">
        <f aca="false">WORKDAY(L34,I34-1)</f>
        <v>46533</v>
      </c>
      <c r="N34" s="31" t="n">
        <f aca="false">COUNTIFS(Backlog!$K$6:$K$1327,A34,Backlog!$O$6:$O$1327,"Terminé")</f>
        <v>0</v>
      </c>
      <c r="O34" s="47" t="n">
        <f aca="false">IF(F34=0,0,N34/F34)</f>
        <v>0</v>
      </c>
      <c r="P34" s="31" t="str">
        <f aca="false">IF(O34=1,"Terminé",IF(OR(O34&gt;0,COUNTIFS(Backlog!$K$6:$K$1327,A34,Backlog!$O$6:$O$1327,"En cours")&gt;0),"En cours","À faire"))</f>
        <v>À faire</v>
      </c>
    </row>
    <row r="35" customFormat="false" ht="15" hidden="false" customHeight="false" outlineLevel="0" collapsed="false">
      <c r="A35" s="31" t="s">
        <v>377</v>
      </c>
      <c r="B35" s="31" t="s">
        <v>342</v>
      </c>
      <c r="C35" s="31" t="s">
        <v>378</v>
      </c>
      <c r="D35" s="31" t="s">
        <v>379</v>
      </c>
      <c r="E35" s="36" t="n">
        <v>1</v>
      </c>
      <c r="F35" s="31" t="n">
        <f aca="false">COUNTIFS(Backlog!$K$6:$K$1327,A35)</f>
        <v>30</v>
      </c>
      <c r="G35" s="46" t="n">
        <f aca="false">SUMIFS(Backlog!$I$6:$I$1327,Backlog!$K$6:$K$1327,A35)</f>
        <v>25.75</v>
      </c>
      <c r="H35" s="46" t="n">
        <f aca="false">IF(B35="API",Paramètres!$B$7,IF(B35="Mobile",Paramètres!$B$8,Paramètres!$B$9))</f>
        <v>3</v>
      </c>
      <c r="I35" s="31" t="n">
        <f aca="false">MAX(1,ROUNDUP(G35*(1+Paramètres!$B$6)/(H35*Paramètres!$B$5),0))</f>
        <v>13</v>
      </c>
      <c r="J35" s="33" t="n">
        <f aca="false">WORKDAY(_xlfn.MINIFS($L$6:$L$22,$E$6:$E$22,E35),Paramètres!$B$10)</f>
        <v>46363</v>
      </c>
      <c r="K35" s="31" t="n">
        <f aca="false">ROUNDUP(I35/5,0)</f>
        <v>3</v>
      </c>
      <c r="L35" s="33" t="n">
        <f aca="false">MAX(J35,WORKDAY(M34,1))</f>
        <v>46534</v>
      </c>
      <c r="M35" s="33" t="n">
        <f aca="false">WORKDAY(L35,I35-1)</f>
        <v>46552</v>
      </c>
      <c r="N35" s="31" t="n">
        <f aca="false">COUNTIFS(Backlog!$K$6:$K$1327,A35,Backlog!$O$6:$O$1327,"Terminé")</f>
        <v>0</v>
      </c>
      <c r="O35" s="47" t="n">
        <f aca="false">IF(F35=0,0,N35/F35)</f>
        <v>0</v>
      </c>
      <c r="P35" s="31" t="str">
        <f aca="false">IF(O35=1,"Terminé",IF(OR(O35&gt;0,COUNTIFS(Backlog!$K$6:$K$1327,A35,Backlog!$O$6:$O$1327,"En cours")&gt;0),"En cours","À faire"))</f>
        <v>À faire</v>
      </c>
    </row>
    <row r="36" customFormat="false" ht="15" hidden="false" customHeight="false" outlineLevel="0" collapsed="false">
      <c r="A36" s="31" t="s">
        <v>380</v>
      </c>
      <c r="B36" s="31" t="s">
        <v>342</v>
      </c>
      <c r="C36" s="31" t="s">
        <v>381</v>
      </c>
      <c r="D36" s="31" t="s">
        <v>382</v>
      </c>
      <c r="E36" s="36" t="n">
        <v>1</v>
      </c>
      <c r="F36" s="31" t="n">
        <f aca="false">COUNTIFS(Backlog!$K$6:$K$1327,A36)</f>
        <v>34</v>
      </c>
      <c r="G36" s="46" t="n">
        <f aca="false">SUMIFS(Backlog!$I$6:$I$1327,Backlog!$K$6:$K$1327,A36)</f>
        <v>29.25</v>
      </c>
      <c r="H36" s="46" t="n">
        <f aca="false">IF(B36="API",Paramètres!$B$7,IF(B36="Mobile",Paramètres!$B$8,Paramètres!$B$9))</f>
        <v>3</v>
      </c>
      <c r="I36" s="31" t="n">
        <f aca="false">MAX(1,ROUNDUP(G36*(1+Paramètres!$B$6)/(H36*Paramètres!$B$5),0))</f>
        <v>15</v>
      </c>
      <c r="J36" s="33" t="n">
        <f aca="false">WORKDAY(_xlfn.MINIFS($L$6:$L$22,$E$6:$E$22,E36),Paramètres!$B$10)</f>
        <v>46363</v>
      </c>
      <c r="K36" s="31" t="n">
        <f aca="false">ROUNDUP(I36/5,0)</f>
        <v>3</v>
      </c>
      <c r="L36" s="33" t="n">
        <f aca="false">MAX(J36,WORKDAY(M35,1))</f>
        <v>46553</v>
      </c>
      <c r="M36" s="33" t="n">
        <f aca="false">WORKDAY(L36,I36-1)</f>
        <v>46573</v>
      </c>
      <c r="N36" s="31" t="n">
        <f aca="false">COUNTIFS(Backlog!$K$6:$K$1327,A36,Backlog!$O$6:$O$1327,"Terminé")</f>
        <v>0</v>
      </c>
      <c r="O36" s="47" t="n">
        <f aca="false">IF(F36=0,0,N36/F36)</f>
        <v>0</v>
      </c>
      <c r="P36" s="31" t="str">
        <f aca="false">IF(O36=1,"Terminé",IF(OR(O36&gt;0,COUNTIFS(Backlog!$K$6:$K$1327,A36,Backlog!$O$6:$O$1327,"En cours")&gt;0),"En cours","À faire"))</f>
        <v>À faire</v>
      </c>
    </row>
    <row r="37" customFormat="false" ht="15" hidden="false" customHeight="false" outlineLevel="0" collapsed="false">
      <c r="A37" s="31" t="s">
        <v>383</v>
      </c>
      <c r="B37" s="31" t="s">
        <v>342</v>
      </c>
      <c r="C37" s="31" t="s">
        <v>384</v>
      </c>
      <c r="D37" s="31" t="s">
        <v>131</v>
      </c>
      <c r="E37" s="36" t="n">
        <v>1</v>
      </c>
      <c r="F37" s="31" t="n">
        <f aca="false">COUNTIFS(Backlog!$K$6:$K$1327,A37)</f>
        <v>31</v>
      </c>
      <c r="G37" s="46" t="n">
        <f aca="false">SUMIFS(Backlog!$I$6:$I$1327,Backlog!$K$6:$K$1327,A37)</f>
        <v>35.5</v>
      </c>
      <c r="H37" s="46" t="n">
        <f aca="false">IF(B37="API",Paramètres!$B$7,IF(B37="Mobile",Paramètres!$B$8,Paramètres!$B$9))</f>
        <v>3</v>
      </c>
      <c r="I37" s="31" t="n">
        <f aca="false">MAX(1,ROUNDUP(G37*(1+Paramètres!$B$6)/(H37*Paramètres!$B$5),0))</f>
        <v>18</v>
      </c>
      <c r="J37" s="33" t="n">
        <f aca="false">WORKDAY(_xlfn.MINIFS($L$6:$L$22,$E$6:$E$22,E37),Paramètres!$B$10)</f>
        <v>46363</v>
      </c>
      <c r="K37" s="31" t="n">
        <f aca="false">ROUNDUP(I37/5,0)</f>
        <v>4</v>
      </c>
      <c r="L37" s="33" t="n">
        <f aca="false">MAX(J37,WORKDAY(M36,1))</f>
        <v>46574</v>
      </c>
      <c r="M37" s="33" t="n">
        <f aca="false">WORKDAY(L37,I37-1)</f>
        <v>46597</v>
      </c>
      <c r="N37" s="31" t="n">
        <f aca="false">COUNTIFS(Backlog!$K$6:$K$1327,A37,Backlog!$O$6:$O$1327,"Terminé")</f>
        <v>0</v>
      </c>
      <c r="O37" s="47" t="n">
        <f aca="false">IF(F37=0,0,N37/F37)</f>
        <v>0</v>
      </c>
      <c r="P37" s="31" t="str">
        <f aca="false">IF(O37=1,"Terminé",IF(OR(O37&gt;0,COUNTIFS(Backlog!$K$6:$K$1327,A37,Backlog!$O$6:$O$1327,"En cours")&gt;0),"En cours","À faire"))</f>
        <v>À faire</v>
      </c>
    </row>
    <row r="38" customFormat="false" ht="15" hidden="false" customHeight="false" outlineLevel="0" collapsed="false">
      <c r="A38" s="31" t="s">
        <v>385</v>
      </c>
      <c r="B38" s="31" t="s">
        <v>342</v>
      </c>
      <c r="C38" s="31" t="s">
        <v>386</v>
      </c>
      <c r="D38" s="31" t="s">
        <v>137</v>
      </c>
      <c r="E38" s="36" t="n">
        <v>1</v>
      </c>
      <c r="F38" s="31" t="n">
        <f aca="false">COUNTIFS(Backlog!$K$6:$K$1327,A38)</f>
        <v>28</v>
      </c>
      <c r="G38" s="46" t="n">
        <f aca="false">SUMIFS(Backlog!$I$6:$I$1327,Backlog!$K$6:$K$1327,A38)</f>
        <v>24.75</v>
      </c>
      <c r="H38" s="46" t="n">
        <f aca="false">IF(B38="API",Paramètres!$B$7,IF(B38="Mobile",Paramètres!$B$8,Paramètres!$B$9))</f>
        <v>3</v>
      </c>
      <c r="I38" s="31" t="n">
        <f aca="false">MAX(1,ROUNDUP(G38*(1+Paramètres!$B$6)/(H38*Paramètres!$B$5),0))</f>
        <v>12</v>
      </c>
      <c r="J38" s="33" t="n">
        <f aca="false">WORKDAY(_xlfn.MINIFS($L$6:$L$22,$E$6:$E$22,E38),Paramètres!$B$10)</f>
        <v>46363</v>
      </c>
      <c r="K38" s="31" t="n">
        <f aca="false">ROUNDUP(I38/5,0)</f>
        <v>3</v>
      </c>
      <c r="L38" s="33" t="n">
        <f aca="false">MAX(J38,WORKDAY(M37,1))</f>
        <v>46598</v>
      </c>
      <c r="M38" s="33" t="n">
        <f aca="false">WORKDAY(L38,I38-1)</f>
        <v>46615</v>
      </c>
      <c r="N38" s="31" t="n">
        <f aca="false">COUNTIFS(Backlog!$K$6:$K$1327,A38,Backlog!$O$6:$O$1327,"Terminé")</f>
        <v>0</v>
      </c>
      <c r="O38" s="47" t="n">
        <f aca="false">IF(F38=0,0,N38/F38)</f>
        <v>0</v>
      </c>
      <c r="P38" s="31" t="str">
        <f aca="false">IF(O38=1,"Terminé",IF(OR(O38&gt;0,COUNTIFS(Backlog!$K$6:$K$1327,A38,Backlog!$O$6:$O$1327,"En cours")&gt;0),"En cours","À faire"))</f>
        <v>À faire</v>
      </c>
    </row>
    <row r="39" customFormat="false" ht="15" hidden="false" customHeight="false" outlineLevel="0" collapsed="false">
      <c r="A39" s="31" t="s">
        <v>387</v>
      </c>
      <c r="B39" s="31" t="s">
        <v>342</v>
      </c>
      <c r="C39" s="31" t="s">
        <v>388</v>
      </c>
      <c r="D39" s="31" t="s">
        <v>164</v>
      </c>
      <c r="E39" s="37" t="n">
        <v>2</v>
      </c>
      <c r="F39" s="31" t="n">
        <f aca="false">COUNTIFS(Backlog!$K$6:$K$1327,A39)</f>
        <v>17</v>
      </c>
      <c r="G39" s="46" t="n">
        <f aca="false">SUMIFS(Backlog!$I$6:$I$1327,Backlog!$K$6:$K$1327,A39)</f>
        <v>18</v>
      </c>
      <c r="H39" s="46" t="n">
        <f aca="false">IF(B39="API",Paramètres!$B$7,IF(B39="Mobile",Paramètres!$B$8,Paramètres!$B$9))</f>
        <v>3</v>
      </c>
      <c r="I39" s="31" t="n">
        <f aca="false">MAX(1,ROUNDUP(G39*(1+Paramètres!$B$6)/(H39*Paramètres!$B$5),0))</f>
        <v>9</v>
      </c>
      <c r="J39" s="33" t="n">
        <f aca="false">WORKDAY(_xlfn.MINIFS($L$6:$L$22,$E$6:$E$22,E39),Paramètres!$B$10)</f>
        <v>46555</v>
      </c>
      <c r="K39" s="31" t="n">
        <f aca="false">ROUNDUP(I39/5,0)</f>
        <v>2</v>
      </c>
      <c r="L39" s="33" t="n">
        <f aca="false">MAX(J39,WORKDAY(M38,1))</f>
        <v>46616</v>
      </c>
      <c r="M39" s="33" t="n">
        <f aca="false">WORKDAY(L39,I39-1)</f>
        <v>46626</v>
      </c>
      <c r="N39" s="31" t="n">
        <f aca="false">COUNTIFS(Backlog!$K$6:$K$1327,A39,Backlog!$O$6:$O$1327,"Terminé")</f>
        <v>0</v>
      </c>
      <c r="O39" s="47" t="n">
        <f aca="false">IF(F39=0,0,N39/F39)</f>
        <v>0</v>
      </c>
      <c r="P39" s="31" t="str">
        <f aca="false">IF(O39=1,"Terminé",IF(OR(O39&gt;0,COUNTIFS(Backlog!$K$6:$K$1327,A39,Backlog!$O$6:$O$1327,"En cours")&gt;0),"En cours","À faire"))</f>
        <v>À faire</v>
      </c>
    </row>
    <row r="40" customFormat="false" ht="15" hidden="false" customHeight="false" outlineLevel="0" collapsed="false">
      <c r="A40" s="31" t="s">
        <v>389</v>
      </c>
      <c r="B40" s="31" t="s">
        <v>342</v>
      </c>
      <c r="C40" s="31" t="s">
        <v>390</v>
      </c>
      <c r="D40" s="31" t="s">
        <v>170</v>
      </c>
      <c r="E40" s="37" t="n">
        <v>2</v>
      </c>
      <c r="F40" s="31" t="n">
        <f aca="false">COUNTIFS(Backlog!$K$6:$K$1327,A40)</f>
        <v>35</v>
      </c>
      <c r="G40" s="46" t="n">
        <f aca="false">SUMIFS(Backlog!$I$6:$I$1327,Backlog!$K$6:$K$1327,A40)</f>
        <v>38</v>
      </c>
      <c r="H40" s="46" t="n">
        <f aca="false">IF(B40="API",Paramètres!$B$7,IF(B40="Mobile",Paramètres!$B$8,Paramètres!$B$9))</f>
        <v>3</v>
      </c>
      <c r="I40" s="31" t="n">
        <f aca="false">MAX(1,ROUNDUP(G40*(1+Paramètres!$B$6)/(H40*Paramètres!$B$5),0))</f>
        <v>19</v>
      </c>
      <c r="J40" s="33" t="n">
        <f aca="false">WORKDAY(_xlfn.MINIFS($L$6:$L$22,$E$6:$E$22,E40),Paramètres!$B$10)</f>
        <v>46555</v>
      </c>
      <c r="K40" s="31" t="n">
        <f aca="false">ROUNDUP(I40/5,0)</f>
        <v>4</v>
      </c>
      <c r="L40" s="33" t="n">
        <f aca="false">MAX(J40,WORKDAY(M39,1))</f>
        <v>46629</v>
      </c>
      <c r="M40" s="33" t="n">
        <f aca="false">WORKDAY(L40,I40-1)</f>
        <v>46653</v>
      </c>
      <c r="N40" s="31" t="n">
        <f aca="false">COUNTIFS(Backlog!$K$6:$K$1327,A40,Backlog!$O$6:$O$1327,"Terminé")</f>
        <v>0</v>
      </c>
      <c r="O40" s="47" t="n">
        <f aca="false">IF(F40=0,0,N40/F40)</f>
        <v>0</v>
      </c>
      <c r="P40" s="31" t="str">
        <f aca="false">IF(O40=1,"Terminé",IF(OR(O40&gt;0,COUNTIFS(Backlog!$K$6:$K$1327,A40,Backlog!$O$6:$O$1327,"En cours")&gt;0),"En cours","À faire"))</f>
        <v>À faire</v>
      </c>
    </row>
    <row r="41" customFormat="false" ht="15" hidden="false" customHeight="false" outlineLevel="0" collapsed="false">
      <c r="A41" s="31" t="s">
        <v>391</v>
      </c>
      <c r="B41" s="31" t="s">
        <v>342</v>
      </c>
      <c r="C41" s="31" t="s">
        <v>392</v>
      </c>
      <c r="D41" s="31" t="s">
        <v>393</v>
      </c>
      <c r="E41" s="37" t="n">
        <v>2</v>
      </c>
      <c r="F41" s="31" t="n">
        <f aca="false">COUNTIFS(Backlog!$K$6:$K$1327,A41)</f>
        <v>27</v>
      </c>
      <c r="G41" s="46" t="n">
        <f aca="false">SUMIFS(Backlog!$I$6:$I$1327,Backlog!$K$6:$K$1327,A41)</f>
        <v>27.5</v>
      </c>
      <c r="H41" s="46" t="n">
        <f aca="false">IF(B41="API",Paramètres!$B$7,IF(B41="Mobile",Paramètres!$B$8,Paramètres!$B$9))</f>
        <v>3</v>
      </c>
      <c r="I41" s="31" t="n">
        <f aca="false">MAX(1,ROUNDUP(G41*(1+Paramètres!$B$6)/(H41*Paramètres!$B$5),0))</f>
        <v>14</v>
      </c>
      <c r="J41" s="33" t="n">
        <f aca="false">WORKDAY(_xlfn.MINIFS($L$6:$L$22,$E$6:$E$22,E41),Paramètres!$B$10)</f>
        <v>46555</v>
      </c>
      <c r="K41" s="31" t="n">
        <f aca="false">ROUNDUP(I41/5,0)</f>
        <v>3</v>
      </c>
      <c r="L41" s="33" t="n">
        <f aca="false">MAX(J41,WORKDAY(M40,1))</f>
        <v>46654</v>
      </c>
      <c r="M41" s="33" t="n">
        <f aca="false">WORKDAY(L41,I41-1)</f>
        <v>46673</v>
      </c>
      <c r="N41" s="31" t="n">
        <f aca="false">COUNTIFS(Backlog!$K$6:$K$1327,A41,Backlog!$O$6:$O$1327,"Terminé")</f>
        <v>0</v>
      </c>
      <c r="O41" s="47" t="n">
        <f aca="false">IF(F41=0,0,N41/F41)</f>
        <v>0</v>
      </c>
      <c r="P41" s="31" t="str">
        <f aca="false">IF(O41=1,"Terminé",IF(OR(O41&gt;0,COUNTIFS(Backlog!$K$6:$K$1327,A41,Backlog!$O$6:$O$1327,"En cours")&gt;0),"En cours","À faire"))</f>
        <v>À faire</v>
      </c>
    </row>
    <row r="42" customFormat="false" ht="15" hidden="false" customHeight="false" outlineLevel="0" collapsed="false">
      <c r="A42" s="31" t="s">
        <v>394</v>
      </c>
      <c r="B42" s="31" t="s">
        <v>342</v>
      </c>
      <c r="C42" s="31" t="s">
        <v>395</v>
      </c>
      <c r="D42" s="31" t="s">
        <v>396</v>
      </c>
      <c r="E42" s="37" t="n">
        <v>2</v>
      </c>
      <c r="F42" s="31" t="n">
        <f aca="false">COUNTIFS(Backlog!$K$6:$K$1327,A42)</f>
        <v>31</v>
      </c>
      <c r="G42" s="46" t="n">
        <f aca="false">SUMIFS(Backlog!$I$6:$I$1327,Backlog!$K$6:$K$1327,A42)</f>
        <v>32</v>
      </c>
      <c r="H42" s="46" t="n">
        <f aca="false">IF(B42="API",Paramètres!$B$7,IF(B42="Mobile",Paramètres!$B$8,Paramètres!$B$9))</f>
        <v>3</v>
      </c>
      <c r="I42" s="31" t="n">
        <f aca="false">MAX(1,ROUNDUP(G42*(1+Paramètres!$B$6)/(H42*Paramètres!$B$5),0))</f>
        <v>16</v>
      </c>
      <c r="J42" s="33" t="n">
        <f aca="false">WORKDAY(_xlfn.MINIFS($L$6:$L$22,$E$6:$E$22,E42),Paramètres!$B$10)</f>
        <v>46555</v>
      </c>
      <c r="K42" s="31" t="n">
        <f aca="false">ROUNDUP(I42/5,0)</f>
        <v>4</v>
      </c>
      <c r="L42" s="33" t="n">
        <f aca="false">MAX(J42,WORKDAY(M41,1))</f>
        <v>46674</v>
      </c>
      <c r="M42" s="33" t="n">
        <f aca="false">WORKDAY(L42,I42-1)</f>
        <v>46695</v>
      </c>
      <c r="N42" s="31" t="n">
        <f aca="false">COUNTIFS(Backlog!$K$6:$K$1327,A42,Backlog!$O$6:$O$1327,"Terminé")</f>
        <v>0</v>
      </c>
      <c r="O42" s="47" t="n">
        <f aca="false">IF(F42=0,0,N42/F42)</f>
        <v>0</v>
      </c>
      <c r="P42" s="31" t="str">
        <f aca="false">IF(O42=1,"Terminé",IF(OR(O42&gt;0,COUNTIFS(Backlog!$K$6:$K$1327,A42,Backlog!$O$6:$O$1327,"En cours")&gt;0),"En cours","À faire"))</f>
        <v>À faire</v>
      </c>
    </row>
    <row r="43" customFormat="false" ht="15" hidden="false" customHeight="false" outlineLevel="0" collapsed="false">
      <c r="A43" s="31" t="s">
        <v>397</v>
      </c>
      <c r="B43" s="31" t="s">
        <v>342</v>
      </c>
      <c r="C43" s="31" t="s">
        <v>398</v>
      </c>
      <c r="D43" s="31" t="s">
        <v>177</v>
      </c>
      <c r="E43" s="37" t="n">
        <v>2</v>
      </c>
      <c r="F43" s="31" t="n">
        <f aca="false">COUNTIFS(Backlog!$K$6:$K$1327,A43)</f>
        <v>21</v>
      </c>
      <c r="G43" s="46" t="n">
        <f aca="false">SUMIFS(Backlog!$I$6:$I$1327,Backlog!$K$6:$K$1327,A43)</f>
        <v>21.5</v>
      </c>
      <c r="H43" s="46" t="n">
        <f aca="false">IF(B43="API",Paramètres!$B$7,IF(B43="Mobile",Paramètres!$B$8,Paramètres!$B$9))</f>
        <v>3</v>
      </c>
      <c r="I43" s="31" t="n">
        <f aca="false">MAX(1,ROUNDUP(G43*(1+Paramètres!$B$6)/(H43*Paramètres!$B$5),0))</f>
        <v>11</v>
      </c>
      <c r="J43" s="33" t="n">
        <f aca="false">WORKDAY(_xlfn.MINIFS($L$6:$L$22,$E$6:$E$22,E43),Paramètres!$B$10)</f>
        <v>46555</v>
      </c>
      <c r="K43" s="31" t="n">
        <f aca="false">ROUNDUP(I43/5,0)</f>
        <v>3</v>
      </c>
      <c r="L43" s="33" t="n">
        <f aca="false">MAX(J43,WORKDAY(M42,1))</f>
        <v>46696</v>
      </c>
      <c r="M43" s="33" t="n">
        <f aca="false">WORKDAY(L43,I43-1)</f>
        <v>46710</v>
      </c>
      <c r="N43" s="31" t="n">
        <f aca="false">COUNTIFS(Backlog!$K$6:$K$1327,A43,Backlog!$O$6:$O$1327,"Terminé")</f>
        <v>0</v>
      </c>
      <c r="O43" s="47" t="n">
        <f aca="false">IF(F43=0,0,N43/F43)</f>
        <v>0</v>
      </c>
      <c r="P43" s="31" t="str">
        <f aca="false">IF(O43=1,"Terminé",IF(OR(O43&gt;0,COUNTIFS(Backlog!$K$6:$K$1327,A43,Backlog!$O$6:$O$1327,"En cours")&gt;0),"En cours","À faire"))</f>
        <v>À faire</v>
      </c>
    </row>
    <row r="44" customFormat="false" ht="15" hidden="false" customHeight="false" outlineLevel="0" collapsed="false">
      <c r="A44" s="31" t="s">
        <v>399</v>
      </c>
      <c r="B44" s="31" t="s">
        <v>342</v>
      </c>
      <c r="C44" s="31" t="s">
        <v>400</v>
      </c>
      <c r="D44" s="31" t="s">
        <v>197</v>
      </c>
      <c r="E44" s="38" t="n">
        <v>3</v>
      </c>
      <c r="F44" s="31" t="n">
        <f aca="false">COUNTIFS(Backlog!$K$6:$K$1327,A44)</f>
        <v>22</v>
      </c>
      <c r="G44" s="46" t="n">
        <f aca="false">SUMIFS(Backlog!$I$6:$I$1327,Backlog!$K$6:$K$1327,A44)</f>
        <v>22</v>
      </c>
      <c r="H44" s="46" t="n">
        <f aca="false">IF(B44="API",Paramètres!$B$7,IF(B44="Mobile",Paramètres!$B$8,Paramètres!$B$9))</f>
        <v>3</v>
      </c>
      <c r="I44" s="31" t="n">
        <f aca="false">MAX(1,ROUNDUP(G44*(1+Paramètres!$B$6)/(H44*Paramètres!$B$5),0))</f>
        <v>11</v>
      </c>
      <c r="J44" s="33" t="n">
        <f aca="false">WORKDAY(_xlfn.MINIFS($L$6:$L$22,$E$6:$E$22,E44),Paramètres!$B$10)</f>
        <v>46673</v>
      </c>
      <c r="K44" s="31" t="n">
        <f aca="false">ROUNDUP(I44/5,0)</f>
        <v>3</v>
      </c>
      <c r="L44" s="33" t="n">
        <f aca="false">MAX(J44,WORKDAY(M43,1))</f>
        <v>46713</v>
      </c>
      <c r="M44" s="33" t="n">
        <f aca="false">WORKDAY(L44,I44-1)</f>
        <v>46727</v>
      </c>
      <c r="N44" s="31" t="n">
        <f aca="false">COUNTIFS(Backlog!$K$6:$K$1327,A44,Backlog!$O$6:$O$1327,"Terminé")</f>
        <v>0</v>
      </c>
      <c r="O44" s="47" t="n">
        <f aca="false">IF(F44=0,0,N44/F44)</f>
        <v>0</v>
      </c>
      <c r="P44" s="31" t="str">
        <f aca="false">IF(O44=1,"Terminé",IF(OR(O44&gt;0,COUNTIFS(Backlog!$K$6:$K$1327,A44,Backlog!$O$6:$O$1327,"En cours")&gt;0),"En cours","À faire"))</f>
        <v>À faire</v>
      </c>
    </row>
    <row r="45" customFormat="false" ht="15" hidden="false" customHeight="false" outlineLevel="0" collapsed="false">
      <c r="A45" s="31" t="s">
        <v>401</v>
      </c>
      <c r="B45" s="31" t="s">
        <v>342</v>
      </c>
      <c r="C45" s="31" t="s">
        <v>402</v>
      </c>
      <c r="D45" s="31" t="s">
        <v>204</v>
      </c>
      <c r="E45" s="38" t="n">
        <v>3</v>
      </c>
      <c r="F45" s="31" t="n">
        <f aca="false">COUNTIFS(Backlog!$K$6:$K$1327,A45)</f>
        <v>31</v>
      </c>
      <c r="G45" s="46" t="n">
        <f aca="false">SUMIFS(Backlog!$I$6:$I$1327,Backlog!$K$6:$K$1327,A45)</f>
        <v>29.5</v>
      </c>
      <c r="H45" s="46" t="n">
        <f aca="false">IF(B45="API",Paramètres!$B$7,IF(B45="Mobile",Paramètres!$B$8,Paramètres!$B$9))</f>
        <v>3</v>
      </c>
      <c r="I45" s="31" t="n">
        <f aca="false">MAX(1,ROUNDUP(G45*(1+Paramètres!$B$6)/(H45*Paramètres!$B$5),0))</f>
        <v>15</v>
      </c>
      <c r="J45" s="33" t="n">
        <f aca="false">WORKDAY(_xlfn.MINIFS($L$6:$L$22,$E$6:$E$22,E45),Paramètres!$B$10)</f>
        <v>46673</v>
      </c>
      <c r="K45" s="31" t="n">
        <f aca="false">ROUNDUP(I45/5,0)</f>
        <v>3</v>
      </c>
      <c r="L45" s="33" t="n">
        <f aca="false">MAX(J45,WORKDAY(M44,1))</f>
        <v>46728</v>
      </c>
      <c r="M45" s="33" t="n">
        <f aca="false">WORKDAY(L45,I45-1)</f>
        <v>46748</v>
      </c>
      <c r="N45" s="31" t="n">
        <f aca="false">COUNTIFS(Backlog!$K$6:$K$1327,A45,Backlog!$O$6:$O$1327,"Terminé")</f>
        <v>0</v>
      </c>
      <c r="O45" s="47" t="n">
        <f aca="false">IF(F45=0,0,N45/F45)</f>
        <v>0</v>
      </c>
      <c r="P45" s="31" t="str">
        <f aca="false">IF(O45=1,"Terminé",IF(OR(O45&gt;0,COUNTIFS(Backlog!$K$6:$K$1327,A45,Backlog!$O$6:$O$1327,"En cours")&gt;0),"En cours","À faire"))</f>
        <v>À faire</v>
      </c>
    </row>
    <row r="46" customFormat="false" ht="15" hidden="false" customHeight="false" outlineLevel="0" collapsed="false">
      <c r="A46" s="31" t="s">
        <v>403</v>
      </c>
      <c r="B46" s="31" t="s">
        <v>404</v>
      </c>
      <c r="C46" s="31" t="s">
        <v>405</v>
      </c>
      <c r="D46" s="31" t="s">
        <v>406</v>
      </c>
      <c r="E46" s="32" t="n">
        <v>0</v>
      </c>
      <c r="F46" s="31" t="n">
        <f aca="false">COUNTIFS(Backlog!$K$6:$K$1327,A46)</f>
        <v>25</v>
      </c>
      <c r="G46" s="46" t="n">
        <f aca="false">SUMIFS(Backlog!$I$6:$I$1327,Backlog!$K$6:$K$1327,A46)</f>
        <v>27.5</v>
      </c>
      <c r="H46" s="46" t="n">
        <f aca="false">IF(B46="API",Paramètres!$B$7,IF(B46="Mobile",Paramètres!$B$8,Paramètres!$B$9))</f>
        <v>2</v>
      </c>
      <c r="I46" s="31" t="n">
        <f aca="false">MAX(1,ROUNDUP(G46*(1+Paramètres!$B$6)/(H46*Paramètres!$B$5),0))</f>
        <v>20</v>
      </c>
      <c r="J46" s="33" t="n">
        <f aca="false">Paramètres!$B$4</f>
        <v>46328</v>
      </c>
      <c r="K46" s="31" t="n">
        <f aca="false">ROUNDUP(I46/5,0)</f>
        <v>4</v>
      </c>
      <c r="L46" s="33" t="n">
        <f aca="false">J46</f>
        <v>46328</v>
      </c>
      <c r="M46" s="33" t="n">
        <f aca="false">WORKDAY(L46,I46-1)</f>
        <v>46353</v>
      </c>
      <c r="N46" s="31" t="n">
        <f aca="false">COUNTIFS(Backlog!$K$6:$K$1327,A46,Backlog!$O$6:$O$1327,"Terminé")</f>
        <v>0</v>
      </c>
      <c r="O46" s="47" t="n">
        <f aca="false">IF(F46=0,0,N46/F46)</f>
        <v>0</v>
      </c>
      <c r="P46" s="31" t="str">
        <f aca="false">IF(O46=1,"Terminé",IF(OR(O46&gt;0,COUNTIFS(Backlog!$K$6:$K$1327,A46,Backlog!$O$6:$O$1327,"En cours")&gt;0),"En cours","À faire"))</f>
        <v>À faire</v>
      </c>
    </row>
    <row r="47" customFormat="false" ht="15" hidden="false" customHeight="false" outlineLevel="0" collapsed="false">
      <c r="A47" s="31" t="s">
        <v>407</v>
      </c>
      <c r="B47" s="31" t="s">
        <v>404</v>
      </c>
      <c r="C47" s="31" t="s">
        <v>408</v>
      </c>
      <c r="D47" s="31" t="s">
        <v>409</v>
      </c>
      <c r="E47" s="32" t="n">
        <v>0</v>
      </c>
      <c r="F47" s="31" t="n">
        <f aca="false">COUNTIFS(Backlog!$K$6:$K$1327,A47)</f>
        <v>37</v>
      </c>
      <c r="G47" s="46" t="n">
        <f aca="false">SUMIFS(Backlog!$I$6:$I$1327,Backlog!$K$6:$K$1327,A47)</f>
        <v>32.5</v>
      </c>
      <c r="H47" s="46" t="n">
        <f aca="false">IF(B47="API",Paramètres!$B$7,IF(B47="Mobile",Paramètres!$B$8,Paramètres!$B$9))</f>
        <v>2</v>
      </c>
      <c r="I47" s="31" t="n">
        <f aca="false">MAX(1,ROUNDUP(G47*(1+Paramètres!$B$6)/(H47*Paramètres!$B$5),0))</f>
        <v>24</v>
      </c>
      <c r="J47" s="33" t="n">
        <f aca="false">Paramètres!$B$4</f>
        <v>46328</v>
      </c>
      <c r="K47" s="31" t="n">
        <f aca="false">ROUNDUP(I47/5,0)</f>
        <v>5</v>
      </c>
      <c r="L47" s="33" t="n">
        <f aca="false">MAX(J47,WORKDAY(M46,1))</f>
        <v>46356</v>
      </c>
      <c r="M47" s="33" t="n">
        <f aca="false">WORKDAY(L47,I47-1)</f>
        <v>46387</v>
      </c>
      <c r="N47" s="31" t="n">
        <f aca="false">COUNTIFS(Backlog!$K$6:$K$1327,A47,Backlog!$O$6:$O$1327,"Terminé")</f>
        <v>0</v>
      </c>
      <c r="O47" s="47" t="n">
        <f aca="false">IF(F47=0,0,N47/F47)</f>
        <v>0</v>
      </c>
      <c r="P47" s="31" t="str">
        <f aca="false">IF(O47=1,"Terminé",IF(OR(O47&gt;0,COUNTIFS(Backlog!$K$6:$K$1327,A47,Backlog!$O$6:$O$1327,"En cours")&gt;0),"En cours","À faire"))</f>
        <v>À faire</v>
      </c>
    </row>
    <row r="48" customFormat="false" ht="15" hidden="false" customHeight="false" outlineLevel="0" collapsed="false">
      <c r="A48" s="31" t="s">
        <v>410</v>
      </c>
      <c r="B48" s="31" t="s">
        <v>404</v>
      </c>
      <c r="C48" s="31" t="s">
        <v>411</v>
      </c>
      <c r="D48" s="31" t="s">
        <v>412</v>
      </c>
      <c r="E48" s="36" t="n">
        <v>1</v>
      </c>
      <c r="F48" s="31" t="n">
        <f aca="false">COUNTIFS(Backlog!$K$6:$K$1327,A48)</f>
        <v>19</v>
      </c>
      <c r="G48" s="46" t="n">
        <f aca="false">SUMIFS(Backlog!$I$6:$I$1327,Backlog!$K$6:$K$1327,A48)</f>
        <v>18</v>
      </c>
      <c r="H48" s="46" t="n">
        <f aca="false">IF(B48="API",Paramètres!$B$7,IF(B48="Mobile",Paramètres!$B$8,Paramètres!$B$9))</f>
        <v>2</v>
      </c>
      <c r="I48" s="31" t="n">
        <f aca="false">MAX(1,ROUNDUP(G48*(1+Paramètres!$B$6)/(H48*Paramètres!$B$5),0))</f>
        <v>13</v>
      </c>
      <c r="J48" s="33" t="n">
        <f aca="false">WORKDAY(_xlfn.MINIFS($L$6:$L$22,$E$6:$E$22,E48),Paramètres!$B$10)</f>
        <v>46363</v>
      </c>
      <c r="K48" s="31" t="n">
        <f aca="false">ROUNDUP(I48/5,0)</f>
        <v>3</v>
      </c>
      <c r="L48" s="33" t="n">
        <f aca="false">MAX(J48,WORKDAY(M47,1))</f>
        <v>46388</v>
      </c>
      <c r="M48" s="33" t="n">
        <f aca="false">WORKDAY(L48,I48-1)</f>
        <v>46406</v>
      </c>
      <c r="N48" s="31" t="n">
        <f aca="false">COUNTIFS(Backlog!$K$6:$K$1327,A48,Backlog!$O$6:$O$1327,"Terminé")</f>
        <v>0</v>
      </c>
      <c r="O48" s="47" t="n">
        <f aca="false">IF(F48=0,0,N48/F48)</f>
        <v>0</v>
      </c>
      <c r="P48" s="31" t="str">
        <f aca="false">IF(O48=1,"Terminé",IF(OR(O48&gt;0,COUNTIFS(Backlog!$K$6:$K$1327,A48,Backlog!$O$6:$O$1327,"En cours")&gt;0),"En cours","À faire"))</f>
        <v>À faire</v>
      </c>
    </row>
    <row r="49" customFormat="false" ht="15" hidden="false" customHeight="false" outlineLevel="0" collapsed="false">
      <c r="A49" s="31" t="s">
        <v>413</v>
      </c>
      <c r="B49" s="31" t="s">
        <v>404</v>
      </c>
      <c r="C49" s="31" t="s">
        <v>414</v>
      </c>
      <c r="D49" s="31" t="s">
        <v>415</v>
      </c>
      <c r="E49" s="36" t="n">
        <v>1</v>
      </c>
      <c r="F49" s="31" t="n">
        <f aca="false">COUNTIFS(Backlog!$K$6:$K$1327,A49)</f>
        <v>16</v>
      </c>
      <c r="G49" s="46" t="n">
        <f aca="false">SUMIFS(Backlog!$I$6:$I$1327,Backlog!$K$6:$K$1327,A49)</f>
        <v>17.5</v>
      </c>
      <c r="H49" s="46" t="n">
        <f aca="false">IF(B49="API",Paramètres!$B$7,IF(B49="Mobile",Paramètres!$B$8,Paramètres!$B$9))</f>
        <v>2</v>
      </c>
      <c r="I49" s="31" t="n">
        <f aca="false">MAX(1,ROUNDUP(G49*(1+Paramètres!$B$6)/(H49*Paramètres!$B$5),0))</f>
        <v>13</v>
      </c>
      <c r="J49" s="33" t="n">
        <f aca="false">WORKDAY(_xlfn.MINIFS($L$6:$L$22,$E$6:$E$22,E49),Paramètres!$B$10)</f>
        <v>46363</v>
      </c>
      <c r="K49" s="31" t="n">
        <f aca="false">ROUNDUP(I49/5,0)</f>
        <v>3</v>
      </c>
      <c r="L49" s="33" t="n">
        <f aca="false">MAX(J49,WORKDAY(M48,1))</f>
        <v>46407</v>
      </c>
      <c r="M49" s="33" t="n">
        <f aca="false">WORKDAY(L49,I49-1)</f>
        <v>46423</v>
      </c>
      <c r="N49" s="31" t="n">
        <f aca="false">COUNTIFS(Backlog!$K$6:$K$1327,A49,Backlog!$O$6:$O$1327,"Terminé")</f>
        <v>0</v>
      </c>
      <c r="O49" s="47" t="n">
        <f aca="false">IF(F49=0,0,N49/F49)</f>
        <v>0</v>
      </c>
      <c r="P49" s="31" t="str">
        <f aca="false">IF(O49=1,"Terminé",IF(OR(O49&gt;0,COUNTIFS(Backlog!$K$6:$K$1327,A49,Backlog!$O$6:$O$1327,"En cours")&gt;0),"En cours","À faire"))</f>
        <v>À faire</v>
      </c>
    </row>
    <row r="50" customFormat="false" ht="15" hidden="false" customHeight="false" outlineLevel="0" collapsed="false">
      <c r="A50" s="31" t="s">
        <v>416</v>
      </c>
      <c r="B50" s="31" t="s">
        <v>404</v>
      </c>
      <c r="C50" s="31" t="s">
        <v>417</v>
      </c>
      <c r="D50" s="31" t="s">
        <v>418</v>
      </c>
      <c r="E50" s="36" t="n">
        <v>1</v>
      </c>
      <c r="F50" s="31" t="n">
        <f aca="false">COUNTIFS(Backlog!$K$6:$K$1327,A50)</f>
        <v>28</v>
      </c>
      <c r="G50" s="46" t="n">
        <f aca="false">SUMIFS(Backlog!$I$6:$I$1327,Backlog!$K$6:$K$1327,A50)</f>
        <v>30.5</v>
      </c>
      <c r="H50" s="46" t="n">
        <f aca="false">IF(B50="API",Paramètres!$B$7,IF(B50="Mobile",Paramètres!$B$8,Paramètres!$B$9))</f>
        <v>2</v>
      </c>
      <c r="I50" s="31" t="n">
        <f aca="false">MAX(1,ROUNDUP(G50*(1+Paramètres!$B$6)/(H50*Paramètres!$B$5),0))</f>
        <v>22</v>
      </c>
      <c r="J50" s="33" t="n">
        <f aca="false">WORKDAY(_xlfn.MINIFS($L$6:$L$22,$E$6:$E$22,E50),Paramètres!$B$10)</f>
        <v>46363</v>
      </c>
      <c r="K50" s="31" t="n">
        <f aca="false">ROUNDUP(I50/5,0)</f>
        <v>5</v>
      </c>
      <c r="L50" s="33" t="n">
        <f aca="false">MAX(J50,WORKDAY(M49,1))</f>
        <v>46426</v>
      </c>
      <c r="M50" s="33" t="n">
        <f aca="false">WORKDAY(L50,I50-1)</f>
        <v>46455</v>
      </c>
      <c r="N50" s="31" t="n">
        <f aca="false">COUNTIFS(Backlog!$K$6:$K$1327,A50,Backlog!$O$6:$O$1327,"Terminé")</f>
        <v>0</v>
      </c>
      <c r="O50" s="47" t="n">
        <f aca="false">IF(F50=0,0,N50/F50)</f>
        <v>0</v>
      </c>
      <c r="P50" s="31" t="str">
        <f aca="false">IF(O50=1,"Terminé",IF(OR(O50&gt;0,COUNTIFS(Backlog!$K$6:$K$1327,A50,Backlog!$O$6:$O$1327,"En cours")&gt;0),"En cours","À faire"))</f>
        <v>À faire</v>
      </c>
    </row>
    <row r="51" customFormat="false" ht="15" hidden="false" customHeight="false" outlineLevel="0" collapsed="false">
      <c r="A51" s="31" t="s">
        <v>419</v>
      </c>
      <c r="B51" s="31" t="s">
        <v>404</v>
      </c>
      <c r="C51" s="31" t="s">
        <v>420</v>
      </c>
      <c r="D51" s="31" t="s">
        <v>421</v>
      </c>
      <c r="E51" s="36" t="n">
        <v>1</v>
      </c>
      <c r="F51" s="31" t="n">
        <f aca="false">COUNTIFS(Backlog!$K$6:$K$1327,A51)</f>
        <v>14</v>
      </c>
      <c r="G51" s="46" t="n">
        <f aca="false">SUMIFS(Backlog!$I$6:$I$1327,Backlog!$K$6:$K$1327,A51)</f>
        <v>20.5</v>
      </c>
      <c r="H51" s="46" t="n">
        <f aca="false">IF(B51="API",Paramètres!$B$7,IF(B51="Mobile",Paramètres!$B$8,Paramètres!$B$9))</f>
        <v>2</v>
      </c>
      <c r="I51" s="31" t="n">
        <f aca="false">MAX(1,ROUNDUP(G51*(1+Paramètres!$B$6)/(H51*Paramètres!$B$5),0))</f>
        <v>15</v>
      </c>
      <c r="J51" s="33" t="n">
        <f aca="false">WORKDAY(_xlfn.MINIFS($L$6:$L$22,$E$6:$E$22,E51),Paramètres!$B$10)</f>
        <v>46363</v>
      </c>
      <c r="K51" s="31" t="n">
        <f aca="false">ROUNDUP(I51/5,0)</f>
        <v>3</v>
      </c>
      <c r="L51" s="33" t="n">
        <f aca="false">MAX(J51,WORKDAY(M50,1))</f>
        <v>46456</v>
      </c>
      <c r="M51" s="33" t="n">
        <f aca="false">WORKDAY(L51,I51-1)</f>
        <v>46476</v>
      </c>
      <c r="N51" s="31" t="n">
        <f aca="false">COUNTIFS(Backlog!$K$6:$K$1327,A51,Backlog!$O$6:$O$1327,"Terminé")</f>
        <v>0</v>
      </c>
      <c r="O51" s="47" t="n">
        <f aca="false">IF(F51=0,0,N51/F51)</f>
        <v>0</v>
      </c>
      <c r="P51" s="31" t="str">
        <f aca="false">IF(O51=1,"Terminé",IF(OR(O51&gt;0,COUNTIFS(Backlog!$K$6:$K$1327,A51,Backlog!$O$6:$O$1327,"En cours")&gt;0),"En cours","À faire"))</f>
        <v>À faire</v>
      </c>
    </row>
    <row r="52" customFormat="false" ht="15" hidden="false" customHeight="false" outlineLevel="0" collapsed="false">
      <c r="A52" s="31" t="s">
        <v>422</v>
      </c>
      <c r="B52" s="31" t="s">
        <v>404</v>
      </c>
      <c r="C52" s="31" t="s">
        <v>423</v>
      </c>
      <c r="D52" s="31" t="s">
        <v>424</v>
      </c>
      <c r="E52" s="36" t="n">
        <v>1</v>
      </c>
      <c r="F52" s="31" t="n">
        <f aca="false">COUNTIFS(Backlog!$K$6:$K$1327,A52)</f>
        <v>14</v>
      </c>
      <c r="G52" s="46" t="n">
        <f aca="false">SUMIFS(Backlog!$I$6:$I$1327,Backlog!$K$6:$K$1327,A52)</f>
        <v>19.5</v>
      </c>
      <c r="H52" s="46" t="n">
        <f aca="false">IF(B52="API",Paramètres!$B$7,IF(B52="Mobile",Paramètres!$B$8,Paramètres!$B$9))</f>
        <v>2</v>
      </c>
      <c r="I52" s="31" t="n">
        <f aca="false">MAX(1,ROUNDUP(G52*(1+Paramètres!$B$6)/(H52*Paramètres!$B$5),0))</f>
        <v>15</v>
      </c>
      <c r="J52" s="33" t="n">
        <f aca="false">WORKDAY(_xlfn.MINIFS($L$6:$L$22,$E$6:$E$22,E52),Paramètres!$B$10)</f>
        <v>46363</v>
      </c>
      <c r="K52" s="31" t="n">
        <f aca="false">ROUNDUP(I52/5,0)</f>
        <v>3</v>
      </c>
      <c r="L52" s="33" t="n">
        <f aca="false">MAX(J52,WORKDAY(M51,1))</f>
        <v>46477</v>
      </c>
      <c r="M52" s="33" t="n">
        <f aca="false">WORKDAY(L52,I52-1)</f>
        <v>46497</v>
      </c>
      <c r="N52" s="31" t="n">
        <f aca="false">COUNTIFS(Backlog!$K$6:$K$1327,A52,Backlog!$O$6:$O$1327,"Terminé")</f>
        <v>0</v>
      </c>
      <c r="O52" s="47" t="n">
        <f aca="false">IF(F52=0,0,N52/F52)</f>
        <v>0</v>
      </c>
      <c r="P52" s="31" t="str">
        <f aca="false">IF(O52=1,"Terminé",IF(OR(O52&gt;0,COUNTIFS(Backlog!$K$6:$K$1327,A52,Backlog!$O$6:$O$1327,"En cours")&gt;0),"En cours","À faire"))</f>
        <v>À faire</v>
      </c>
    </row>
    <row r="53" customFormat="false" ht="15" hidden="false" customHeight="false" outlineLevel="0" collapsed="false">
      <c r="A53" s="31" t="s">
        <v>425</v>
      </c>
      <c r="B53" s="31" t="s">
        <v>404</v>
      </c>
      <c r="C53" s="31" t="s">
        <v>426</v>
      </c>
      <c r="D53" s="31" t="s">
        <v>427</v>
      </c>
      <c r="E53" s="36" t="n">
        <v>1</v>
      </c>
      <c r="F53" s="31" t="n">
        <f aca="false">COUNTIFS(Backlog!$K$6:$K$1327,A53)</f>
        <v>23</v>
      </c>
      <c r="G53" s="46" t="n">
        <f aca="false">SUMIFS(Backlog!$I$6:$I$1327,Backlog!$K$6:$K$1327,A53)</f>
        <v>24</v>
      </c>
      <c r="H53" s="46" t="n">
        <f aca="false">IF(B53="API",Paramètres!$B$7,IF(B53="Mobile",Paramètres!$B$8,Paramètres!$B$9))</f>
        <v>2</v>
      </c>
      <c r="I53" s="31" t="n">
        <f aca="false">MAX(1,ROUNDUP(G53*(1+Paramètres!$B$6)/(H53*Paramètres!$B$5),0))</f>
        <v>18</v>
      </c>
      <c r="J53" s="33" t="n">
        <f aca="false">WORKDAY(_xlfn.MINIFS($L$6:$L$22,$E$6:$E$22,E53),Paramètres!$B$10)</f>
        <v>46363</v>
      </c>
      <c r="K53" s="31" t="n">
        <f aca="false">ROUNDUP(I53/5,0)</f>
        <v>4</v>
      </c>
      <c r="L53" s="33" t="n">
        <f aca="false">MAX(J53,WORKDAY(M52,1))</f>
        <v>46498</v>
      </c>
      <c r="M53" s="33" t="n">
        <f aca="false">WORKDAY(L53,I53-1)</f>
        <v>46521</v>
      </c>
      <c r="N53" s="31" t="n">
        <f aca="false">COUNTIFS(Backlog!$K$6:$K$1327,A53,Backlog!$O$6:$O$1327,"Terminé")</f>
        <v>0</v>
      </c>
      <c r="O53" s="47" t="n">
        <f aca="false">IF(F53=0,0,N53/F53)</f>
        <v>0</v>
      </c>
      <c r="P53" s="31" t="str">
        <f aca="false">IF(O53=1,"Terminé",IF(OR(O53&gt;0,COUNTIFS(Backlog!$K$6:$K$1327,A53,Backlog!$O$6:$O$1327,"En cours")&gt;0),"En cours","À faire"))</f>
        <v>À faire</v>
      </c>
    </row>
    <row r="54" customFormat="false" ht="15" hidden="false" customHeight="false" outlineLevel="0" collapsed="false">
      <c r="A54" s="31" t="s">
        <v>428</v>
      </c>
      <c r="B54" s="31" t="s">
        <v>404</v>
      </c>
      <c r="C54" s="31" t="s">
        <v>429</v>
      </c>
      <c r="D54" s="31" t="s">
        <v>430</v>
      </c>
      <c r="E54" s="36" t="n">
        <v>1</v>
      </c>
      <c r="F54" s="31" t="n">
        <f aca="false">COUNTIFS(Backlog!$K$6:$K$1327,A54)</f>
        <v>15</v>
      </c>
      <c r="G54" s="46" t="n">
        <f aca="false">SUMIFS(Backlog!$I$6:$I$1327,Backlog!$K$6:$K$1327,A54)</f>
        <v>17.5</v>
      </c>
      <c r="H54" s="46" t="n">
        <f aca="false">IF(B54="API",Paramètres!$B$7,IF(B54="Mobile",Paramètres!$B$8,Paramètres!$B$9))</f>
        <v>2</v>
      </c>
      <c r="I54" s="31" t="n">
        <f aca="false">MAX(1,ROUNDUP(G54*(1+Paramètres!$B$6)/(H54*Paramètres!$B$5),0))</f>
        <v>13</v>
      </c>
      <c r="J54" s="33" t="n">
        <f aca="false">WORKDAY(_xlfn.MINIFS($L$6:$L$22,$E$6:$E$22,E54),Paramètres!$B$10)</f>
        <v>46363</v>
      </c>
      <c r="K54" s="31" t="n">
        <f aca="false">ROUNDUP(I54/5,0)</f>
        <v>3</v>
      </c>
      <c r="L54" s="33" t="n">
        <f aca="false">MAX(J54,WORKDAY(M53,1))</f>
        <v>46524</v>
      </c>
      <c r="M54" s="33" t="n">
        <f aca="false">WORKDAY(L54,I54-1)</f>
        <v>46540</v>
      </c>
      <c r="N54" s="31" t="n">
        <f aca="false">COUNTIFS(Backlog!$K$6:$K$1327,A54,Backlog!$O$6:$O$1327,"Terminé")</f>
        <v>0</v>
      </c>
      <c r="O54" s="47" t="n">
        <f aca="false">IF(F54=0,0,N54/F54)</f>
        <v>0</v>
      </c>
      <c r="P54" s="31" t="str">
        <f aca="false">IF(O54=1,"Terminé",IF(OR(O54&gt;0,COUNTIFS(Backlog!$K$6:$K$1327,A54,Backlog!$O$6:$O$1327,"En cours")&gt;0),"En cours","À faire"))</f>
        <v>À faire</v>
      </c>
    </row>
    <row r="55" customFormat="false" ht="15" hidden="false" customHeight="false" outlineLevel="0" collapsed="false">
      <c r="A55" s="31" t="s">
        <v>431</v>
      </c>
      <c r="B55" s="31" t="s">
        <v>404</v>
      </c>
      <c r="C55" s="31" t="s">
        <v>432</v>
      </c>
      <c r="D55" s="31" t="s">
        <v>433</v>
      </c>
      <c r="E55" s="36" t="n">
        <v>1</v>
      </c>
      <c r="F55" s="31" t="n">
        <f aca="false">COUNTIFS(Backlog!$K$6:$K$1327,A55)</f>
        <v>21</v>
      </c>
      <c r="G55" s="46" t="n">
        <f aca="false">SUMIFS(Backlog!$I$6:$I$1327,Backlog!$K$6:$K$1327,A55)</f>
        <v>23.5</v>
      </c>
      <c r="H55" s="46" t="n">
        <f aca="false">IF(B55="API",Paramètres!$B$7,IF(B55="Mobile",Paramètres!$B$8,Paramètres!$B$9))</f>
        <v>2</v>
      </c>
      <c r="I55" s="31" t="n">
        <f aca="false">MAX(1,ROUNDUP(G55*(1+Paramètres!$B$6)/(H55*Paramètres!$B$5),0))</f>
        <v>17</v>
      </c>
      <c r="J55" s="33" t="n">
        <f aca="false">WORKDAY(_xlfn.MINIFS($L$6:$L$22,$E$6:$E$22,E55),Paramètres!$B$10)</f>
        <v>46363</v>
      </c>
      <c r="K55" s="31" t="n">
        <f aca="false">ROUNDUP(I55/5,0)</f>
        <v>4</v>
      </c>
      <c r="L55" s="33" t="n">
        <f aca="false">MAX(J55,WORKDAY(M54,1))</f>
        <v>46541</v>
      </c>
      <c r="M55" s="33" t="n">
        <f aca="false">WORKDAY(L55,I55-1)</f>
        <v>46563</v>
      </c>
      <c r="N55" s="31" t="n">
        <f aca="false">COUNTIFS(Backlog!$K$6:$K$1327,A55,Backlog!$O$6:$O$1327,"Terminé")</f>
        <v>0</v>
      </c>
      <c r="O55" s="47" t="n">
        <f aca="false">IF(F55=0,0,N55/F55)</f>
        <v>0</v>
      </c>
      <c r="P55" s="31" t="str">
        <f aca="false">IF(O55=1,"Terminé",IF(OR(O55&gt;0,COUNTIFS(Backlog!$K$6:$K$1327,A55,Backlog!$O$6:$O$1327,"En cours")&gt;0),"En cours","À faire"))</f>
        <v>À faire</v>
      </c>
    </row>
    <row r="56" customFormat="false" ht="15" hidden="false" customHeight="false" outlineLevel="0" collapsed="false">
      <c r="A56" s="31" t="s">
        <v>434</v>
      </c>
      <c r="B56" s="31" t="s">
        <v>404</v>
      </c>
      <c r="C56" s="31" t="s">
        <v>213</v>
      </c>
      <c r="D56" s="31" t="s">
        <v>435</v>
      </c>
      <c r="E56" s="36" t="n">
        <v>1</v>
      </c>
      <c r="F56" s="31" t="n">
        <f aca="false">COUNTIFS(Backlog!$K$6:$K$1327,A56)</f>
        <v>4</v>
      </c>
      <c r="G56" s="46" t="n">
        <f aca="false">SUMIFS(Backlog!$I$6:$I$1327,Backlog!$K$6:$K$1327,A56)</f>
        <v>7</v>
      </c>
      <c r="H56" s="46" t="n">
        <f aca="false">IF(B56="API",Paramètres!$B$7,IF(B56="Mobile",Paramètres!$B$8,Paramètres!$B$9))</f>
        <v>2</v>
      </c>
      <c r="I56" s="31" t="n">
        <f aca="false">MAX(1,ROUNDUP(G56*(1+Paramètres!$B$6)/(H56*Paramètres!$B$5),0))</f>
        <v>6</v>
      </c>
      <c r="J56" s="33" t="n">
        <f aca="false">WORKDAY(_xlfn.MINIFS($L$6:$L$22,$E$6:$E$22,E56),Paramètres!$B$10)</f>
        <v>46363</v>
      </c>
      <c r="K56" s="31" t="n">
        <f aca="false">ROUNDUP(I56/5,0)</f>
        <v>2</v>
      </c>
      <c r="L56" s="33" t="n">
        <f aca="false">MAX(J56,WORKDAY(M55,1))</f>
        <v>46566</v>
      </c>
      <c r="M56" s="33" t="n">
        <f aca="false">WORKDAY(L56,I56-1)</f>
        <v>46573</v>
      </c>
      <c r="N56" s="31" t="n">
        <f aca="false">COUNTIFS(Backlog!$K$6:$K$1327,A56,Backlog!$O$6:$O$1327,"Terminé")</f>
        <v>0</v>
      </c>
      <c r="O56" s="47" t="n">
        <f aca="false">IF(F56=0,0,N56/F56)</f>
        <v>0</v>
      </c>
      <c r="P56" s="31" t="str">
        <f aca="false">IF(O56=1,"Terminé",IF(OR(O56&gt;0,COUNTIFS(Backlog!$K$6:$K$1327,A56,Backlog!$O$6:$O$1327,"En cours")&gt;0),"En cours","À faire"))</f>
        <v>À faire</v>
      </c>
    </row>
    <row r="57" customFormat="false" ht="15" hidden="false" customHeight="false" outlineLevel="0" collapsed="false">
      <c r="A57" s="31" t="s">
        <v>436</v>
      </c>
      <c r="B57" s="31" t="s">
        <v>404</v>
      </c>
      <c r="C57" s="31" t="s">
        <v>437</v>
      </c>
      <c r="D57" s="31" t="s">
        <v>438</v>
      </c>
      <c r="E57" s="37" t="n">
        <v>2</v>
      </c>
      <c r="F57" s="31" t="n">
        <f aca="false">COUNTIFS(Backlog!$K$6:$K$1327,A57)</f>
        <v>27</v>
      </c>
      <c r="G57" s="46" t="n">
        <f aca="false">SUMIFS(Backlog!$I$6:$I$1327,Backlog!$K$6:$K$1327,A57)</f>
        <v>27.5</v>
      </c>
      <c r="H57" s="46" t="n">
        <f aca="false">IF(B57="API",Paramètres!$B$7,IF(B57="Mobile",Paramètres!$B$8,Paramètres!$B$9))</f>
        <v>2</v>
      </c>
      <c r="I57" s="31" t="n">
        <f aca="false">MAX(1,ROUNDUP(G57*(1+Paramètres!$B$6)/(H57*Paramètres!$B$5),0))</f>
        <v>20</v>
      </c>
      <c r="J57" s="33" t="n">
        <f aca="false">WORKDAY(_xlfn.MINIFS($L$6:$L$22,$E$6:$E$22,E57),Paramètres!$B$10)</f>
        <v>46555</v>
      </c>
      <c r="K57" s="31" t="n">
        <f aca="false">ROUNDUP(I57/5,0)</f>
        <v>4</v>
      </c>
      <c r="L57" s="33" t="n">
        <f aca="false">MAX(J57,WORKDAY(M56,1))</f>
        <v>46574</v>
      </c>
      <c r="M57" s="33" t="n">
        <f aca="false">WORKDAY(L57,I57-1)</f>
        <v>46601</v>
      </c>
      <c r="N57" s="31" t="n">
        <f aca="false">COUNTIFS(Backlog!$K$6:$K$1327,A57,Backlog!$O$6:$O$1327,"Terminé")</f>
        <v>0</v>
      </c>
      <c r="O57" s="47" t="n">
        <f aca="false">IF(F57=0,0,N57/F57)</f>
        <v>0</v>
      </c>
      <c r="P57" s="31" t="str">
        <f aca="false">IF(O57=1,"Terminé",IF(OR(O57&gt;0,COUNTIFS(Backlog!$K$6:$K$1327,A57,Backlog!$O$6:$O$1327,"En cours")&gt;0),"En cours","À faire"))</f>
        <v>À faire</v>
      </c>
    </row>
    <row r="58" customFormat="false" ht="15" hidden="false" customHeight="false" outlineLevel="0" collapsed="false">
      <c r="A58" s="31" t="s">
        <v>439</v>
      </c>
      <c r="B58" s="31" t="s">
        <v>404</v>
      </c>
      <c r="C58" s="31" t="s">
        <v>213</v>
      </c>
      <c r="D58" s="31" t="s">
        <v>435</v>
      </c>
      <c r="E58" s="37" t="n">
        <v>2</v>
      </c>
      <c r="F58" s="31" t="n">
        <f aca="false">COUNTIFS(Backlog!$K$6:$K$1327,A58)</f>
        <v>5</v>
      </c>
      <c r="G58" s="46" t="n">
        <f aca="false">SUMIFS(Backlog!$I$6:$I$1327,Backlog!$K$6:$K$1327,A58)</f>
        <v>7</v>
      </c>
      <c r="H58" s="46" t="n">
        <f aca="false">IF(B58="API",Paramètres!$B$7,IF(B58="Mobile",Paramètres!$B$8,Paramètres!$B$9))</f>
        <v>2</v>
      </c>
      <c r="I58" s="31" t="n">
        <f aca="false">MAX(1,ROUNDUP(G58*(1+Paramètres!$B$6)/(H58*Paramètres!$B$5),0))</f>
        <v>6</v>
      </c>
      <c r="J58" s="33" t="n">
        <f aca="false">WORKDAY(_xlfn.MINIFS($L$6:$L$22,$E$6:$E$22,E58),Paramètres!$B$10)</f>
        <v>46555</v>
      </c>
      <c r="K58" s="31" t="n">
        <f aca="false">ROUNDUP(I58/5,0)</f>
        <v>2</v>
      </c>
      <c r="L58" s="33" t="n">
        <f aca="false">MAX(J58,WORKDAY(M57,1))</f>
        <v>46602</v>
      </c>
      <c r="M58" s="33" t="n">
        <f aca="false">WORKDAY(L58,I58-1)</f>
        <v>46609</v>
      </c>
      <c r="N58" s="31" t="n">
        <f aca="false">COUNTIFS(Backlog!$K$6:$K$1327,A58,Backlog!$O$6:$O$1327,"Terminé")</f>
        <v>0</v>
      </c>
      <c r="O58" s="47" t="n">
        <f aca="false">IF(F58=0,0,N58/F58)</f>
        <v>0</v>
      </c>
      <c r="P58" s="31" t="str">
        <f aca="false">IF(O58=1,"Terminé",IF(OR(O58&gt;0,COUNTIFS(Backlog!$K$6:$K$1327,A58,Backlog!$O$6:$O$1327,"En cours")&gt;0),"En cours","À faire"))</f>
        <v>À faire</v>
      </c>
    </row>
    <row r="59" customFormat="false" ht="15" hidden="false" customHeight="false" outlineLevel="0" collapsed="false">
      <c r="A59" s="31" t="s">
        <v>440</v>
      </c>
      <c r="B59" s="31" t="s">
        <v>404</v>
      </c>
      <c r="C59" s="31" t="s">
        <v>213</v>
      </c>
      <c r="D59" s="31" t="s">
        <v>435</v>
      </c>
      <c r="E59" s="38" t="n">
        <v>3</v>
      </c>
      <c r="F59" s="31" t="n">
        <f aca="false">COUNTIFS(Backlog!$K$6:$K$1327,A59)</f>
        <v>4</v>
      </c>
      <c r="G59" s="46" t="n">
        <f aca="false">SUMIFS(Backlog!$I$6:$I$1327,Backlog!$K$6:$K$1327,A59)</f>
        <v>6</v>
      </c>
      <c r="H59" s="46" t="n">
        <f aca="false">IF(B59="API",Paramètres!$B$7,IF(B59="Mobile",Paramètres!$B$8,Paramètres!$B$9))</f>
        <v>2</v>
      </c>
      <c r="I59" s="31" t="n">
        <f aca="false">MAX(1,ROUNDUP(G59*(1+Paramètres!$B$6)/(H59*Paramètres!$B$5),0))</f>
        <v>5</v>
      </c>
      <c r="J59" s="33" t="n">
        <f aca="false">WORKDAY(_xlfn.MINIFS($L$6:$L$22,$E$6:$E$22,E59),Paramètres!$B$10)</f>
        <v>46673</v>
      </c>
      <c r="K59" s="31" t="n">
        <f aca="false">ROUNDUP(I59/5,0)</f>
        <v>1</v>
      </c>
      <c r="L59" s="33" t="n">
        <f aca="false">MAX(J59,WORKDAY(M58,1))</f>
        <v>46673</v>
      </c>
      <c r="M59" s="33" t="n">
        <f aca="false">WORKDAY(L59,I59-1)</f>
        <v>46679</v>
      </c>
      <c r="N59" s="31" t="n">
        <f aca="false">COUNTIFS(Backlog!$K$6:$K$1327,A59,Backlog!$O$6:$O$1327,"Terminé")</f>
        <v>0</v>
      </c>
      <c r="O59" s="47" t="n">
        <f aca="false">IF(F59=0,0,N59/F59)</f>
        <v>0</v>
      </c>
      <c r="P59" s="31" t="str">
        <f aca="false">IF(O59=1,"Terminé",IF(OR(O59&gt;0,COUNTIFS(Backlog!$K$6:$K$1327,A59,Backlog!$O$6:$O$1327,"En cours")&gt;0),"En cours","À faire"))</f>
        <v>À faire</v>
      </c>
    </row>
    <row r="60" customFormat="false" ht="15" hidden="false" customHeight="false" outlineLevel="0" collapsed="false">
      <c r="D60" s="5" t="s">
        <v>441</v>
      </c>
      <c r="F60" s="5" t="n">
        <f aca="false">SUM(F6:F59)</f>
        <v>1322</v>
      </c>
      <c r="G60" s="48" t="n">
        <f aca="false">SUM(G6:G59)</f>
        <v>1371.75</v>
      </c>
      <c r="L60" s="49" t="n">
        <f aca="false">MIN(L6:L59)</f>
        <v>46328</v>
      </c>
      <c r="M60" s="49" t="n">
        <f aca="false">MAX(M6:M59)</f>
        <v>46748</v>
      </c>
    </row>
  </sheetData>
  <conditionalFormatting sqref="P6:P59">
    <cfRule type="expression" priority="2" aboveAverage="0" equalAverage="0" bottom="0" percent="0" rank="0" text="" dxfId="6">
      <formula>$P6="Terminé"</formula>
    </cfRule>
    <cfRule type="expression" priority="3" aboveAverage="0" equalAverage="0" bottom="0" percent="0" rank="0" text="" dxfId="7">
      <formula>$P6="En cours"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6070"/>
    <pageSetUpPr fitToPage="false"/>
  </sheetPr>
  <dimension ref="A1:T13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5" topLeftCell="F6" activePane="bottomRight" state="frozen"/>
      <selection pane="topLeft" activeCell="A1" activeCellId="0" sqref="A1"/>
      <selection pane="topRight" activeCell="F1" activeCellId="0" sqref="F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8"/>
    <col collapsed="false" customWidth="true" hidden="false" outlineLevel="0" max="4" min="4" style="0" width="30"/>
    <col collapsed="false" customWidth="true" hidden="false" outlineLevel="0" max="5" min="5" style="0" width="70"/>
    <col collapsed="false" customWidth="true" hidden="false" outlineLevel="0" max="6" min="6" style="0" width="12"/>
    <col collapsed="false" customWidth="true" hidden="false" outlineLevel="0" max="7" min="7" style="0" width="9"/>
    <col collapsed="false" customWidth="true" hidden="false" outlineLevel="0" max="8" min="8" style="0" width="8"/>
    <col collapsed="false" customWidth="true" hidden="false" outlineLevel="0" max="9" min="9" style="0" width="10"/>
    <col collapsed="false" customWidth="true" hidden="false" outlineLevel="0" max="10" min="10" style="0" width="7"/>
    <col collapsed="false" customWidth="true" hidden="true" outlineLevel="0" max="11" min="11" style="0" width="10"/>
    <col collapsed="false" customWidth="true" hidden="false" outlineLevel="0" max="12" min="12" style="0" width="28"/>
    <col collapsed="false" customWidth="true" hidden="false" outlineLevel="0" max="13" min="13" style="0" width="8"/>
    <col collapsed="false" customWidth="true" hidden="false" outlineLevel="0" max="14" min="14" style="0" width="14"/>
    <col collapsed="false" customWidth="true" hidden="false" outlineLevel="0" max="15" min="15" style="0" width="11"/>
    <col collapsed="false" customWidth="true" hidden="false" outlineLevel="0" max="17" min="16" style="0" width="12"/>
    <col collapsed="false" customWidth="true" hidden="false" outlineLevel="0" max="19" min="18" style="0" width="14"/>
    <col collapsed="false" customWidth="true" hidden="false" outlineLevel="0" max="20" min="20" style="0" width="9"/>
  </cols>
  <sheetData>
    <row r="1" customFormat="false" ht="19.7" hidden="false" customHeight="false" outlineLevel="0" collapsed="false">
      <c r="A1" s="1" t="s">
        <v>442</v>
      </c>
    </row>
    <row r="2" customFormat="false" ht="15" hidden="false" customHeight="false" outlineLevel="0" collapsed="false">
      <c r="A2" s="2" t="s">
        <v>443</v>
      </c>
    </row>
    <row r="5" customFormat="false" ht="35.05" hidden="false" customHeight="false" outlineLevel="0" collapsed="false">
      <c r="A5" s="12" t="s">
        <v>444</v>
      </c>
      <c r="B5" s="12" t="s">
        <v>287</v>
      </c>
      <c r="C5" s="12" t="s">
        <v>288</v>
      </c>
      <c r="D5" s="12" t="s">
        <v>445</v>
      </c>
      <c r="E5" s="12" t="s">
        <v>446</v>
      </c>
      <c r="F5" s="12" t="s">
        <v>447</v>
      </c>
      <c r="G5" s="12" t="s">
        <v>448</v>
      </c>
      <c r="H5" s="12" t="s">
        <v>34</v>
      </c>
      <c r="I5" s="12" t="s">
        <v>35</v>
      </c>
      <c r="J5" s="12" t="s">
        <v>48</v>
      </c>
      <c r="K5" s="12" t="s">
        <v>449</v>
      </c>
      <c r="L5" s="12" t="s">
        <v>450</v>
      </c>
      <c r="M5" s="12" t="s">
        <v>451</v>
      </c>
      <c r="N5" s="12" t="s">
        <v>452</v>
      </c>
      <c r="O5" s="12" t="s">
        <v>70</v>
      </c>
      <c r="P5" s="12" t="s">
        <v>453</v>
      </c>
      <c r="Q5" s="12" t="s">
        <v>454</v>
      </c>
      <c r="R5" s="12" t="s">
        <v>455</v>
      </c>
      <c r="S5" s="12" t="s">
        <v>456</v>
      </c>
      <c r="T5" s="12" t="s">
        <v>457</v>
      </c>
    </row>
    <row r="6" customFormat="false" ht="15" hidden="false" customHeight="false" outlineLevel="0" collapsed="false">
      <c r="A6" s="31" t="s">
        <v>458</v>
      </c>
      <c r="B6" s="31" t="s">
        <v>301</v>
      </c>
      <c r="C6" s="31" t="s">
        <v>186</v>
      </c>
      <c r="D6" s="31" t="s">
        <v>302</v>
      </c>
      <c r="E6" s="31" t="s">
        <v>459</v>
      </c>
      <c r="F6" s="31" t="s">
        <v>460</v>
      </c>
      <c r="G6" s="31" t="s">
        <v>461</v>
      </c>
      <c r="H6" s="31" t="s">
        <v>41</v>
      </c>
      <c r="I6" s="31" t="n">
        <f aca="false">VLOOKUP(H6,Paramètres!$A$15:$B$19,2,FALSE())</f>
        <v>1</v>
      </c>
      <c r="J6" s="31" t="n">
        <v>0</v>
      </c>
      <c r="K6" s="50" t="str">
        <f aca="false">C6&amp;"|"&amp;J6</f>
        <v>API-PLAT|0</v>
      </c>
      <c r="L6" s="31"/>
      <c r="M6" s="31" t="n">
        <v>3</v>
      </c>
      <c r="N6" s="51" t="s">
        <v>462</v>
      </c>
      <c r="O6" s="35" t="s">
        <v>78</v>
      </c>
      <c r="P6" s="52"/>
      <c r="Q6" s="52"/>
      <c r="R6" s="33" t="n">
        <f aca="false">INDEX(Épopées!$L$6:$L$59,MATCH(K6,Épopées!$A$6:$A$59,0))</f>
        <v>46328</v>
      </c>
      <c r="S6" s="33" t="n">
        <f aca="false">INDEX(Épopées!$M$6:$M$59,MATCH(K6,Épopées!$A$6:$A$59,0))</f>
        <v>46331</v>
      </c>
      <c r="T6" s="53" t="s">
        <v>463</v>
      </c>
    </row>
    <row r="7" customFormat="false" ht="15" hidden="false" customHeight="false" outlineLevel="0" collapsed="false">
      <c r="A7" s="31" t="s">
        <v>464</v>
      </c>
      <c r="B7" s="31" t="s">
        <v>301</v>
      </c>
      <c r="C7" s="31" t="s">
        <v>186</v>
      </c>
      <c r="D7" s="31" t="s">
        <v>302</v>
      </c>
      <c r="E7" s="31" t="s">
        <v>465</v>
      </c>
      <c r="F7" s="31" t="s">
        <v>460</v>
      </c>
      <c r="G7" s="31" t="s">
        <v>466</v>
      </c>
      <c r="H7" s="31" t="s">
        <v>37</v>
      </c>
      <c r="I7" s="31" t="n">
        <f aca="false">VLOOKUP(H7,Paramètres!$A$15:$B$19,2,FALSE())</f>
        <v>0.25</v>
      </c>
      <c r="J7" s="31" t="n">
        <v>0</v>
      </c>
      <c r="K7" s="50" t="str">
        <f aca="false">C7&amp;"|"&amp;J7</f>
        <v>API-PLAT|0</v>
      </c>
      <c r="L7" s="31" t="s">
        <v>458</v>
      </c>
      <c r="M7" s="31" t="n">
        <v>1</v>
      </c>
      <c r="N7" s="51" t="s">
        <v>462</v>
      </c>
      <c r="O7" s="35" t="s">
        <v>78</v>
      </c>
      <c r="P7" s="52"/>
      <c r="Q7" s="52"/>
      <c r="R7" s="33" t="n">
        <f aca="false">INDEX(Épopées!$L$6:$L$59,MATCH(K7,Épopées!$A$6:$A$59,0))</f>
        <v>46328</v>
      </c>
      <c r="S7" s="33" t="n">
        <f aca="false">INDEX(Épopées!$M$6:$M$59,MATCH(K7,Épopées!$A$6:$A$59,0))</f>
        <v>46331</v>
      </c>
      <c r="T7" s="53" t="s">
        <v>463</v>
      </c>
    </row>
    <row r="8" customFormat="false" ht="15" hidden="false" customHeight="false" outlineLevel="0" collapsed="false">
      <c r="A8" s="31" t="s">
        <v>467</v>
      </c>
      <c r="B8" s="31" t="s">
        <v>301</v>
      </c>
      <c r="C8" s="31" t="s">
        <v>186</v>
      </c>
      <c r="D8" s="31" t="s">
        <v>302</v>
      </c>
      <c r="E8" s="31" t="s">
        <v>468</v>
      </c>
      <c r="F8" s="31" t="s">
        <v>469</v>
      </c>
      <c r="G8" s="31" t="s">
        <v>461</v>
      </c>
      <c r="H8" s="31" t="s">
        <v>39</v>
      </c>
      <c r="I8" s="31" t="n">
        <f aca="false">VLOOKUP(H8,Paramètres!$A$15:$B$19,2,FALSE())</f>
        <v>0.5</v>
      </c>
      <c r="J8" s="31" t="n">
        <v>0</v>
      </c>
      <c r="K8" s="50" t="str">
        <f aca="false">C8&amp;"|"&amp;J8</f>
        <v>API-PLAT|0</v>
      </c>
      <c r="L8" s="31"/>
      <c r="M8" s="31" t="n">
        <v>0</v>
      </c>
      <c r="N8" s="51" t="s">
        <v>462</v>
      </c>
      <c r="O8" s="35" t="s">
        <v>78</v>
      </c>
      <c r="P8" s="52"/>
      <c r="Q8" s="52"/>
      <c r="R8" s="33" t="n">
        <f aca="false">INDEX(Épopées!$L$6:$L$59,MATCH(K8,Épopées!$A$6:$A$59,0))</f>
        <v>46328</v>
      </c>
      <c r="S8" s="33" t="n">
        <f aca="false">INDEX(Épopées!$M$6:$M$59,MATCH(K8,Épopées!$A$6:$A$59,0))</f>
        <v>46331</v>
      </c>
      <c r="T8" s="53" t="s">
        <v>463</v>
      </c>
    </row>
    <row r="9" customFormat="false" ht="15" hidden="false" customHeight="false" outlineLevel="0" collapsed="false">
      <c r="A9" s="31" t="s">
        <v>470</v>
      </c>
      <c r="B9" s="31" t="s">
        <v>301</v>
      </c>
      <c r="C9" s="31" t="s">
        <v>186</v>
      </c>
      <c r="D9" s="31" t="s">
        <v>302</v>
      </c>
      <c r="E9" s="31" t="s">
        <v>471</v>
      </c>
      <c r="F9" s="31" t="s">
        <v>472</v>
      </c>
      <c r="G9" s="31" t="s">
        <v>461</v>
      </c>
      <c r="H9" s="31" t="s">
        <v>39</v>
      </c>
      <c r="I9" s="31" t="n">
        <f aca="false">VLOOKUP(H9,Paramètres!$A$15:$B$19,2,FALSE())</f>
        <v>0.5</v>
      </c>
      <c r="J9" s="31" t="n">
        <v>0</v>
      </c>
      <c r="K9" s="50" t="str">
        <f aca="false">C9&amp;"|"&amp;J9</f>
        <v>API-PLAT|0</v>
      </c>
      <c r="L9" s="31"/>
      <c r="M9" s="31" t="n">
        <v>0</v>
      </c>
      <c r="N9" s="51" t="s">
        <v>462</v>
      </c>
      <c r="O9" s="35" t="s">
        <v>78</v>
      </c>
      <c r="P9" s="52"/>
      <c r="Q9" s="52"/>
      <c r="R9" s="33" t="n">
        <f aca="false">INDEX(Épopées!$L$6:$L$59,MATCH(K9,Épopées!$A$6:$A$59,0))</f>
        <v>46328</v>
      </c>
      <c r="S9" s="33" t="n">
        <f aca="false">INDEX(Épopées!$M$6:$M$59,MATCH(K9,Épopées!$A$6:$A$59,0))</f>
        <v>46331</v>
      </c>
      <c r="T9" s="53" t="s">
        <v>463</v>
      </c>
    </row>
    <row r="10" customFormat="false" ht="15" hidden="false" customHeight="false" outlineLevel="0" collapsed="false">
      <c r="A10" s="31" t="s">
        <v>473</v>
      </c>
      <c r="B10" s="31" t="s">
        <v>301</v>
      </c>
      <c r="C10" s="31" t="s">
        <v>186</v>
      </c>
      <c r="D10" s="31" t="s">
        <v>302</v>
      </c>
      <c r="E10" s="31" t="s">
        <v>474</v>
      </c>
      <c r="F10" s="31" t="s">
        <v>472</v>
      </c>
      <c r="G10" s="31" t="s">
        <v>466</v>
      </c>
      <c r="H10" s="31" t="s">
        <v>39</v>
      </c>
      <c r="I10" s="31" t="n">
        <f aca="false">VLOOKUP(H10,Paramètres!$A$15:$B$19,2,FALSE())</f>
        <v>0.5</v>
      </c>
      <c r="J10" s="31" t="n">
        <v>0</v>
      </c>
      <c r="K10" s="50" t="str">
        <f aca="false">C10&amp;"|"&amp;J10</f>
        <v>API-PLAT|0</v>
      </c>
      <c r="L10" s="31"/>
      <c r="M10" s="31" t="n">
        <v>0</v>
      </c>
      <c r="N10" s="51" t="s">
        <v>462</v>
      </c>
      <c r="O10" s="35" t="s">
        <v>78</v>
      </c>
      <c r="P10" s="52"/>
      <c r="Q10" s="52"/>
      <c r="R10" s="33" t="n">
        <f aca="false">INDEX(Épopées!$L$6:$L$59,MATCH(K10,Épopées!$A$6:$A$59,0))</f>
        <v>46328</v>
      </c>
      <c r="S10" s="33" t="n">
        <f aca="false">INDEX(Épopées!$M$6:$M$59,MATCH(K10,Épopées!$A$6:$A$59,0))</f>
        <v>46331</v>
      </c>
      <c r="T10" s="53" t="s">
        <v>463</v>
      </c>
    </row>
    <row r="11" customFormat="false" ht="15" hidden="false" customHeight="false" outlineLevel="0" collapsed="false">
      <c r="A11" s="31" t="s">
        <v>475</v>
      </c>
      <c r="B11" s="31" t="s">
        <v>301</v>
      </c>
      <c r="C11" s="31" t="s">
        <v>186</v>
      </c>
      <c r="D11" s="31" t="s">
        <v>302</v>
      </c>
      <c r="E11" s="31" t="s">
        <v>476</v>
      </c>
      <c r="F11" s="31" t="s">
        <v>472</v>
      </c>
      <c r="G11" s="31" t="s">
        <v>461</v>
      </c>
      <c r="H11" s="31" t="s">
        <v>41</v>
      </c>
      <c r="I11" s="31" t="n">
        <f aca="false">VLOOKUP(H11,Paramètres!$A$15:$B$19,2,FALSE())</f>
        <v>1</v>
      </c>
      <c r="J11" s="31" t="n">
        <v>0</v>
      </c>
      <c r="K11" s="50" t="str">
        <f aca="false">C11&amp;"|"&amp;J11</f>
        <v>API-PLAT|0</v>
      </c>
      <c r="L11" s="31"/>
      <c r="M11" s="31" t="n">
        <v>0</v>
      </c>
      <c r="N11" s="51" t="s">
        <v>462</v>
      </c>
      <c r="O11" s="35" t="s">
        <v>78</v>
      </c>
      <c r="P11" s="52"/>
      <c r="Q11" s="52"/>
      <c r="R11" s="33" t="n">
        <f aca="false">INDEX(Épopées!$L$6:$L$59,MATCH(K11,Épopées!$A$6:$A$59,0))</f>
        <v>46328</v>
      </c>
      <c r="S11" s="33" t="n">
        <f aca="false">INDEX(Épopées!$M$6:$M$59,MATCH(K11,Épopées!$A$6:$A$59,0))</f>
        <v>46331</v>
      </c>
      <c r="T11" s="53" t="s">
        <v>463</v>
      </c>
    </row>
    <row r="12" customFormat="false" ht="15" hidden="false" customHeight="false" outlineLevel="0" collapsed="false">
      <c r="A12" s="31" t="s">
        <v>477</v>
      </c>
      <c r="B12" s="31" t="s">
        <v>301</v>
      </c>
      <c r="C12" s="31" t="s">
        <v>186</v>
      </c>
      <c r="D12" s="31" t="s">
        <v>302</v>
      </c>
      <c r="E12" s="31" t="s">
        <v>478</v>
      </c>
      <c r="F12" s="31" t="s">
        <v>472</v>
      </c>
      <c r="G12" s="31" t="s">
        <v>461</v>
      </c>
      <c r="H12" s="31" t="s">
        <v>41</v>
      </c>
      <c r="I12" s="31" t="n">
        <f aca="false">VLOOKUP(H12,Paramètres!$A$15:$B$19,2,FALSE())</f>
        <v>1</v>
      </c>
      <c r="J12" s="31" t="n">
        <v>0</v>
      </c>
      <c r="K12" s="50" t="str">
        <f aca="false">C12&amp;"|"&amp;J12</f>
        <v>API-PLAT|0</v>
      </c>
      <c r="L12" s="31" t="s">
        <v>475</v>
      </c>
      <c r="M12" s="31" t="n">
        <v>1</v>
      </c>
      <c r="N12" s="51" t="s">
        <v>462</v>
      </c>
      <c r="O12" s="35" t="s">
        <v>78</v>
      </c>
      <c r="P12" s="52"/>
      <c r="Q12" s="52"/>
      <c r="R12" s="33" t="n">
        <f aca="false">INDEX(Épopées!$L$6:$L$59,MATCH(K12,Épopées!$A$6:$A$59,0))</f>
        <v>46328</v>
      </c>
      <c r="S12" s="33" t="n">
        <f aca="false">INDEX(Épopées!$M$6:$M$59,MATCH(K12,Épopées!$A$6:$A$59,0))</f>
        <v>46331</v>
      </c>
      <c r="T12" s="53" t="s">
        <v>463</v>
      </c>
    </row>
    <row r="13" customFormat="false" ht="15" hidden="false" customHeight="false" outlineLevel="0" collapsed="false">
      <c r="A13" s="31" t="s">
        <v>479</v>
      </c>
      <c r="B13" s="31" t="s">
        <v>301</v>
      </c>
      <c r="C13" s="31" t="s">
        <v>186</v>
      </c>
      <c r="D13" s="31" t="s">
        <v>302</v>
      </c>
      <c r="E13" s="31" t="s">
        <v>480</v>
      </c>
      <c r="F13" s="31" t="s">
        <v>481</v>
      </c>
      <c r="G13" s="31" t="s">
        <v>461</v>
      </c>
      <c r="H13" s="31" t="s">
        <v>41</v>
      </c>
      <c r="I13" s="31" t="n">
        <f aca="false">VLOOKUP(H13,Paramètres!$A$15:$B$19,2,FALSE())</f>
        <v>1</v>
      </c>
      <c r="J13" s="31" t="n">
        <v>0</v>
      </c>
      <c r="K13" s="50" t="str">
        <f aca="false">C13&amp;"|"&amp;J13</f>
        <v>API-PLAT|0</v>
      </c>
      <c r="L13" s="31"/>
      <c r="M13" s="31" t="n">
        <v>0</v>
      </c>
      <c r="N13" s="51" t="s">
        <v>462</v>
      </c>
      <c r="O13" s="35" t="s">
        <v>78</v>
      </c>
      <c r="P13" s="52"/>
      <c r="Q13" s="52"/>
      <c r="R13" s="33" t="n">
        <f aca="false">INDEX(Épopées!$L$6:$L$59,MATCH(K13,Épopées!$A$6:$A$59,0))</f>
        <v>46328</v>
      </c>
      <c r="S13" s="33" t="n">
        <f aca="false">INDEX(Épopées!$M$6:$M$59,MATCH(K13,Épopées!$A$6:$A$59,0))</f>
        <v>46331</v>
      </c>
      <c r="T13" s="53" t="s">
        <v>463</v>
      </c>
    </row>
    <row r="14" customFormat="false" ht="15" hidden="false" customHeight="false" outlineLevel="0" collapsed="false">
      <c r="A14" s="31" t="s">
        <v>482</v>
      </c>
      <c r="B14" s="31" t="s">
        <v>301</v>
      </c>
      <c r="C14" s="31" t="s">
        <v>186</v>
      </c>
      <c r="D14" s="31" t="s">
        <v>302</v>
      </c>
      <c r="E14" s="31" t="s">
        <v>483</v>
      </c>
      <c r="F14" s="31" t="s">
        <v>481</v>
      </c>
      <c r="G14" s="31" t="s">
        <v>461</v>
      </c>
      <c r="H14" s="31" t="s">
        <v>39</v>
      </c>
      <c r="I14" s="31" t="n">
        <f aca="false">VLOOKUP(H14,Paramètres!$A$15:$B$19,2,FALSE())</f>
        <v>0.5</v>
      </c>
      <c r="J14" s="31" t="n">
        <v>0</v>
      </c>
      <c r="K14" s="50" t="str">
        <f aca="false">C14&amp;"|"&amp;J14</f>
        <v>API-PLAT|0</v>
      </c>
      <c r="L14" s="31"/>
      <c r="M14" s="31" t="n">
        <v>0</v>
      </c>
      <c r="N14" s="51" t="s">
        <v>462</v>
      </c>
      <c r="O14" s="35" t="s">
        <v>78</v>
      </c>
      <c r="P14" s="52"/>
      <c r="Q14" s="52"/>
      <c r="R14" s="33" t="n">
        <f aca="false">INDEX(Épopées!$L$6:$L$59,MATCH(K14,Épopées!$A$6:$A$59,0))</f>
        <v>46328</v>
      </c>
      <c r="S14" s="33" t="n">
        <f aca="false">INDEX(Épopées!$M$6:$M$59,MATCH(K14,Épopées!$A$6:$A$59,0))</f>
        <v>46331</v>
      </c>
      <c r="T14" s="53" t="s">
        <v>463</v>
      </c>
    </row>
    <row r="15" customFormat="false" ht="15" hidden="false" customHeight="false" outlineLevel="0" collapsed="false">
      <c r="A15" s="31" t="s">
        <v>484</v>
      </c>
      <c r="B15" s="31" t="s">
        <v>301</v>
      </c>
      <c r="C15" s="31" t="s">
        <v>186</v>
      </c>
      <c r="D15" s="31" t="s">
        <v>302</v>
      </c>
      <c r="E15" s="31" t="s">
        <v>485</v>
      </c>
      <c r="F15" s="31" t="s">
        <v>486</v>
      </c>
      <c r="G15" s="31" t="s">
        <v>466</v>
      </c>
      <c r="H15" s="31" t="s">
        <v>39</v>
      </c>
      <c r="I15" s="31" t="n">
        <f aca="false">VLOOKUP(H15,Paramètres!$A$15:$B$19,2,FALSE())</f>
        <v>0.5</v>
      </c>
      <c r="J15" s="31" t="n">
        <v>0</v>
      </c>
      <c r="K15" s="50" t="str">
        <f aca="false">C15&amp;"|"&amp;J15</f>
        <v>API-PLAT|0</v>
      </c>
      <c r="L15" s="31"/>
      <c r="M15" s="31" t="n">
        <v>0</v>
      </c>
      <c r="N15" s="51" t="s">
        <v>462</v>
      </c>
      <c r="O15" s="35" t="s">
        <v>78</v>
      </c>
      <c r="P15" s="52"/>
      <c r="Q15" s="52"/>
      <c r="R15" s="33" t="n">
        <f aca="false">INDEX(Épopées!$L$6:$L$59,MATCH(K15,Épopées!$A$6:$A$59,0))</f>
        <v>46328</v>
      </c>
      <c r="S15" s="33" t="n">
        <f aca="false">INDEX(Épopées!$M$6:$M$59,MATCH(K15,Épopées!$A$6:$A$59,0))</f>
        <v>46331</v>
      </c>
      <c r="T15" s="53" t="s">
        <v>463</v>
      </c>
    </row>
    <row r="16" customFormat="false" ht="15" hidden="false" customHeight="false" outlineLevel="0" collapsed="false">
      <c r="A16" s="31" t="s">
        <v>487</v>
      </c>
      <c r="B16" s="31" t="s">
        <v>301</v>
      </c>
      <c r="C16" s="31" t="s">
        <v>304</v>
      </c>
      <c r="D16" s="31" t="s">
        <v>305</v>
      </c>
      <c r="E16" s="31" t="s">
        <v>488</v>
      </c>
      <c r="F16" s="31" t="s">
        <v>481</v>
      </c>
      <c r="G16" s="31" t="s">
        <v>461</v>
      </c>
      <c r="H16" s="31" t="s">
        <v>41</v>
      </c>
      <c r="I16" s="31" t="n">
        <f aca="false">VLOOKUP(H16,Paramètres!$A$15:$B$19,2,FALSE())</f>
        <v>1</v>
      </c>
      <c r="J16" s="31" t="n">
        <v>0</v>
      </c>
      <c r="K16" s="50" t="str">
        <f aca="false">C16&amp;"|"&amp;J16</f>
        <v>API-AUTH|0</v>
      </c>
      <c r="L16" s="31"/>
      <c r="M16" s="31" t="n">
        <v>4</v>
      </c>
      <c r="N16" s="51" t="s">
        <v>462</v>
      </c>
      <c r="O16" s="35" t="s">
        <v>78</v>
      </c>
      <c r="P16" s="52"/>
      <c r="Q16" s="52"/>
      <c r="R16" s="33" t="n">
        <f aca="false">INDEX(Épopées!$L$6:$L$59,MATCH(K16,Épopées!$A$6:$A$59,0))</f>
        <v>46332</v>
      </c>
      <c r="S16" s="33" t="n">
        <f aca="false">INDEX(Épopées!$M$6:$M$59,MATCH(K16,Épopées!$A$6:$A$59,0))</f>
        <v>46332</v>
      </c>
      <c r="T16" s="53" t="s">
        <v>463</v>
      </c>
    </row>
    <row r="17" customFormat="false" ht="15" hidden="false" customHeight="false" outlineLevel="0" collapsed="false">
      <c r="A17" s="31" t="s">
        <v>489</v>
      </c>
      <c r="B17" s="31" t="s">
        <v>301</v>
      </c>
      <c r="C17" s="31" t="s">
        <v>304</v>
      </c>
      <c r="D17" s="31" t="s">
        <v>305</v>
      </c>
      <c r="E17" s="31" t="s">
        <v>490</v>
      </c>
      <c r="F17" s="31" t="s">
        <v>491</v>
      </c>
      <c r="G17" s="31" t="s">
        <v>461</v>
      </c>
      <c r="H17" s="31" t="s">
        <v>41</v>
      </c>
      <c r="I17" s="31" t="n">
        <f aca="false">VLOOKUP(H17,Paramètres!$A$15:$B$19,2,FALSE())</f>
        <v>1</v>
      </c>
      <c r="J17" s="31" t="n">
        <v>0</v>
      </c>
      <c r="K17" s="50" t="str">
        <f aca="false">C17&amp;"|"&amp;J17</f>
        <v>API-AUTH|0</v>
      </c>
      <c r="L17" s="31" t="s">
        <v>487</v>
      </c>
      <c r="M17" s="31" t="n">
        <v>3</v>
      </c>
      <c r="N17" s="51" t="s">
        <v>462</v>
      </c>
      <c r="O17" s="35" t="s">
        <v>78</v>
      </c>
      <c r="P17" s="52"/>
      <c r="Q17" s="52"/>
      <c r="R17" s="33" t="n">
        <f aca="false">INDEX(Épopées!$L$6:$L$59,MATCH(K17,Épopées!$A$6:$A$59,0))</f>
        <v>46332</v>
      </c>
      <c r="S17" s="33" t="n">
        <f aca="false">INDEX(Épopées!$M$6:$M$59,MATCH(K17,Épopées!$A$6:$A$59,0))</f>
        <v>46332</v>
      </c>
      <c r="T17" s="53" t="s">
        <v>463</v>
      </c>
    </row>
    <row r="18" customFormat="false" ht="15" hidden="false" customHeight="false" outlineLevel="0" collapsed="false">
      <c r="A18" s="31" t="s">
        <v>492</v>
      </c>
      <c r="B18" s="31" t="s">
        <v>301</v>
      </c>
      <c r="C18" s="31" t="s">
        <v>186</v>
      </c>
      <c r="D18" s="31" t="s">
        <v>302</v>
      </c>
      <c r="E18" s="31" t="s">
        <v>493</v>
      </c>
      <c r="F18" s="31" t="s">
        <v>491</v>
      </c>
      <c r="G18" s="31" t="s">
        <v>461</v>
      </c>
      <c r="H18" s="31" t="s">
        <v>41</v>
      </c>
      <c r="I18" s="31" t="n">
        <f aca="false">VLOOKUP(H18,Paramètres!$A$15:$B$19,2,FALSE())</f>
        <v>1</v>
      </c>
      <c r="J18" s="31" t="n">
        <v>1</v>
      </c>
      <c r="K18" s="50" t="str">
        <f aca="false">C18&amp;"|"&amp;J18</f>
        <v>API-PLAT|1</v>
      </c>
      <c r="L18" s="31" t="s">
        <v>458</v>
      </c>
      <c r="M18" s="31" t="n">
        <v>2</v>
      </c>
      <c r="N18" s="51" t="s">
        <v>462</v>
      </c>
      <c r="O18" s="35" t="s">
        <v>78</v>
      </c>
      <c r="P18" s="52"/>
      <c r="Q18" s="52"/>
      <c r="R18" s="33" t="n">
        <f aca="false">INDEX(Épopées!$L$6:$L$59,MATCH(K18,Épopées!$A$6:$A$59,0))</f>
        <v>46335</v>
      </c>
      <c r="S18" s="33" t="n">
        <f aca="false">INDEX(Épopées!$M$6:$M$59,MATCH(K18,Épopées!$A$6:$A$59,0))</f>
        <v>46363</v>
      </c>
      <c r="T18" s="53" t="s">
        <v>463</v>
      </c>
    </row>
    <row r="19" customFormat="false" ht="15" hidden="false" customHeight="false" outlineLevel="0" collapsed="false">
      <c r="A19" s="31" t="s">
        <v>494</v>
      </c>
      <c r="B19" s="31" t="s">
        <v>301</v>
      </c>
      <c r="C19" s="31" t="s">
        <v>186</v>
      </c>
      <c r="D19" s="31" t="s">
        <v>302</v>
      </c>
      <c r="E19" s="31" t="s">
        <v>495</v>
      </c>
      <c r="F19" s="31" t="s">
        <v>491</v>
      </c>
      <c r="G19" s="31" t="s">
        <v>461</v>
      </c>
      <c r="H19" s="31" t="s">
        <v>41</v>
      </c>
      <c r="I19" s="31" t="n">
        <f aca="false">VLOOKUP(H19,Paramètres!$A$15:$B$19,2,FALSE())</f>
        <v>1</v>
      </c>
      <c r="J19" s="31" t="n">
        <v>1</v>
      </c>
      <c r="K19" s="50" t="str">
        <f aca="false">C19&amp;"|"&amp;J19</f>
        <v>API-PLAT|1</v>
      </c>
      <c r="L19" s="31" t="s">
        <v>496</v>
      </c>
      <c r="M19" s="31" t="n">
        <v>1</v>
      </c>
      <c r="N19" s="51" t="s">
        <v>462</v>
      </c>
      <c r="O19" s="35" t="s">
        <v>78</v>
      </c>
      <c r="P19" s="52"/>
      <c r="Q19" s="52"/>
      <c r="R19" s="33" t="n">
        <f aca="false">INDEX(Épopées!$L$6:$L$59,MATCH(K19,Épopées!$A$6:$A$59,0))</f>
        <v>46335</v>
      </c>
      <c r="S19" s="33" t="n">
        <f aca="false">INDEX(Épopées!$M$6:$M$59,MATCH(K19,Épopées!$A$6:$A$59,0))</f>
        <v>46363</v>
      </c>
      <c r="T19" s="53" t="s">
        <v>463</v>
      </c>
    </row>
    <row r="20" customFormat="false" ht="15" hidden="false" customHeight="false" outlineLevel="0" collapsed="false">
      <c r="A20" s="31" t="s">
        <v>497</v>
      </c>
      <c r="B20" s="31" t="s">
        <v>301</v>
      </c>
      <c r="C20" s="31" t="s">
        <v>186</v>
      </c>
      <c r="D20" s="31" t="s">
        <v>302</v>
      </c>
      <c r="E20" s="31" t="s">
        <v>498</v>
      </c>
      <c r="F20" s="31" t="s">
        <v>491</v>
      </c>
      <c r="G20" s="31" t="s">
        <v>461</v>
      </c>
      <c r="H20" s="31" t="s">
        <v>39</v>
      </c>
      <c r="I20" s="31" t="n">
        <f aca="false">VLOOKUP(H20,Paramètres!$A$15:$B$19,2,FALSE())</f>
        <v>0.5</v>
      </c>
      <c r="J20" s="31" t="n">
        <v>1</v>
      </c>
      <c r="K20" s="50" t="str">
        <f aca="false">C20&amp;"|"&amp;J20</f>
        <v>API-PLAT|1</v>
      </c>
      <c r="L20" s="31"/>
      <c r="M20" s="31" t="n">
        <v>1</v>
      </c>
      <c r="N20" s="51" t="s">
        <v>462</v>
      </c>
      <c r="O20" s="35" t="s">
        <v>78</v>
      </c>
      <c r="P20" s="52"/>
      <c r="Q20" s="52"/>
      <c r="R20" s="33" t="n">
        <f aca="false">INDEX(Épopées!$L$6:$L$59,MATCH(K20,Épopées!$A$6:$A$59,0))</f>
        <v>46335</v>
      </c>
      <c r="S20" s="33" t="n">
        <f aca="false">INDEX(Épopées!$M$6:$M$59,MATCH(K20,Épopées!$A$6:$A$59,0))</f>
        <v>46363</v>
      </c>
      <c r="T20" s="53" t="s">
        <v>463</v>
      </c>
    </row>
    <row r="21" customFormat="false" ht="15" hidden="false" customHeight="false" outlineLevel="0" collapsed="false">
      <c r="A21" s="31" t="s">
        <v>499</v>
      </c>
      <c r="B21" s="31" t="s">
        <v>301</v>
      </c>
      <c r="C21" s="31" t="s">
        <v>186</v>
      </c>
      <c r="D21" s="31" t="s">
        <v>302</v>
      </c>
      <c r="E21" s="31" t="s">
        <v>500</v>
      </c>
      <c r="F21" s="31" t="s">
        <v>491</v>
      </c>
      <c r="G21" s="31" t="s">
        <v>461</v>
      </c>
      <c r="H21" s="31" t="s">
        <v>41</v>
      </c>
      <c r="I21" s="31" t="n">
        <f aca="false">VLOOKUP(H21,Paramètres!$A$15:$B$19,2,FALSE())</f>
        <v>1</v>
      </c>
      <c r="J21" s="31" t="n">
        <v>1</v>
      </c>
      <c r="K21" s="50" t="str">
        <f aca="false">C21&amp;"|"&amp;J21</f>
        <v>API-PLAT|1</v>
      </c>
      <c r="L21" s="31" t="s">
        <v>497</v>
      </c>
      <c r="M21" s="31" t="n">
        <v>1</v>
      </c>
      <c r="N21" s="51" t="s">
        <v>462</v>
      </c>
      <c r="O21" s="35" t="s">
        <v>78</v>
      </c>
      <c r="P21" s="52"/>
      <c r="Q21" s="52"/>
      <c r="R21" s="33" t="n">
        <f aca="false">INDEX(Épopées!$L$6:$L$59,MATCH(K21,Épopées!$A$6:$A$59,0))</f>
        <v>46335</v>
      </c>
      <c r="S21" s="33" t="n">
        <f aca="false">INDEX(Épopées!$M$6:$M$59,MATCH(K21,Épopées!$A$6:$A$59,0))</f>
        <v>46363</v>
      </c>
      <c r="T21" s="53" t="s">
        <v>463</v>
      </c>
    </row>
    <row r="22" customFormat="false" ht="15" hidden="false" customHeight="false" outlineLevel="0" collapsed="false">
      <c r="A22" s="31" t="s">
        <v>501</v>
      </c>
      <c r="B22" s="31" t="s">
        <v>301</v>
      </c>
      <c r="C22" s="31" t="s">
        <v>186</v>
      </c>
      <c r="D22" s="31" t="s">
        <v>302</v>
      </c>
      <c r="E22" s="31" t="s">
        <v>502</v>
      </c>
      <c r="F22" s="31" t="s">
        <v>503</v>
      </c>
      <c r="G22" s="31" t="s">
        <v>466</v>
      </c>
      <c r="H22" s="31" t="s">
        <v>39</v>
      </c>
      <c r="I22" s="31" t="n">
        <f aca="false">VLOOKUP(H22,Paramètres!$A$15:$B$19,2,FALSE())</f>
        <v>0.5</v>
      </c>
      <c r="J22" s="31" t="n">
        <v>1</v>
      </c>
      <c r="K22" s="50" t="str">
        <f aca="false">C22&amp;"|"&amp;J22</f>
        <v>API-PLAT|1</v>
      </c>
      <c r="L22" s="31" t="s">
        <v>504</v>
      </c>
      <c r="M22" s="31" t="n">
        <v>6</v>
      </c>
      <c r="N22" s="51" t="s">
        <v>462</v>
      </c>
      <c r="O22" s="35" t="s">
        <v>78</v>
      </c>
      <c r="P22" s="52"/>
      <c r="Q22" s="52"/>
      <c r="R22" s="33" t="n">
        <f aca="false">INDEX(Épopées!$L$6:$L$59,MATCH(K22,Épopées!$A$6:$A$59,0))</f>
        <v>46335</v>
      </c>
      <c r="S22" s="33" t="n">
        <f aca="false">INDEX(Épopées!$M$6:$M$59,MATCH(K22,Épopées!$A$6:$A$59,0))</f>
        <v>46363</v>
      </c>
      <c r="T22" s="53" t="s">
        <v>463</v>
      </c>
    </row>
    <row r="23" customFormat="false" ht="15" hidden="false" customHeight="false" outlineLevel="0" collapsed="false">
      <c r="A23" s="31" t="s">
        <v>505</v>
      </c>
      <c r="B23" s="31" t="s">
        <v>301</v>
      </c>
      <c r="C23" s="31" t="s">
        <v>186</v>
      </c>
      <c r="D23" s="31" t="s">
        <v>302</v>
      </c>
      <c r="E23" s="31" t="s">
        <v>506</v>
      </c>
      <c r="F23" s="31" t="s">
        <v>486</v>
      </c>
      <c r="G23" s="31" t="s">
        <v>461</v>
      </c>
      <c r="H23" s="31" t="s">
        <v>41</v>
      </c>
      <c r="I23" s="31" t="n">
        <f aca="false">VLOOKUP(H23,Paramètres!$A$15:$B$19,2,FALSE())</f>
        <v>1</v>
      </c>
      <c r="J23" s="31" t="n">
        <v>1</v>
      </c>
      <c r="K23" s="50" t="str">
        <f aca="false">C23&amp;"|"&amp;J23</f>
        <v>API-PLAT|1</v>
      </c>
      <c r="L23" s="31"/>
      <c r="M23" s="31" t="n">
        <v>1</v>
      </c>
      <c r="N23" s="51" t="s">
        <v>462</v>
      </c>
      <c r="O23" s="35" t="s">
        <v>78</v>
      </c>
      <c r="P23" s="52"/>
      <c r="Q23" s="52"/>
      <c r="R23" s="33" t="n">
        <f aca="false">INDEX(Épopées!$L$6:$L$59,MATCH(K23,Épopées!$A$6:$A$59,0))</f>
        <v>46335</v>
      </c>
      <c r="S23" s="33" t="n">
        <f aca="false">INDEX(Épopées!$M$6:$M$59,MATCH(K23,Épopées!$A$6:$A$59,0))</f>
        <v>46363</v>
      </c>
      <c r="T23" s="53" t="s">
        <v>463</v>
      </c>
    </row>
    <row r="24" customFormat="false" ht="15" hidden="false" customHeight="false" outlineLevel="0" collapsed="false">
      <c r="A24" s="31" t="s">
        <v>507</v>
      </c>
      <c r="B24" s="31" t="s">
        <v>301</v>
      </c>
      <c r="C24" s="31" t="s">
        <v>186</v>
      </c>
      <c r="D24" s="31" t="s">
        <v>302</v>
      </c>
      <c r="E24" s="31" t="s">
        <v>508</v>
      </c>
      <c r="F24" s="31" t="s">
        <v>460</v>
      </c>
      <c r="G24" s="31" t="s">
        <v>461</v>
      </c>
      <c r="H24" s="31" t="s">
        <v>39</v>
      </c>
      <c r="I24" s="31" t="n">
        <f aca="false">VLOOKUP(H24,Paramètres!$A$15:$B$19,2,FALSE())</f>
        <v>0.5</v>
      </c>
      <c r="J24" s="31" t="n">
        <v>1</v>
      </c>
      <c r="K24" s="50" t="str">
        <f aca="false">C24&amp;"|"&amp;J24</f>
        <v>API-PLAT|1</v>
      </c>
      <c r="L24" s="31" t="s">
        <v>509</v>
      </c>
      <c r="M24" s="31" t="n">
        <v>2</v>
      </c>
      <c r="N24" s="51" t="s">
        <v>462</v>
      </c>
      <c r="O24" s="35" t="s">
        <v>78</v>
      </c>
      <c r="P24" s="52"/>
      <c r="Q24" s="52"/>
      <c r="R24" s="33" t="n">
        <f aca="false">INDEX(Épopées!$L$6:$L$59,MATCH(K24,Épopées!$A$6:$A$59,0))</f>
        <v>46335</v>
      </c>
      <c r="S24" s="33" t="n">
        <f aca="false">INDEX(Épopées!$M$6:$M$59,MATCH(K24,Épopées!$A$6:$A$59,0))</f>
        <v>46363</v>
      </c>
      <c r="T24" s="53" t="s">
        <v>463</v>
      </c>
    </row>
    <row r="25" customFormat="false" ht="15" hidden="false" customHeight="false" outlineLevel="0" collapsed="false">
      <c r="A25" s="31" t="s">
        <v>510</v>
      </c>
      <c r="B25" s="31" t="s">
        <v>301</v>
      </c>
      <c r="C25" s="31" t="s">
        <v>186</v>
      </c>
      <c r="D25" s="31" t="s">
        <v>302</v>
      </c>
      <c r="E25" s="31" t="s">
        <v>511</v>
      </c>
      <c r="F25" s="31" t="s">
        <v>460</v>
      </c>
      <c r="G25" s="31" t="s">
        <v>466</v>
      </c>
      <c r="H25" s="31" t="s">
        <v>41</v>
      </c>
      <c r="I25" s="31" t="n">
        <f aca="false">VLOOKUP(H25,Paramètres!$A$15:$B$19,2,FALSE())</f>
        <v>1</v>
      </c>
      <c r="J25" s="31" t="n">
        <v>1</v>
      </c>
      <c r="K25" s="50" t="str">
        <f aca="false">C25&amp;"|"&amp;J25</f>
        <v>API-PLAT|1</v>
      </c>
      <c r="L25" s="31" t="s">
        <v>505</v>
      </c>
      <c r="M25" s="31" t="n">
        <v>1</v>
      </c>
      <c r="N25" s="51" t="s">
        <v>462</v>
      </c>
      <c r="O25" s="35" t="s">
        <v>78</v>
      </c>
      <c r="P25" s="52"/>
      <c r="Q25" s="52"/>
      <c r="R25" s="33" t="n">
        <f aca="false">INDEX(Épopées!$L$6:$L$59,MATCH(K25,Épopées!$A$6:$A$59,0))</f>
        <v>46335</v>
      </c>
      <c r="S25" s="33" t="n">
        <f aca="false">INDEX(Épopées!$M$6:$M$59,MATCH(K25,Épopées!$A$6:$A$59,0))</f>
        <v>46363</v>
      </c>
      <c r="T25" s="53" t="s">
        <v>463</v>
      </c>
    </row>
    <row r="26" customFormat="false" ht="15" hidden="false" customHeight="false" outlineLevel="0" collapsed="false">
      <c r="A26" s="31" t="s">
        <v>512</v>
      </c>
      <c r="B26" s="31" t="s">
        <v>301</v>
      </c>
      <c r="C26" s="31" t="s">
        <v>186</v>
      </c>
      <c r="D26" s="31" t="s">
        <v>302</v>
      </c>
      <c r="E26" s="31" t="s">
        <v>513</v>
      </c>
      <c r="F26" s="31" t="s">
        <v>460</v>
      </c>
      <c r="G26" s="31" t="s">
        <v>466</v>
      </c>
      <c r="H26" s="31" t="s">
        <v>41</v>
      </c>
      <c r="I26" s="31" t="n">
        <f aca="false">VLOOKUP(H26,Paramètres!$A$15:$B$19,2,FALSE())</f>
        <v>1</v>
      </c>
      <c r="J26" s="31" t="n">
        <v>1</v>
      </c>
      <c r="K26" s="50" t="str">
        <f aca="false">C26&amp;"|"&amp;J26</f>
        <v>API-PLAT|1</v>
      </c>
      <c r="L26" s="31" t="s">
        <v>499</v>
      </c>
      <c r="M26" s="31" t="n">
        <v>1</v>
      </c>
      <c r="N26" s="51" t="s">
        <v>462</v>
      </c>
      <c r="O26" s="35" t="s">
        <v>78</v>
      </c>
      <c r="P26" s="52"/>
      <c r="Q26" s="52"/>
      <c r="R26" s="33" t="n">
        <f aca="false">INDEX(Épopées!$L$6:$L$59,MATCH(K26,Épopées!$A$6:$A$59,0))</f>
        <v>46335</v>
      </c>
      <c r="S26" s="33" t="n">
        <f aca="false">INDEX(Épopées!$M$6:$M$59,MATCH(K26,Épopées!$A$6:$A$59,0))</f>
        <v>46363</v>
      </c>
      <c r="T26" s="53" t="s">
        <v>463</v>
      </c>
    </row>
    <row r="27" customFormat="false" ht="15" hidden="false" customHeight="false" outlineLevel="0" collapsed="false">
      <c r="A27" s="31" t="s">
        <v>514</v>
      </c>
      <c r="B27" s="31" t="s">
        <v>301</v>
      </c>
      <c r="C27" s="31" t="s">
        <v>186</v>
      </c>
      <c r="D27" s="31" t="s">
        <v>302</v>
      </c>
      <c r="E27" s="31" t="s">
        <v>515</v>
      </c>
      <c r="F27" s="31" t="s">
        <v>460</v>
      </c>
      <c r="G27" s="31" t="s">
        <v>466</v>
      </c>
      <c r="H27" s="31" t="s">
        <v>43</v>
      </c>
      <c r="I27" s="31" t="n">
        <f aca="false">VLOOKUP(H27,Paramètres!$A$15:$B$19,2,FALSE())</f>
        <v>2</v>
      </c>
      <c r="J27" s="31" t="n">
        <v>1</v>
      </c>
      <c r="K27" s="50" t="str">
        <f aca="false">C27&amp;"|"&amp;J27</f>
        <v>API-PLAT|1</v>
      </c>
      <c r="L27" s="31"/>
      <c r="M27" s="31" t="n">
        <v>1</v>
      </c>
      <c r="N27" s="51" t="s">
        <v>462</v>
      </c>
      <c r="O27" s="35" t="s">
        <v>78</v>
      </c>
      <c r="P27" s="52"/>
      <c r="Q27" s="52"/>
      <c r="R27" s="33" t="n">
        <f aca="false">INDEX(Épopées!$L$6:$L$59,MATCH(K27,Épopées!$A$6:$A$59,0))</f>
        <v>46335</v>
      </c>
      <c r="S27" s="33" t="n">
        <f aca="false">INDEX(Épopées!$M$6:$M$59,MATCH(K27,Épopées!$A$6:$A$59,0))</f>
        <v>46363</v>
      </c>
      <c r="T27" s="53" t="s">
        <v>463</v>
      </c>
    </row>
    <row r="28" customFormat="false" ht="15" hidden="false" customHeight="false" outlineLevel="0" collapsed="false">
      <c r="A28" s="31" t="s">
        <v>516</v>
      </c>
      <c r="B28" s="31" t="s">
        <v>301</v>
      </c>
      <c r="C28" s="31" t="s">
        <v>186</v>
      </c>
      <c r="D28" s="31" t="s">
        <v>302</v>
      </c>
      <c r="E28" s="31" t="s">
        <v>517</v>
      </c>
      <c r="F28" s="31" t="s">
        <v>460</v>
      </c>
      <c r="G28" s="31" t="s">
        <v>466</v>
      </c>
      <c r="H28" s="31" t="s">
        <v>39</v>
      </c>
      <c r="I28" s="31" t="n">
        <f aca="false">VLOOKUP(H28,Paramètres!$A$15:$B$19,2,FALSE())</f>
        <v>0.5</v>
      </c>
      <c r="J28" s="31" t="n">
        <v>1</v>
      </c>
      <c r="K28" s="50" t="str">
        <f aca="false">C28&amp;"|"&amp;J28</f>
        <v>API-PLAT|1</v>
      </c>
      <c r="L28" s="31" t="s">
        <v>514</v>
      </c>
      <c r="M28" s="31" t="n">
        <v>1</v>
      </c>
      <c r="N28" s="51" t="s">
        <v>462</v>
      </c>
      <c r="O28" s="35" t="s">
        <v>78</v>
      </c>
      <c r="P28" s="52"/>
      <c r="Q28" s="52"/>
      <c r="R28" s="33" t="n">
        <f aca="false">INDEX(Épopées!$L$6:$L$59,MATCH(K28,Épopées!$A$6:$A$59,0))</f>
        <v>46335</v>
      </c>
      <c r="S28" s="33" t="n">
        <f aca="false">INDEX(Épopées!$M$6:$M$59,MATCH(K28,Épopées!$A$6:$A$59,0))</f>
        <v>46363</v>
      </c>
      <c r="T28" s="53" t="s">
        <v>463</v>
      </c>
    </row>
    <row r="29" customFormat="false" ht="15" hidden="false" customHeight="false" outlineLevel="0" collapsed="false">
      <c r="A29" s="31" t="s">
        <v>518</v>
      </c>
      <c r="B29" s="31" t="s">
        <v>301</v>
      </c>
      <c r="C29" s="31" t="s">
        <v>186</v>
      </c>
      <c r="D29" s="31" t="s">
        <v>302</v>
      </c>
      <c r="E29" s="31" t="s">
        <v>519</v>
      </c>
      <c r="F29" s="31" t="s">
        <v>460</v>
      </c>
      <c r="G29" s="31" t="s">
        <v>466</v>
      </c>
      <c r="H29" s="31" t="s">
        <v>41</v>
      </c>
      <c r="I29" s="31" t="n">
        <f aca="false">VLOOKUP(H29,Paramètres!$A$15:$B$19,2,FALSE())</f>
        <v>1</v>
      </c>
      <c r="J29" s="31" t="n">
        <v>1</v>
      </c>
      <c r="K29" s="50" t="str">
        <f aca="false">C29&amp;"|"&amp;J29</f>
        <v>API-PLAT|1</v>
      </c>
      <c r="L29" s="31"/>
      <c r="M29" s="31" t="n">
        <v>1</v>
      </c>
      <c r="N29" s="51" t="s">
        <v>462</v>
      </c>
      <c r="O29" s="35" t="s">
        <v>78</v>
      </c>
      <c r="P29" s="52"/>
      <c r="Q29" s="52"/>
      <c r="R29" s="33" t="n">
        <f aca="false">INDEX(Épopées!$L$6:$L$59,MATCH(K29,Épopées!$A$6:$A$59,0))</f>
        <v>46335</v>
      </c>
      <c r="S29" s="33" t="n">
        <f aca="false">INDEX(Épopées!$M$6:$M$59,MATCH(K29,Épopées!$A$6:$A$59,0))</f>
        <v>46363</v>
      </c>
      <c r="T29" s="53" t="s">
        <v>463</v>
      </c>
    </row>
    <row r="30" customFormat="false" ht="15" hidden="false" customHeight="false" outlineLevel="0" collapsed="false">
      <c r="A30" s="31" t="s">
        <v>520</v>
      </c>
      <c r="B30" s="31" t="s">
        <v>301</v>
      </c>
      <c r="C30" s="31" t="s">
        <v>186</v>
      </c>
      <c r="D30" s="31" t="s">
        <v>302</v>
      </c>
      <c r="E30" s="31" t="s">
        <v>521</v>
      </c>
      <c r="F30" s="31" t="s">
        <v>460</v>
      </c>
      <c r="G30" s="31" t="s">
        <v>466</v>
      </c>
      <c r="H30" s="31" t="s">
        <v>41</v>
      </c>
      <c r="I30" s="31" t="n">
        <f aca="false">VLOOKUP(H30,Paramètres!$A$15:$B$19,2,FALSE())</f>
        <v>1</v>
      </c>
      <c r="J30" s="31" t="n">
        <v>1</v>
      </c>
      <c r="K30" s="50" t="str">
        <f aca="false">C30&amp;"|"&amp;J30</f>
        <v>API-PLAT|1</v>
      </c>
      <c r="L30" s="31" t="s">
        <v>518</v>
      </c>
      <c r="M30" s="31" t="n">
        <v>1</v>
      </c>
      <c r="N30" s="51" t="s">
        <v>462</v>
      </c>
      <c r="O30" s="35" t="s">
        <v>78</v>
      </c>
      <c r="P30" s="52"/>
      <c r="Q30" s="52"/>
      <c r="R30" s="33" t="n">
        <f aca="false">INDEX(Épopées!$L$6:$L$59,MATCH(K30,Épopées!$A$6:$A$59,0))</f>
        <v>46335</v>
      </c>
      <c r="S30" s="33" t="n">
        <f aca="false">INDEX(Épopées!$M$6:$M$59,MATCH(K30,Épopées!$A$6:$A$59,0))</f>
        <v>46363</v>
      </c>
      <c r="T30" s="53" t="s">
        <v>463</v>
      </c>
    </row>
    <row r="31" customFormat="false" ht="15" hidden="false" customHeight="false" outlineLevel="0" collapsed="false">
      <c r="A31" s="31" t="s">
        <v>522</v>
      </c>
      <c r="B31" s="31" t="s">
        <v>301</v>
      </c>
      <c r="C31" s="31" t="s">
        <v>186</v>
      </c>
      <c r="D31" s="31" t="s">
        <v>302</v>
      </c>
      <c r="E31" s="31" t="s">
        <v>523</v>
      </c>
      <c r="F31" s="31" t="s">
        <v>460</v>
      </c>
      <c r="G31" s="31" t="s">
        <v>466</v>
      </c>
      <c r="H31" s="31" t="s">
        <v>43</v>
      </c>
      <c r="I31" s="31" t="n">
        <f aca="false">VLOOKUP(H31,Paramètres!$A$15:$B$19,2,FALSE())</f>
        <v>2</v>
      </c>
      <c r="J31" s="31" t="n">
        <v>1</v>
      </c>
      <c r="K31" s="50" t="str">
        <f aca="false">C31&amp;"|"&amp;J31</f>
        <v>API-PLAT|1</v>
      </c>
      <c r="L31" s="31" t="s">
        <v>524</v>
      </c>
      <c r="M31" s="31" t="n">
        <v>1</v>
      </c>
      <c r="N31" s="51" t="s">
        <v>462</v>
      </c>
      <c r="O31" s="35" t="s">
        <v>78</v>
      </c>
      <c r="P31" s="52"/>
      <c r="Q31" s="52"/>
      <c r="R31" s="33" t="n">
        <f aca="false">INDEX(Épopées!$L$6:$L$59,MATCH(K31,Épopées!$A$6:$A$59,0))</f>
        <v>46335</v>
      </c>
      <c r="S31" s="33" t="n">
        <f aca="false">INDEX(Épopées!$M$6:$M$59,MATCH(K31,Épopées!$A$6:$A$59,0))</f>
        <v>46363</v>
      </c>
      <c r="T31" s="53" t="s">
        <v>463</v>
      </c>
    </row>
    <row r="32" customFormat="false" ht="15" hidden="false" customHeight="false" outlineLevel="0" collapsed="false">
      <c r="A32" s="31" t="s">
        <v>525</v>
      </c>
      <c r="B32" s="31" t="s">
        <v>301</v>
      </c>
      <c r="C32" s="31" t="s">
        <v>186</v>
      </c>
      <c r="D32" s="31" t="s">
        <v>302</v>
      </c>
      <c r="E32" s="31" t="s">
        <v>526</v>
      </c>
      <c r="F32" s="31" t="s">
        <v>460</v>
      </c>
      <c r="G32" s="31" t="s">
        <v>466</v>
      </c>
      <c r="H32" s="31" t="s">
        <v>43</v>
      </c>
      <c r="I32" s="31" t="n">
        <f aca="false">VLOOKUP(H32,Paramètres!$A$15:$B$19,2,FALSE())</f>
        <v>2</v>
      </c>
      <c r="J32" s="31" t="n">
        <v>1</v>
      </c>
      <c r="K32" s="50" t="str">
        <f aca="false">C32&amp;"|"&amp;J32</f>
        <v>API-PLAT|1</v>
      </c>
      <c r="L32" s="31" t="s">
        <v>512</v>
      </c>
      <c r="M32" s="31" t="n">
        <v>2</v>
      </c>
      <c r="N32" s="51" t="s">
        <v>462</v>
      </c>
      <c r="O32" s="35" t="s">
        <v>78</v>
      </c>
      <c r="P32" s="52"/>
      <c r="Q32" s="52"/>
      <c r="R32" s="33" t="n">
        <f aca="false">INDEX(Épopées!$L$6:$L$59,MATCH(K32,Épopées!$A$6:$A$59,0))</f>
        <v>46335</v>
      </c>
      <c r="S32" s="33" t="n">
        <f aca="false">INDEX(Épopées!$M$6:$M$59,MATCH(K32,Épopées!$A$6:$A$59,0))</f>
        <v>46363</v>
      </c>
      <c r="T32" s="53" t="s">
        <v>463</v>
      </c>
    </row>
    <row r="33" customFormat="false" ht="15" hidden="false" customHeight="false" outlineLevel="0" collapsed="false">
      <c r="A33" s="31" t="s">
        <v>527</v>
      </c>
      <c r="B33" s="31" t="s">
        <v>301</v>
      </c>
      <c r="C33" s="31" t="s">
        <v>186</v>
      </c>
      <c r="D33" s="31" t="s">
        <v>302</v>
      </c>
      <c r="E33" s="31" t="s">
        <v>528</v>
      </c>
      <c r="F33" s="31" t="s">
        <v>469</v>
      </c>
      <c r="G33" s="31" t="s">
        <v>466</v>
      </c>
      <c r="H33" s="31" t="s">
        <v>41</v>
      </c>
      <c r="I33" s="31" t="n">
        <f aca="false">VLOOKUP(H33,Paramètres!$A$15:$B$19,2,FALSE())</f>
        <v>1</v>
      </c>
      <c r="J33" s="31" t="n">
        <v>1</v>
      </c>
      <c r="K33" s="50" t="str">
        <f aca="false">C33&amp;"|"&amp;J33</f>
        <v>API-PLAT|1</v>
      </c>
      <c r="L33" s="31"/>
      <c r="M33" s="31" t="n">
        <v>1</v>
      </c>
      <c r="N33" s="51" t="s">
        <v>462</v>
      </c>
      <c r="O33" s="35" t="s">
        <v>78</v>
      </c>
      <c r="P33" s="52"/>
      <c r="Q33" s="52"/>
      <c r="R33" s="33" t="n">
        <f aca="false">INDEX(Épopées!$L$6:$L$59,MATCH(K33,Épopées!$A$6:$A$59,0))</f>
        <v>46335</v>
      </c>
      <c r="S33" s="33" t="n">
        <f aca="false">INDEX(Épopées!$M$6:$M$59,MATCH(K33,Épopées!$A$6:$A$59,0))</f>
        <v>46363</v>
      </c>
      <c r="T33" s="53" t="s">
        <v>463</v>
      </c>
    </row>
    <row r="34" customFormat="false" ht="15" hidden="false" customHeight="false" outlineLevel="0" collapsed="false">
      <c r="A34" s="31" t="s">
        <v>529</v>
      </c>
      <c r="B34" s="31" t="s">
        <v>301</v>
      </c>
      <c r="C34" s="31" t="s">
        <v>186</v>
      </c>
      <c r="D34" s="31" t="s">
        <v>302</v>
      </c>
      <c r="E34" s="31" t="s">
        <v>530</v>
      </c>
      <c r="F34" s="31" t="s">
        <v>469</v>
      </c>
      <c r="G34" s="31" t="s">
        <v>466</v>
      </c>
      <c r="H34" s="31" t="s">
        <v>41</v>
      </c>
      <c r="I34" s="31" t="n">
        <f aca="false">VLOOKUP(H34,Paramètres!$A$15:$B$19,2,FALSE())</f>
        <v>1</v>
      </c>
      <c r="J34" s="31" t="n">
        <v>1</v>
      </c>
      <c r="K34" s="50" t="str">
        <f aca="false">C34&amp;"|"&amp;J34</f>
        <v>API-PLAT|1</v>
      </c>
      <c r="L34" s="31" t="s">
        <v>527</v>
      </c>
      <c r="M34" s="31" t="n">
        <v>6</v>
      </c>
      <c r="N34" s="51" t="s">
        <v>462</v>
      </c>
      <c r="O34" s="35" t="s">
        <v>78</v>
      </c>
      <c r="P34" s="52"/>
      <c r="Q34" s="52"/>
      <c r="R34" s="33" t="n">
        <f aca="false">INDEX(Épopées!$L$6:$L$59,MATCH(K34,Épopées!$A$6:$A$59,0))</f>
        <v>46335</v>
      </c>
      <c r="S34" s="33" t="n">
        <f aca="false">INDEX(Épopées!$M$6:$M$59,MATCH(K34,Épopées!$A$6:$A$59,0))</f>
        <v>46363</v>
      </c>
      <c r="T34" s="53" t="s">
        <v>463</v>
      </c>
    </row>
    <row r="35" customFormat="false" ht="15" hidden="false" customHeight="false" outlineLevel="0" collapsed="false">
      <c r="A35" s="31" t="s">
        <v>531</v>
      </c>
      <c r="B35" s="31" t="s">
        <v>301</v>
      </c>
      <c r="C35" s="31" t="s">
        <v>186</v>
      </c>
      <c r="D35" s="31" t="s">
        <v>302</v>
      </c>
      <c r="E35" s="31" t="s">
        <v>532</v>
      </c>
      <c r="F35" s="31" t="s">
        <v>481</v>
      </c>
      <c r="G35" s="31" t="s">
        <v>461</v>
      </c>
      <c r="H35" s="31" t="s">
        <v>41</v>
      </c>
      <c r="I35" s="31" t="n">
        <f aca="false">VLOOKUP(H35,Paramètres!$A$15:$B$19,2,FALSE())</f>
        <v>1</v>
      </c>
      <c r="J35" s="31" t="n">
        <v>1</v>
      </c>
      <c r="K35" s="50" t="str">
        <f aca="false">C35&amp;"|"&amp;J35</f>
        <v>API-PLAT|1</v>
      </c>
      <c r="L35" s="31"/>
      <c r="M35" s="31" t="n">
        <v>2</v>
      </c>
      <c r="N35" s="51" t="s">
        <v>462</v>
      </c>
      <c r="O35" s="35" t="s">
        <v>78</v>
      </c>
      <c r="P35" s="52"/>
      <c r="Q35" s="52"/>
      <c r="R35" s="33" t="n">
        <f aca="false">INDEX(Épopées!$L$6:$L$59,MATCH(K35,Épopées!$A$6:$A$59,0))</f>
        <v>46335</v>
      </c>
      <c r="S35" s="33" t="n">
        <f aca="false">INDEX(Épopées!$M$6:$M$59,MATCH(K35,Épopées!$A$6:$A$59,0))</f>
        <v>46363</v>
      </c>
      <c r="T35" s="53" t="s">
        <v>463</v>
      </c>
    </row>
    <row r="36" customFormat="false" ht="15" hidden="false" customHeight="false" outlineLevel="0" collapsed="false">
      <c r="A36" s="31" t="s">
        <v>533</v>
      </c>
      <c r="B36" s="31" t="s">
        <v>301</v>
      </c>
      <c r="C36" s="31" t="s">
        <v>186</v>
      </c>
      <c r="D36" s="31" t="s">
        <v>302</v>
      </c>
      <c r="E36" s="31" t="s">
        <v>534</v>
      </c>
      <c r="F36" s="31" t="s">
        <v>481</v>
      </c>
      <c r="G36" s="31" t="s">
        <v>466</v>
      </c>
      <c r="H36" s="31" t="s">
        <v>41</v>
      </c>
      <c r="I36" s="31" t="n">
        <f aca="false">VLOOKUP(H36,Paramètres!$A$15:$B$19,2,FALSE())</f>
        <v>1</v>
      </c>
      <c r="J36" s="31" t="n">
        <v>1</v>
      </c>
      <c r="K36" s="50" t="str">
        <f aca="false">C36&amp;"|"&amp;J36</f>
        <v>API-PLAT|1</v>
      </c>
      <c r="L36" s="31" t="s">
        <v>531</v>
      </c>
      <c r="M36" s="31" t="n">
        <v>2</v>
      </c>
      <c r="N36" s="51" t="s">
        <v>462</v>
      </c>
      <c r="O36" s="35" t="s">
        <v>78</v>
      </c>
      <c r="P36" s="52"/>
      <c r="Q36" s="52"/>
      <c r="R36" s="33" t="n">
        <f aca="false">INDEX(Épopées!$L$6:$L$59,MATCH(K36,Épopées!$A$6:$A$59,0))</f>
        <v>46335</v>
      </c>
      <c r="S36" s="33" t="n">
        <f aca="false">INDEX(Épopées!$M$6:$M$59,MATCH(K36,Épopées!$A$6:$A$59,0))</f>
        <v>46363</v>
      </c>
      <c r="T36" s="53" t="s">
        <v>463</v>
      </c>
    </row>
    <row r="37" customFormat="false" ht="15" hidden="false" customHeight="false" outlineLevel="0" collapsed="false">
      <c r="A37" s="31" t="s">
        <v>535</v>
      </c>
      <c r="B37" s="31" t="s">
        <v>301</v>
      </c>
      <c r="C37" s="31" t="s">
        <v>186</v>
      </c>
      <c r="D37" s="31" t="s">
        <v>302</v>
      </c>
      <c r="E37" s="31" t="s">
        <v>536</v>
      </c>
      <c r="F37" s="31" t="s">
        <v>481</v>
      </c>
      <c r="G37" s="31" t="s">
        <v>461</v>
      </c>
      <c r="H37" s="31" t="s">
        <v>41</v>
      </c>
      <c r="I37" s="31" t="n">
        <f aca="false">VLOOKUP(H37,Paramètres!$A$15:$B$19,2,FALSE())</f>
        <v>1</v>
      </c>
      <c r="J37" s="31" t="n">
        <v>1</v>
      </c>
      <c r="K37" s="50" t="str">
        <f aca="false">C37&amp;"|"&amp;J37</f>
        <v>API-PLAT|1</v>
      </c>
      <c r="L37" s="31" t="s">
        <v>531</v>
      </c>
      <c r="M37" s="31" t="n">
        <v>1</v>
      </c>
      <c r="N37" s="51" t="s">
        <v>462</v>
      </c>
      <c r="O37" s="35" t="s">
        <v>78</v>
      </c>
      <c r="P37" s="52"/>
      <c r="Q37" s="52"/>
      <c r="R37" s="33" t="n">
        <f aca="false">INDEX(Épopées!$L$6:$L$59,MATCH(K37,Épopées!$A$6:$A$59,0))</f>
        <v>46335</v>
      </c>
      <c r="S37" s="33" t="n">
        <f aca="false">INDEX(Épopées!$M$6:$M$59,MATCH(K37,Épopées!$A$6:$A$59,0))</f>
        <v>46363</v>
      </c>
      <c r="T37" s="53" t="s">
        <v>463</v>
      </c>
    </row>
    <row r="38" customFormat="false" ht="15" hidden="false" customHeight="false" outlineLevel="0" collapsed="false">
      <c r="A38" s="31" t="s">
        <v>537</v>
      </c>
      <c r="B38" s="31" t="s">
        <v>301</v>
      </c>
      <c r="C38" s="31" t="s">
        <v>186</v>
      </c>
      <c r="D38" s="31" t="s">
        <v>302</v>
      </c>
      <c r="E38" s="31" t="s">
        <v>538</v>
      </c>
      <c r="F38" s="31" t="s">
        <v>481</v>
      </c>
      <c r="G38" s="31" t="s">
        <v>466</v>
      </c>
      <c r="H38" s="31" t="s">
        <v>41</v>
      </c>
      <c r="I38" s="31" t="n">
        <f aca="false">VLOOKUP(H38,Paramètres!$A$15:$B$19,2,FALSE())</f>
        <v>1</v>
      </c>
      <c r="J38" s="31" t="n">
        <v>1</v>
      </c>
      <c r="K38" s="50" t="str">
        <f aca="false">C38&amp;"|"&amp;J38</f>
        <v>API-PLAT|1</v>
      </c>
      <c r="L38" s="31" t="s">
        <v>531</v>
      </c>
      <c r="M38" s="31" t="n">
        <v>2</v>
      </c>
      <c r="N38" s="51" t="s">
        <v>462</v>
      </c>
      <c r="O38" s="35" t="s">
        <v>78</v>
      </c>
      <c r="P38" s="52"/>
      <c r="Q38" s="52"/>
      <c r="R38" s="33" t="n">
        <f aca="false">INDEX(Épopées!$L$6:$L$59,MATCH(K38,Épopées!$A$6:$A$59,0))</f>
        <v>46335</v>
      </c>
      <c r="S38" s="33" t="n">
        <f aca="false">INDEX(Épopées!$M$6:$M$59,MATCH(K38,Épopées!$A$6:$A$59,0))</f>
        <v>46363</v>
      </c>
      <c r="T38" s="53" t="s">
        <v>463</v>
      </c>
    </row>
    <row r="39" customFormat="false" ht="15" hidden="false" customHeight="false" outlineLevel="0" collapsed="false">
      <c r="A39" s="31" t="s">
        <v>524</v>
      </c>
      <c r="B39" s="31" t="s">
        <v>301</v>
      </c>
      <c r="C39" s="31" t="s">
        <v>186</v>
      </c>
      <c r="D39" s="31" t="s">
        <v>302</v>
      </c>
      <c r="E39" s="31" t="s">
        <v>539</v>
      </c>
      <c r="F39" s="31" t="s">
        <v>481</v>
      </c>
      <c r="G39" s="31" t="s">
        <v>466</v>
      </c>
      <c r="H39" s="31" t="s">
        <v>41</v>
      </c>
      <c r="I39" s="31" t="n">
        <f aca="false">VLOOKUP(H39,Paramètres!$A$15:$B$19,2,FALSE())</f>
        <v>1</v>
      </c>
      <c r="J39" s="31" t="n">
        <v>1</v>
      </c>
      <c r="K39" s="50" t="str">
        <f aca="false">C39&amp;"|"&amp;J39</f>
        <v>API-PLAT|1</v>
      </c>
      <c r="L39" s="31"/>
      <c r="M39" s="31" t="n">
        <v>1</v>
      </c>
      <c r="N39" s="51" t="s">
        <v>462</v>
      </c>
      <c r="O39" s="35" t="s">
        <v>78</v>
      </c>
      <c r="P39" s="52"/>
      <c r="Q39" s="52"/>
      <c r="R39" s="33" t="n">
        <f aca="false">INDEX(Épopées!$L$6:$L$59,MATCH(K39,Épopées!$A$6:$A$59,0))</f>
        <v>46335</v>
      </c>
      <c r="S39" s="33" t="n">
        <f aca="false">INDEX(Épopées!$M$6:$M$59,MATCH(K39,Épopées!$A$6:$A$59,0))</f>
        <v>46363</v>
      </c>
      <c r="T39" s="53" t="s">
        <v>463</v>
      </c>
    </row>
    <row r="40" customFormat="false" ht="15" hidden="false" customHeight="false" outlineLevel="0" collapsed="false">
      <c r="A40" s="31" t="s">
        <v>540</v>
      </c>
      <c r="B40" s="31" t="s">
        <v>301</v>
      </c>
      <c r="C40" s="31" t="s">
        <v>186</v>
      </c>
      <c r="D40" s="31" t="s">
        <v>302</v>
      </c>
      <c r="E40" s="31" t="s">
        <v>541</v>
      </c>
      <c r="F40" s="31" t="s">
        <v>469</v>
      </c>
      <c r="G40" s="31" t="s">
        <v>461</v>
      </c>
      <c r="H40" s="31" t="s">
        <v>39</v>
      </c>
      <c r="I40" s="31" t="n">
        <f aca="false">VLOOKUP(H40,Paramètres!$A$15:$B$19,2,FALSE())</f>
        <v>0.5</v>
      </c>
      <c r="J40" s="31" t="n">
        <v>1</v>
      </c>
      <c r="K40" s="50" t="str">
        <f aca="false">C40&amp;"|"&amp;J40</f>
        <v>API-PLAT|1</v>
      </c>
      <c r="L40" s="31"/>
      <c r="M40" s="31" t="n">
        <v>0</v>
      </c>
      <c r="N40" s="51" t="s">
        <v>462</v>
      </c>
      <c r="O40" s="35" t="s">
        <v>78</v>
      </c>
      <c r="P40" s="52"/>
      <c r="Q40" s="52"/>
      <c r="R40" s="33" t="n">
        <f aca="false">INDEX(Épopées!$L$6:$L$59,MATCH(K40,Épopées!$A$6:$A$59,0))</f>
        <v>46335</v>
      </c>
      <c r="S40" s="33" t="n">
        <f aca="false">INDEX(Épopées!$M$6:$M$59,MATCH(K40,Épopées!$A$6:$A$59,0))</f>
        <v>46363</v>
      </c>
      <c r="T40" s="53" t="s">
        <v>463</v>
      </c>
    </row>
    <row r="41" customFormat="false" ht="15" hidden="false" customHeight="false" outlineLevel="0" collapsed="false">
      <c r="A41" s="31" t="s">
        <v>542</v>
      </c>
      <c r="B41" s="31" t="s">
        <v>301</v>
      </c>
      <c r="C41" s="31" t="s">
        <v>186</v>
      </c>
      <c r="D41" s="31" t="s">
        <v>302</v>
      </c>
      <c r="E41" s="31" t="s">
        <v>543</v>
      </c>
      <c r="F41" s="31" t="s">
        <v>469</v>
      </c>
      <c r="G41" s="31" t="s">
        <v>466</v>
      </c>
      <c r="H41" s="31" t="s">
        <v>41</v>
      </c>
      <c r="I41" s="31" t="n">
        <f aca="false">VLOOKUP(H41,Paramètres!$A$15:$B$19,2,FALSE())</f>
        <v>1</v>
      </c>
      <c r="J41" s="31" t="n">
        <v>1</v>
      </c>
      <c r="K41" s="50" t="str">
        <f aca="false">C41&amp;"|"&amp;J41</f>
        <v>API-PLAT|1</v>
      </c>
      <c r="L41" s="31"/>
      <c r="M41" s="31" t="n">
        <v>0</v>
      </c>
      <c r="N41" s="51" t="s">
        <v>462</v>
      </c>
      <c r="O41" s="35" t="s">
        <v>78</v>
      </c>
      <c r="P41" s="52"/>
      <c r="Q41" s="52"/>
      <c r="R41" s="33" t="n">
        <f aca="false">INDEX(Épopées!$L$6:$L$59,MATCH(K41,Épopées!$A$6:$A$59,0))</f>
        <v>46335</v>
      </c>
      <c r="S41" s="33" t="n">
        <f aca="false">INDEX(Épopées!$M$6:$M$59,MATCH(K41,Épopées!$A$6:$A$59,0))</f>
        <v>46363</v>
      </c>
      <c r="T41" s="53" t="s">
        <v>463</v>
      </c>
    </row>
    <row r="42" customFormat="false" ht="15" hidden="false" customHeight="false" outlineLevel="0" collapsed="false">
      <c r="A42" s="31" t="s">
        <v>544</v>
      </c>
      <c r="B42" s="31" t="s">
        <v>301</v>
      </c>
      <c r="C42" s="31" t="s">
        <v>186</v>
      </c>
      <c r="D42" s="31" t="s">
        <v>302</v>
      </c>
      <c r="E42" s="31" t="s">
        <v>545</v>
      </c>
      <c r="F42" s="31" t="s">
        <v>469</v>
      </c>
      <c r="G42" s="31" t="s">
        <v>466</v>
      </c>
      <c r="H42" s="31" t="s">
        <v>39</v>
      </c>
      <c r="I42" s="31" t="n">
        <f aca="false">VLOOKUP(H42,Paramètres!$A$15:$B$19,2,FALSE())</f>
        <v>0.5</v>
      </c>
      <c r="J42" s="31" t="n">
        <v>1</v>
      </c>
      <c r="K42" s="50" t="str">
        <f aca="false">C42&amp;"|"&amp;J42</f>
        <v>API-PLAT|1</v>
      </c>
      <c r="L42" s="31"/>
      <c r="M42" s="31" t="n">
        <v>0</v>
      </c>
      <c r="N42" s="51" t="s">
        <v>462</v>
      </c>
      <c r="O42" s="35" t="s">
        <v>78</v>
      </c>
      <c r="P42" s="52"/>
      <c r="Q42" s="52"/>
      <c r="R42" s="33" t="n">
        <f aca="false">INDEX(Épopées!$L$6:$L$59,MATCH(K42,Épopées!$A$6:$A$59,0))</f>
        <v>46335</v>
      </c>
      <c r="S42" s="33" t="n">
        <f aca="false">INDEX(Épopées!$M$6:$M$59,MATCH(K42,Épopées!$A$6:$A$59,0))</f>
        <v>46363</v>
      </c>
      <c r="T42" s="53" t="s">
        <v>463</v>
      </c>
    </row>
    <row r="43" customFormat="false" ht="15" hidden="false" customHeight="false" outlineLevel="0" collapsed="false">
      <c r="A43" s="31" t="s">
        <v>546</v>
      </c>
      <c r="B43" s="31" t="s">
        <v>301</v>
      </c>
      <c r="C43" s="31" t="s">
        <v>186</v>
      </c>
      <c r="D43" s="31" t="s">
        <v>302</v>
      </c>
      <c r="E43" s="31" t="s">
        <v>547</v>
      </c>
      <c r="F43" s="31" t="s">
        <v>548</v>
      </c>
      <c r="G43" s="31" t="s">
        <v>466</v>
      </c>
      <c r="H43" s="31" t="s">
        <v>41</v>
      </c>
      <c r="I43" s="31" t="n">
        <f aca="false">VLOOKUP(H43,Paramètres!$A$15:$B$19,2,FALSE())</f>
        <v>1</v>
      </c>
      <c r="J43" s="31" t="n">
        <v>1</v>
      </c>
      <c r="K43" s="50" t="str">
        <f aca="false">C43&amp;"|"&amp;J43</f>
        <v>API-PLAT|1</v>
      </c>
      <c r="L43" s="31"/>
      <c r="M43" s="31" t="n">
        <v>0</v>
      </c>
      <c r="N43" s="51" t="s">
        <v>462</v>
      </c>
      <c r="O43" s="35" t="s">
        <v>78</v>
      </c>
      <c r="P43" s="52"/>
      <c r="Q43" s="52"/>
      <c r="R43" s="33" t="n">
        <f aca="false">INDEX(Épopées!$L$6:$L$59,MATCH(K43,Épopées!$A$6:$A$59,0))</f>
        <v>46335</v>
      </c>
      <c r="S43" s="33" t="n">
        <f aca="false">INDEX(Épopées!$M$6:$M$59,MATCH(K43,Épopées!$A$6:$A$59,0))</f>
        <v>46363</v>
      </c>
      <c r="T43" s="53" t="s">
        <v>463</v>
      </c>
    </row>
    <row r="44" customFormat="false" ht="15" hidden="false" customHeight="false" outlineLevel="0" collapsed="false">
      <c r="A44" s="31" t="s">
        <v>549</v>
      </c>
      <c r="B44" s="31" t="s">
        <v>301</v>
      </c>
      <c r="C44" s="31" t="s">
        <v>186</v>
      </c>
      <c r="D44" s="31" t="s">
        <v>302</v>
      </c>
      <c r="E44" s="31" t="s">
        <v>550</v>
      </c>
      <c r="F44" s="31" t="s">
        <v>548</v>
      </c>
      <c r="G44" s="31" t="s">
        <v>461</v>
      </c>
      <c r="H44" s="31" t="s">
        <v>41</v>
      </c>
      <c r="I44" s="31" t="n">
        <f aca="false">VLOOKUP(H44,Paramètres!$A$15:$B$19,2,FALSE())</f>
        <v>1</v>
      </c>
      <c r="J44" s="31" t="n">
        <v>1</v>
      </c>
      <c r="K44" s="50" t="str">
        <f aca="false">C44&amp;"|"&amp;J44</f>
        <v>API-PLAT|1</v>
      </c>
      <c r="L44" s="31"/>
      <c r="M44" s="31" t="n">
        <v>0</v>
      </c>
      <c r="N44" s="51" t="s">
        <v>462</v>
      </c>
      <c r="O44" s="35" t="s">
        <v>78</v>
      </c>
      <c r="P44" s="52"/>
      <c r="Q44" s="52"/>
      <c r="R44" s="33" t="n">
        <f aca="false">INDEX(Épopées!$L$6:$L$59,MATCH(K44,Épopées!$A$6:$A$59,0))</f>
        <v>46335</v>
      </c>
      <c r="S44" s="33" t="n">
        <f aca="false">INDEX(Épopées!$M$6:$M$59,MATCH(K44,Épopées!$A$6:$A$59,0))</f>
        <v>46363</v>
      </c>
      <c r="T44" s="53" t="s">
        <v>463</v>
      </c>
    </row>
    <row r="45" customFormat="false" ht="15" hidden="false" customHeight="false" outlineLevel="0" collapsed="false">
      <c r="A45" s="31" t="s">
        <v>551</v>
      </c>
      <c r="B45" s="31" t="s">
        <v>301</v>
      </c>
      <c r="C45" s="31" t="s">
        <v>186</v>
      </c>
      <c r="D45" s="31" t="s">
        <v>302</v>
      </c>
      <c r="E45" s="31" t="s">
        <v>552</v>
      </c>
      <c r="F45" s="31" t="s">
        <v>548</v>
      </c>
      <c r="G45" s="31" t="s">
        <v>466</v>
      </c>
      <c r="H45" s="31" t="s">
        <v>39</v>
      </c>
      <c r="I45" s="31" t="n">
        <f aca="false">VLOOKUP(H45,Paramètres!$A$15:$B$19,2,FALSE())</f>
        <v>0.5</v>
      </c>
      <c r="J45" s="31" t="n">
        <v>1</v>
      </c>
      <c r="K45" s="50" t="str">
        <f aca="false">C45&amp;"|"&amp;J45</f>
        <v>API-PLAT|1</v>
      </c>
      <c r="L45" s="31"/>
      <c r="M45" s="31" t="n">
        <v>1</v>
      </c>
      <c r="N45" s="51" t="s">
        <v>462</v>
      </c>
      <c r="O45" s="35" t="s">
        <v>78</v>
      </c>
      <c r="P45" s="52"/>
      <c r="Q45" s="52"/>
      <c r="R45" s="33" t="n">
        <f aca="false">INDEX(Épopées!$L$6:$L$59,MATCH(K45,Épopées!$A$6:$A$59,0))</f>
        <v>46335</v>
      </c>
      <c r="S45" s="33" t="n">
        <f aca="false">INDEX(Épopées!$M$6:$M$59,MATCH(K45,Épopées!$A$6:$A$59,0))</f>
        <v>46363</v>
      </c>
      <c r="T45" s="53" t="s">
        <v>463</v>
      </c>
    </row>
    <row r="46" customFormat="false" ht="15" hidden="false" customHeight="false" outlineLevel="0" collapsed="false">
      <c r="A46" s="31" t="s">
        <v>553</v>
      </c>
      <c r="B46" s="31" t="s">
        <v>301</v>
      </c>
      <c r="C46" s="31" t="s">
        <v>186</v>
      </c>
      <c r="D46" s="31" t="s">
        <v>302</v>
      </c>
      <c r="E46" s="31" t="s">
        <v>554</v>
      </c>
      <c r="F46" s="31" t="s">
        <v>491</v>
      </c>
      <c r="G46" s="31" t="s">
        <v>466</v>
      </c>
      <c r="H46" s="31" t="s">
        <v>41</v>
      </c>
      <c r="I46" s="31" t="n">
        <f aca="false">VLOOKUP(H46,Paramètres!$A$15:$B$19,2,FALSE())</f>
        <v>1</v>
      </c>
      <c r="J46" s="31" t="n">
        <v>1</v>
      </c>
      <c r="K46" s="50" t="str">
        <f aca="false">C46&amp;"|"&amp;J46</f>
        <v>API-PLAT|1</v>
      </c>
      <c r="L46" s="31"/>
      <c r="M46" s="31" t="n">
        <v>2</v>
      </c>
      <c r="N46" s="51" t="s">
        <v>462</v>
      </c>
      <c r="O46" s="35" t="s">
        <v>78</v>
      </c>
      <c r="P46" s="52"/>
      <c r="Q46" s="52"/>
      <c r="R46" s="33" t="n">
        <f aca="false">INDEX(Épopées!$L$6:$L$59,MATCH(K46,Épopées!$A$6:$A$59,0))</f>
        <v>46335</v>
      </c>
      <c r="S46" s="33" t="n">
        <f aca="false">INDEX(Épopées!$M$6:$M$59,MATCH(K46,Épopées!$A$6:$A$59,0))</f>
        <v>46363</v>
      </c>
      <c r="T46" s="53" t="s">
        <v>463</v>
      </c>
    </row>
    <row r="47" customFormat="false" ht="15" hidden="false" customHeight="false" outlineLevel="0" collapsed="false">
      <c r="A47" s="31" t="s">
        <v>555</v>
      </c>
      <c r="B47" s="31" t="s">
        <v>301</v>
      </c>
      <c r="C47" s="31" t="s">
        <v>186</v>
      </c>
      <c r="D47" s="31" t="s">
        <v>302</v>
      </c>
      <c r="E47" s="31" t="s">
        <v>556</v>
      </c>
      <c r="F47" s="31" t="s">
        <v>481</v>
      </c>
      <c r="G47" s="31" t="s">
        <v>466</v>
      </c>
      <c r="H47" s="31" t="s">
        <v>41</v>
      </c>
      <c r="I47" s="31" t="n">
        <f aca="false">VLOOKUP(H47,Paramètres!$A$15:$B$19,2,FALSE())</f>
        <v>1</v>
      </c>
      <c r="J47" s="31" t="n">
        <v>1</v>
      </c>
      <c r="K47" s="50" t="str">
        <f aca="false">C47&amp;"|"&amp;J47</f>
        <v>API-PLAT|1</v>
      </c>
      <c r="L47" s="31"/>
      <c r="M47" s="31" t="n">
        <v>0</v>
      </c>
      <c r="N47" s="51" t="s">
        <v>462</v>
      </c>
      <c r="O47" s="35" t="s">
        <v>78</v>
      </c>
      <c r="P47" s="52"/>
      <c r="Q47" s="52"/>
      <c r="R47" s="33" t="n">
        <f aca="false">INDEX(Épopées!$L$6:$L$59,MATCH(K47,Épopées!$A$6:$A$59,0))</f>
        <v>46335</v>
      </c>
      <c r="S47" s="33" t="n">
        <f aca="false">INDEX(Épopées!$M$6:$M$59,MATCH(K47,Épopées!$A$6:$A$59,0))</f>
        <v>46363</v>
      </c>
      <c r="T47" s="53" t="s">
        <v>463</v>
      </c>
    </row>
    <row r="48" customFormat="false" ht="15" hidden="false" customHeight="false" outlineLevel="0" collapsed="false">
      <c r="A48" s="31" t="s">
        <v>557</v>
      </c>
      <c r="B48" s="31" t="s">
        <v>301</v>
      </c>
      <c r="C48" s="31" t="s">
        <v>186</v>
      </c>
      <c r="D48" s="31" t="s">
        <v>302</v>
      </c>
      <c r="E48" s="31" t="s">
        <v>558</v>
      </c>
      <c r="F48" s="31" t="s">
        <v>472</v>
      </c>
      <c r="G48" s="31" t="s">
        <v>466</v>
      </c>
      <c r="H48" s="31" t="s">
        <v>41</v>
      </c>
      <c r="I48" s="31" t="n">
        <f aca="false">VLOOKUP(H48,Paramètres!$A$15:$B$19,2,FALSE())</f>
        <v>1</v>
      </c>
      <c r="J48" s="31" t="n">
        <v>1</v>
      </c>
      <c r="K48" s="50" t="str">
        <f aca="false">C48&amp;"|"&amp;J48</f>
        <v>API-PLAT|1</v>
      </c>
      <c r="L48" s="31"/>
      <c r="M48" s="31" t="n">
        <v>0</v>
      </c>
      <c r="N48" s="51" t="s">
        <v>462</v>
      </c>
      <c r="O48" s="35" t="s">
        <v>78</v>
      </c>
      <c r="P48" s="52"/>
      <c r="Q48" s="52"/>
      <c r="R48" s="33" t="n">
        <f aca="false">INDEX(Épopées!$L$6:$L$59,MATCH(K48,Épopées!$A$6:$A$59,0))</f>
        <v>46335</v>
      </c>
      <c r="S48" s="33" t="n">
        <f aca="false">INDEX(Épopées!$M$6:$M$59,MATCH(K48,Épopées!$A$6:$A$59,0))</f>
        <v>46363</v>
      </c>
      <c r="T48" s="53" t="s">
        <v>463</v>
      </c>
    </row>
    <row r="49" customFormat="false" ht="15" hidden="false" customHeight="false" outlineLevel="0" collapsed="false">
      <c r="A49" s="31" t="s">
        <v>559</v>
      </c>
      <c r="B49" s="31" t="s">
        <v>301</v>
      </c>
      <c r="C49" s="31" t="s">
        <v>186</v>
      </c>
      <c r="D49" s="31" t="s">
        <v>302</v>
      </c>
      <c r="E49" s="31" t="s">
        <v>560</v>
      </c>
      <c r="F49" s="31" t="s">
        <v>472</v>
      </c>
      <c r="G49" s="31" t="s">
        <v>466</v>
      </c>
      <c r="H49" s="31" t="s">
        <v>41</v>
      </c>
      <c r="I49" s="31" t="n">
        <f aca="false">VLOOKUP(H49,Paramètres!$A$15:$B$19,2,FALSE())</f>
        <v>1</v>
      </c>
      <c r="J49" s="31" t="n">
        <v>1</v>
      </c>
      <c r="K49" s="50" t="str">
        <f aca="false">C49&amp;"|"&amp;J49</f>
        <v>API-PLAT|1</v>
      </c>
      <c r="L49" s="31" t="s">
        <v>561</v>
      </c>
      <c r="M49" s="31" t="n">
        <v>3</v>
      </c>
      <c r="N49" s="51" t="s">
        <v>462</v>
      </c>
      <c r="O49" s="35" t="s">
        <v>78</v>
      </c>
      <c r="P49" s="52"/>
      <c r="Q49" s="52"/>
      <c r="R49" s="33" t="n">
        <f aca="false">INDEX(Épopées!$L$6:$L$59,MATCH(K49,Épopées!$A$6:$A$59,0))</f>
        <v>46335</v>
      </c>
      <c r="S49" s="33" t="n">
        <f aca="false">INDEX(Épopées!$M$6:$M$59,MATCH(K49,Épopées!$A$6:$A$59,0))</f>
        <v>46363</v>
      </c>
      <c r="T49" s="53" t="s">
        <v>463</v>
      </c>
    </row>
    <row r="50" customFormat="false" ht="15" hidden="false" customHeight="false" outlineLevel="0" collapsed="false">
      <c r="A50" s="31" t="s">
        <v>562</v>
      </c>
      <c r="B50" s="31" t="s">
        <v>301</v>
      </c>
      <c r="C50" s="31" t="s">
        <v>186</v>
      </c>
      <c r="D50" s="31" t="s">
        <v>302</v>
      </c>
      <c r="E50" s="31" t="s">
        <v>563</v>
      </c>
      <c r="F50" s="31" t="s">
        <v>486</v>
      </c>
      <c r="G50" s="31" t="s">
        <v>466</v>
      </c>
      <c r="H50" s="31" t="s">
        <v>41</v>
      </c>
      <c r="I50" s="31" t="n">
        <f aca="false">VLOOKUP(H50,Paramètres!$A$15:$B$19,2,FALSE())</f>
        <v>1</v>
      </c>
      <c r="J50" s="31" t="n">
        <v>1</v>
      </c>
      <c r="K50" s="50" t="str">
        <f aca="false">C50&amp;"|"&amp;J50</f>
        <v>API-PLAT|1</v>
      </c>
      <c r="L50" s="31"/>
      <c r="M50" s="31" t="n">
        <v>0</v>
      </c>
      <c r="N50" s="51" t="s">
        <v>462</v>
      </c>
      <c r="O50" s="35" t="s">
        <v>78</v>
      </c>
      <c r="P50" s="52"/>
      <c r="Q50" s="52"/>
      <c r="R50" s="33" t="n">
        <f aca="false">INDEX(Épopées!$L$6:$L$59,MATCH(K50,Épopées!$A$6:$A$59,0))</f>
        <v>46335</v>
      </c>
      <c r="S50" s="33" t="n">
        <f aca="false">INDEX(Épopées!$M$6:$M$59,MATCH(K50,Épopées!$A$6:$A$59,0))</f>
        <v>46363</v>
      </c>
      <c r="T50" s="53" t="s">
        <v>463</v>
      </c>
    </row>
    <row r="51" customFormat="false" ht="15" hidden="false" customHeight="false" outlineLevel="0" collapsed="false">
      <c r="A51" s="31" t="s">
        <v>564</v>
      </c>
      <c r="B51" s="31" t="s">
        <v>301</v>
      </c>
      <c r="C51" s="31" t="s">
        <v>186</v>
      </c>
      <c r="D51" s="31" t="s">
        <v>302</v>
      </c>
      <c r="E51" s="31" t="s">
        <v>565</v>
      </c>
      <c r="F51" s="31" t="s">
        <v>472</v>
      </c>
      <c r="G51" s="31" t="s">
        <v>461</v>
      </c>
      <c r="H51" s="31" t="s">
        <v>41</v>
      </c>
      <c r="I51" s="31" t="n">
        <f aca="false">VLOOKUP(H51,Paramètres!$A$15:$B$19,2,FALSE())</f>
        <v>1</v>
      </c>
      <c r="J51" s="31" t="n">
        <v>1</v>
      </c>
      <c r="K51" s="50" t="str">
        <f aca="false">C51&amp;"|"&amp;J51</f>
        <v>API-PLAT|1</v>
      </c>
      <c r="L51" s="31" t="s">
        <v>477</v>
      </c>
      <c r="M51" s="31" t="n">
        <v>0</v>
      </c>
      <c r="N51" s="51" t="s">
        <v>462</v>
      </c>
      <c r="O51" s="35" t="s">
        <v>78</v>
      </c>
      <c r="P51" s="52"/>
      <c r="Q51" s="52"/>
      <c r="R51" s="33" t="n">
        <f aca="false">INDEX(Épopées!$L$6:$L$59,MATCH(K51,Épopées!$A$6:$A$59,0))</f>
        <v>46335</v>
      </c>
      <c r="S51" s="33" t="n">
        <f aca="false">INDEX(Épopées!$M$6:$M$59,MATCH(K51,Épopées!$A$6:$A$59,0))</f>
        <v>46363</v>
      </c>
      <c r="T51" s="53" t="s">
        <v>463</v>
      </c>
    </row>
    <row r="52" customFormat="false" ht="15" hidden="false" customHeight="false" outlineLevel="0" collapsed="false">
      <c r="A52" s="31" t="s">
        <v>566</v>
      </c>
      <c r="B52" s="31" t="s">
        <v>301</v>
      </c>
      <c r="C52" s="31" t="s">
        <v>186</v>
      </c>
      <c r="D52" s="31" t="s">
        <v>302</v>
      </c>
      <c r="E52" s="31" t="s">
        <v>567</v>
      </c>
      <c r="F52" s="31" t="s">
        <v>481</v>
      </c>
      <c r="G52" s="31" t="s">
        <v>461</v>
      </c>
      <c r="H52" s="31" t="s">
        <v>41</v>
      </c>
      <c r="I52" s="31" t="n">
        <f aca="false">VLOOKUP(H52,Paramètres!$A$15:$B$19,2,FALSE())</f>
        <v>1</v>
      </c>
      <c r="J52" s="31" t="n">
        <v>1</v>
      </c>
      <c r="K52" s="50" t="str">
        <f aca="false">C52&amp;"|"&amp;J52</f>
        <v>API-PLAT|1</v>
      </c>
      <c r="L52" s="31" t="s">
        <v>568</v>
      </c>
      <c r="M52" s="31" t="n">
        <v>0</v>
      </c>
      <c r="N52" s="51" t="s">
        <v>462</v>
      </c>
      <c r="O52" s="35" t="s">
        <v>78</v>
      </c>
      <c r="P52" s="52"/>
      <c r="Q52" s="52"/>
      <c r="R52" s="33" t="n">
        <f aca="false">INDEX(Épopées!$L$6:$L$59,MATCH(K52,Épopées!$A$6:$A$59,0))</f>
        <v>46335</v>
      </c>
      <c r="S52" s="33" t="n">
        <f aca="false">INDEX(Épopées!$M$6:$M$59,MATCH(K52,Épopées!$A$6:$A$59,0))</f>
        <v>46363</v>
      </c>
      <c r="T52" s="53" t="s">
        <v>463</v>
      </c>
    </row>
    <row r="53" customFormat="false" ht="15" hidden="false" customHeight="false" outlineLevel="0" collapsed="false">
      <c r="A53" s="31" t="s">
        <v>569</v>
      </c>
      <c r="B53" s="31" t="s">
        <v>301</v>
      </c>
      <c r="C53" s="31" t="s">
        <v>186</v>
      </c>
      <c r="D53" s="31" t="s">
        <v>302</v>
      </c>
      <c r="E53" s="31" t="s">
        <v>570</v>
      </c>
      <c r="F53" s="31" t="s">
        <v>481</v>
      </c>
      <c r="G53" s="31" t="s">
        <v>466</v>
      </c>
      <c r="H53" s="31" t="s">
        <v>41</v>
      </c>
      <c r="I53" s="31" t="n">
        <f aca="false">VLOOKUP(H53,Paramètres!$A$15:$B$19,2,FALSE())</f>
        <v>1</v>
      </c>
      <c r="J53" s="31" t="n">
        <v>1</v>
      </c>
      <c r="K53" s="50" t="str">
        <f aca="false">C53&amp;"|"&amp;J53</f>
        <v>API-PLAT|1</v>
      </c>
      <c r="L53" s="31"/>
      <c r="M53" s="31" t="n">
        <v>0</v>
      </c>
      <c r="N53" s="51" t="s">
        <v>462</v>
      </c>
      <c r="O53" s="35" t="s">
        <v>78</v>
      </c>
      <c r="P53" s="52"/>
      <c r="Q53" s="52"/>
      <c r="R53" s="33" t="n">
        <f aca="false">INDEX(Épopées!$L$6:$L$59,MATCH(K53,Épopées!$A$6:$A$59,0))</f>
        <v>46335</v>
      </c>
      <c r="S53" s="33" t="n">
        <f aca="false">INDEX(Épopées!$M$6:$M$59,MATCH(K53,Épopées!$A$6:$A$59,0))</f>
        <v>46363</v>
      </c>
      <c r="T53" s="53" t="s">
        <v>463</v>
      </c>
    </row>
    <row r="54" customFormat="false" ht="15" hidden="false" customHeight="false" outlineLevel="0" collapsed="false">
      <c r="A54" s="31" t="s">
        <v>571</v>
      </c>
      <c r="B54" s="31" t="s">
        <v>301</v>
      </c>
      <c r="C54" s="31" t="s">
        <v>186</v>
      </c>
      <c r="D54" s="31" t="s">
        <v>302</v>
      </c>
      <c r="E54" s="31" t="s">
        <v>572</v>
      </c>
      <c r="F54" s="31" t="s">
        <v>503</v>
      </c>
      <c r="G54" s="31" t="s">
        <v>466</v>
      </c>
      <c r="H54" s="31" t="s">
        <v>41</v>
      </c>
      <c r="I54" s="31" t="n">
        <f aca="false">VLOOKUP(H54,Paramètres!$A$15:$B$19,2,FALSE())</f>
        <v>1</v>
      </c>
      <c r="J54" s="31" t="n">
        <v>1</v>
      </c>
      <c r="K54" s="50" t="str">
        <f aca="false">C54&amp;"|"&amp;J54</f>
        <v>API-PLAT|1</v>
      </c>
      <c r="L54" s="31"/>
      <c r="M54" s="31" t="n">
        <v>3</v>
      </c>
      <c r="N54" s="51" t="s">
        <v>462</v>
      </c>
      <c r="O54" s="35" t="s">
        <v>78</v>
      </c>
      <c r="P54" s="52"/>
      <c r="Q54" s="52"/>
      <c r="R54" s="33" t="n">
        <f aca="false">INDEX(Épopées!$L$6:$L$59,MATCH(K54,Épopées!$A$6:$A$59,0))</f>
        <v>46335</v>
      </c>
      <c r="S54" s="33" t="n">
        <f aca="false">INDEX(Épopées!$M$6:$M$59,MATCH(K54,Épopées!$A$6:$A$59,0))</f>
        <v>46363</v>
      </c>
      <c r="T54" s="53" t="s">
        <v>463</v>
      </c>
    </row>
    <row r="55" customFormat="false" ht="15" hidden="false" customHeight="false" outlineLevel="0" collapsed="false">
      <c r="A55" s="31" t="s">
        <v>573</v>
      </c>
      <c r="B55" s="31" t="s">
        <v>301</v>
      </c>
      <c r="C55" s="31" t="s">
        <v>186</v>
      </c>
      <c r="D55" s="31" t="s">
        <v>302</v>
      </c>
      <c r="E55" s="31" t="s">
        <v>574</v>
      </c>
      <c r="F55" s="31" t="s">
        <v>481</v>
      </c>
      <c r="G55" s="31" t="s">
        <v>461</v>
      </c>
      <c r="H55" s="31" t="s">
        <v>41</v>
      </c>
      <c r="I55" s="31" t="n">
        <f aca="false">VLOOKUP(H55,Paramètres!$A$15:$B$19,2,FALSE())</f>
        <v>1</v>
      </c>
      <c r="J55" s="31" t="n">
        <v>1</v>
      </c>
      <c r="K55" s="50" t="str">
        <f aca="false">C55&amp;"|"&amp;J55</f>
        <v>API-PLAT|1</v>
      </c>
      <c r="L55" s="31"/>
      <c r="M55" s="31" t="n">
        <v>1</v>
      </c>
      <c r="N55" s="51" t="s">
        <v>462</v>
      </c>
      <c r="O55" s="35" t="s">
        <v>78</v>
      </c>
      <c r="P55" s="52"/>
      <c r="Q55" s="52"/>
      <c r="R55" s="33" t="n">
        <f aca="false">INDEX(Épopées!$L$6:$L$59,MATCH(K55,Épopées!$A$6:$A$59,0))</f>
        <v>46335</v>
      </c>
      <c r="S55" s="33" t="n">
        <f aca="false">INDEX(Épopées!$M$6:$M$59,MATCH(K55,Épopées!$A$6:$A$59,0))</f>
        <v>46363</v>
      </c>
      <c r="T55" s="53" t="s">
        <v>463</v>
      </c>
    </row>
    <row r="56" customFormat="false" ht="15" hidden="false" customHeight="false" outlineLevel="0" collapsed="false">
      <c r="A56" s="31" t="s">
        <v>575</v>
      </c>
      <c r="B56" s="31" t="s">
        <v>301</v>
      </c>
      <c r="C56" s="31" t="s">
        <v>186</v>
      </c>
      <c r="D56" s="31" t="s">
        <v>302</v>
      </c>
      <c r="E56" s="31" t="s">
        <v>576</v>
      </c>
      <c r="F56" s="31" t="s">
        <v>481</v>
      </c>
      <c r="G56" s="31" t="s">
        <v>466</v>
      </c>
      <c r="H56" s="31" t="s">
        <v>41</v>
      </c>
      <c r="I56" s="31" t="n">
        <f aca="false">VLOOKUP(H56,Paramètres!$A$15:$B$19,2,FALSE())</f>
        <v>1</v>
      </c>
      <c r="J56" s="31" t="n">
        <v>1</v>
      </c>
      <c r="K56" s="50" t="str">
        <f aca="false">C56&amp;"|"&amp;J56</f>
        <v>API-PLAT|1</v>
      </c>
      <c r="L56" s="31" t="s">
        <v>573</v>
      </c>
      <c r="M56" s="31" t="n">
        <v>0</v>
      </c>
      <c r="N56" s="51" t="s">
        <v>462</v>
      </c>
      <c r="O56" s="35" t="s">
        <v>78</v>
      </c>
      <c r="P56" s="52"/>
      <c r="Q56" s="52"/>
      <c r="R56" s="33" t="n">
        <f aca="false">INDEX(Épopées!$L$6:$L$59,MATCH(K56,Épopées!$A$6:$A$59,0))</f>
        <v>46335</v>
      </c>
      <c r="S56" s="33" t="n">
        <f aca="false">INDEX(Épopées!$M$6:$M$59,MATCH(K56,Épopées!$A$6:$A$59,0))</f>
        <v>46363</v>
      </c>
      <c r="T56" s="53" t="s">
        <v>463</v>
      </c>
    </row>
    <row r="57" customFormat="false" ht="15" hidden="false" customHeight="false" outlineLevel="0" collapsed="false">
      <c r="A57" s="31" t="s">
        <v>577</v>
      </c>
      <c r="B57" s="31" t="s">
        <v>301</v>
      </c>
      <c r="C57" s="31" t="s">
        <v>186</v>
      </c>
      <c r="D57" s="31" t="s">
        <v>302</v>
      </c>
      <c r="E57" s="31" t="s">
        <v>578</v>
      </c>
      <c r="F57" s="31" t="s">
        <v>579</v>
      </c>
      <c r="G57" s="31" t="s">
        <v>466</v>
      </c>
      <c r="H57" s="31" t="s">
        <v>41</v>
      </c>
      <c r="I57" s="31" t="n">
        <f aca="false">VLOOKUP(H57,Paramètres!$A$15:$B$19,2,FALSE())</f>
        <v>1</v>
      </c>
      <c r="J57" s="31" t="n">
        <v>1</v>
      </c>
      <c r="K57" s="50" t="str">
        <f aca="false">C57&amp;"|"&amp;J57</f>
        <v>API-PLAT|1</v>
      </c>
      <c r="L57" s="31"/>
      <c r="M57" s="31" t="n">
        <v>0</v>
      </c>
      <c r="N57" s="51" t="s">
        <v>462</v>
      </c>
      <c r="O57" s="35" t="s">
        <v>78</v>
      </c>
      <c r="P57" s="52"/>
      <c r="Q57" s="52"/>
      <c r="R57" s="33" t="n">
        <f aca="false">INDEX(Épopées!$L$6:$L$59,MATCH(K57,Épopées!$A$6:$A$59,0))</f>
        <v>46335</v>
      </c>
      <c r="S57" s="33" t="n">
        <f aca="false">INDEX(Épopées!$M$6:$M$59,MATCH(K57,Épopées!$A$6:$A$59,0))</f>
        <v>46363</v>
      </c>
      <c r="T57" s="53" t="s">
        <v>463</v>
      </c>
    </row>
    <row r="58" customFormat="false" ht="15" hidden="false" customHeight="false" outlineLevel="0" collapsed="false">
      <c r="A58" s="31" t="s">
        <v>580</v>
      </c>
      <c r="B58" s="31" t="s">
        <v>301</v>
      </c>
      <c r="C58" s="31" t="s">
        <v>186</v>
      </c>
      <c r="D58" s="31" t="s">
        <v>302</v>
      </c>
      <c r="E58" s="31" t="s">
        <v>581</v>
      </c>
      <c r="F58" s="31" t="s">
        <v>491</v>
      </c>
      <c r="G58" s="31" t="s">
        <v>466</v>
      </c>
      <c r="H58" s="31" t="s">
        <v>41</v>
      </c>
      <c r="I58" s="31" t="n">
        <f aca="false">VLOOKUP(H58,Paramètres!$A$15:$B$19,2,FALSE())</f>
        <v>1</v>
      </c>
      <c r="J58" s="31" t="n">
        <v>1</v>
      </c>
      <c r="K58" s="50" t="str">
        <f aca="false">C58&amp;"|"&amp;J58</f>
        <v>API-PLAT|1</v>
      </c>
      <c r="L58" s="31"/>
      <c r="M58" s="31" t="n">
        <v>1</v>
      </c>
      <c r="N58" s="51" t="s">
        <v>462</v>
      </c>
      <c r="O58" s="35" t="s">
        <v>78</v>
      </c>
      <c r="P58" s="52"/>
      <c r="Q58" s="52"/>
      <c r="R58" s="33" t="n">
        <f aca="false">INDEX(Épopées!$L$6:$L$59,MATCH(K58,Épopées!$A$6:$A$59,0))</f>
        <v>46335</v>
      </c>
      <c r="S58" s="33" t="n">
        <f aca="false">INDEX(Épopées!$M$6:$M$59,MATCH(K58,Épopées!$A$6:$A$59,0))</f>
        <v>46363</v>
      </c>
      <c r="T58" s="53" t="s">
        <v>463</v>
      </c>
    </row>
    <row r="59" customFormat="false" ht="15" hidden="false" customHeight="false" outlineLevel="0" collapsed="false">
      <c r="A59" s="31" t="s">
        <v>582</v>
      </c>
      <c r="B59" s="31" t="s">
        <v>301</v>
      </c>
      <c r="C59" s="31" t="s">
        <v>186</v>
      </c>
      <c r="D59" s="31" t="s">
        <v>302</v>
      </c>
      <c r="E59" s="31" t="s">
        <v>583</v>
      </c>
      <c r="F59" s="31" t="s">
        <v>579</v>
      </c>
      <c r="G59" s="31" t="s">
        <v>466</v>
      </c>
      <c r="H59" s="31" t="s">
        <v>41</v>
      </c>
      <c r="I59" s="31" t="n">
        <f aca="false">VLOOKUP(H59,Paramètres!$A$15:$B$19,2,FALSE())</f>
        <v>1</v>
      </c>
      <c r="J59" s="31" t="n">
        <v>1</v>
      </c>
      <c r="K59" s="50" t="str">
        <f aca="false">C59&amp;"|"&amp;J59</f>
        <v>API-PLAT|1</v>
      </c>
      <c r="L59" s="31"/>
      <c r="M59" s="31" t="n">
        <v>2</v>
      </c>
      <c r="N59" s="51" t="s">
        <v>462</v>
      </c>
      <c r="O59" s="35" t="s">
        <v>78</v>
      </c>
      <c r="P59" s="52"/>
      <c r="Q59" s="52"/>
      <c r="R59" s="33" t="n">
        <f aca="false">INDEX(Épopées!$L$6:$L$59,MATCH(K59,Épopées!$A$6:$A$59,0))</f>
        <v>46335</v>
      </c>
      <c r="S59" s="33" t="n">
        <f aca="false">INDEX(Épopées!$M$6:$M$59,MATCH(K59,Épopées!$A$6:$A$59,0))</f>
        <v>46363</v>
      </c>
      <c r="T59" s="53" t="s">
        <v>463</v>
      </c>
    </row>
    <row r="60" customFormat="false" ht="15" hidden="false" customHeight="false" outlineLevel="0" collapsed="false">
      <c r="A60" s="31" t="s">
        <v>584</v>
      </c>
      <c r="B60" s="31" t="s">
        <v>301</v>
      </c>
      <c r="C60" s="31" t="s">
        <v>186</v>
      </c>
      <c r="D60" s="31" t="s">
        <v>302</v>
      </c>
      <c r="E60" s="31" t="s">
        <v>585</v>
      </c>
      <c r="F60" s="31" t="s">
        <v>503</v>
      </c>
      <c r="G60" s="31" t="s">
        <v>466</v>
      </c>
      <c r="H60" s="31" t="s">
        <v>39</v>
      </c>
      <c r="I60" s="31" t="n">
        <f aca="false">VLOOKUP(H60,Paramètres!$A$15:$B$19,2,FALSE())</f>
        <v>0.5</v>
      </c>
      <c r="J60" s="31" t="n">
        <v>1</v>
      </c>
      <c r="K60" s="50" t="str">
        <f aca="false">C60&amp;"|"&amp;J60</f>
        <v>API-PLAT|1</v>
      </c>
      <c r="L60" s="31"/>
      <c r="M60" s="31" t="n">
        <v>14</v>
      </c>
      <c r="N60" s="51" t="s">
        <v>462</v>
      </c>
      <c r="O60" s="35" t="s">
        <v>78</v>
      </c>
      <c r="P60" s="52"/>
      <c r="Q60" s="52"/>
      <c r="R60" s="33" t="n">
        <f aca="false">INDEX(Épopées!$L$6:$L$59,MATCH(K60,Épopées!$A$6:$A$59,0))</f>
        <v>46335</v>
      </c>
      <c r="S60" s="33" t="n">
        <f aca="false">INDEX(Épopées!$M$6:$M$59,MATCH(K60,Épopées!$A$6:$A$59,0))</f>
        <v>46363</v>
      </c>
      <c r="T60" s="53" t="s">
        <v>463</v>
      </c>
    </row>
    <row r="61" customFormat="false" ht="15" hidden="false" customHeight="false" outlineLevel="0" collapsed="false">
      <c r="A61" s="31" t="s">
        <v>586</v>
      </c>
      <c r="B61" s="31" t="s">
        <v>301</v>
      </c>
      <c r="C61" s="31" t="s">
        <v>304</v>
      </c>
      <c r="D61" s="31" t="s">
        <v>305</v>
      </c>
      <c r="E61" s="31" t="s">
        <v>587</v>
      </c>
      <c r="F61" s="31" t="s">
        <v>588</v>
      </c>
      <c r="G61" s="31" t="s">
        <v>461</v>
      </c>
      <c r="H61" s="31" t="s">
        <v>43</v>
      </c>
      <c r="I61" s="31" t="n">
        <f aca="false">VLOOKUP(H61,Paramètres!$A$15:$B$19,2,FALSE())</f>
        <v>2</v>
      </c>
      <c r="J61" s="31" t="n">
        <v>1</v>
      </c>
      <c r="K61" s="50" t="str">
        <f aca="false">C61&amp;"|"&amp;J61</f>
        <v>API-AUTH|1</v>
      </c>
      <c r="L61" s="31" t="s">
        <v>489</v>
      </c>
      <c r="M61" s="31" t="n">
        <v>4</v>
      </c>
      <c r="N61" s="51" t="s">
        <v>462</v>
      </c>
      <c r="O61" s="35" t="s">
        <v>78</v>
      </c>
      <c r="P61" s="52"/>
      <c r="Q61" s="52"/>
      <c r="R61" s="33" t="n">
        <f aca="false">INDEX(Épopées!$L$6:$L$59,MATCH(K61,Épopées!$A$6:$A$59,0))</f>
        <v>46364</v>
      </c>
      <c r="S61" s="33" t="n">
        <f aca="false">INDEX(Épopées!$M$6:$M$59,MATCH(K61,Épopées!$A$6:$A$59,0))</f>
        <v>46398</v>
      </c>
      <c r="T61" s="53" t="s">
        <v>463</v>
      </c>
    </row>
    <row r="62" customFormat="false" ht="15" hidden="false" customHeight="false" outlineLevel="0" collapsed="false">
      <c r="A62" s="31" t="s">
        <v>589</v>
      </c>
      <c r="B62" s="31" t="s">
        <v>301</v>
      </c>
      <c r="C62" s="31" t="s">
        <v>304</v>
      </c>
      <c r="D62" s="31" t="s">
        <v>305</v>
      </c>
      <c r="E62" s="31" t="s">
        <v>590</v>
      </c>
      <c r="F62" s="31" t="s">
        <v>491</v>
      </c>
      <c r="G62" s="31" t="s">
        <v>461</v>
      </c>
      <c r="H62" s="31" t="s">
        <v>41</v>
      </c>
      <c r="I62" s="31" t="n">
        <f aca="false">VLOOKUP(H62,Paramètres!$A$15:$B$19,2,FALSE())</f>
        <v>1</v>
      </c>
      <c r="J62" s="31" t="n">
        <v>1</v>
      </c>
      <c r="K62" s="50" t="str">
        <f aca="false">C62&amp;"|"&amp;J62</f>
        <v>API-AUTH|1</v>
      </c>
      <c r="L62" s="31" t="s">
        <v>586</v>
      </c>
      <c r="M62" s="31" t="n">
        <v>3</v>
      </c>
      <c r="N62" s="51" t="s">
        <v>462</v>
      </c>
      <c r="O62" s="35" t="s">
        <v>78</v>
      </c>
      <c r="P62" s="52"/>
      <c r="Q62" s="52"/>
      <c r="R62" s="33" t="n">
        <f aca="false">INDEX(Épopées!$L$6:$L$59,MATCH(K62,Épopées!$A$6:$A$59,0))</f>
        <v>46364</v>
      </c>
      <c r="S62" s="33" t="n">
        <f aca="false">INDEX(Épopées!$M$6:$M$59,MATCH(K62,Épopées!$A$6:$A$59,0))</f>
        <v>46398</v>
      </c>
      <c r="T62" s="53" t="s">
        <v>463</v>
      </c>
    </row>
    <row r="63" customFormat="false" ht="15" hidden="false" customHeight="false" outlineLevel="0" collapsed="false">
      <c r="A63" s="31" t="s">
        <v>591</v>
      </c>
      <c r="B63" s="31" t="s">
        <v>301</v>
      </c>
      <c r="C63" s="31" t="s">
        <v>304</v>
      </c>
      <c r="D63" s="31" t="s">
        <v>305</v>
      </c>
      <c r="E63" s="31" t="s">
        <v>592</v>
      </c>
      <c r="F63" s="31" t="s">
        <v>491</v>
      </c>
      <c r="G63" s="31" t="s">
        <v>461</v>
      </c>
      <c r="H63" s="31" t="s">
        <v>41</v>
      </c>
      <c r="I63" s="31" t="n">
        <f aca="false">VLOOKUP(H63,Paramètres!$A$15:$B$19,2,FALSE())</f>
        <v>1</v>
      </c>
      <c r="J63" s="31" t="n">
        <v>1</v>
      </c>
      <c r="K63" s="50" t="str">
        <f aca="false">C63&amp;"|"&amp;J63</f>
        <v>API-AUTH|1</v>
      </c>
      <c r="L63" s="31" t="s">
        <v>589</v>
      </c>
      <c r="M63" s="31" t="n">
        <v>4</v>
      </c>
      <c r="N63" s="51" t="s">
        <v>462</v>
      </c>
      <c r="O63" s="35" t="s">
        <v>78</v>
      </c>
      <c r="P63" s="52"/>
      <c r="Q63" s="52"/>
      <c r="R63" s="33" t="n">
        <f aca="false">INDEX(Épopées!$L$6:$L$59,MATCH(K63,Épopées!$A$6:$A$59,0))</f>
        <v>46364</v>
      </c>
      <c r="S63" s="33" t="n">
        <f aca="false">INDEX(Épopées!$M$6:$M$59,MATCH(K63,Épopées!$A$6:$A$59,0))</f>
        <v>46398</v>
      </c>
      <c r="T63" s="53" t="s">
        <v>463</v>
      </c>
    </row>
    <row r="64" customFormat="false" ht="15" hidden="false" customHeight="false" outlineLevel="0" collapsed="false">
      <c r="A64" s="31" t="s">
        <v>593</v>
      </c>
      <c r="B64" s="31" t="s">
        <v>301</v>
      </c>
      <c r="C64" s="31" t="s">
        <v>304</v>
      </c>
      <c r="D64" s="31" t="s">
        <v>305</v>
      </c>
      <c r="E64" s="31" t="s">
        <v>594</v>
      </c>
      <c r="F64" s="31" t="s">
        <v>469</v>
      </c>
      <c r="G64" s="31" t="s">
        <v>466</v>
      </c>
      <c r="H64" s="31" t="s">
        <v>41</v>
      </c>
      <c r="I64" s="31" t="n">
        <f aca="false">VLOOKUP(H64,Paramètres!$A$15:$B$19,2,FALSE())</f>
        <v>1</v>
      </c>
      <c r="J64" s="31" t="n">
        <v>1</v>
      </c>
      <c r="K64" s="50" t="str">
        <f aca="false">C64&amp;"|"&amp;J64</f>
        <v>API-AUTH|1</v>
      </c>
      <c r="L64" s="31" t="s">
        <v>591</v>
      </c>
      <c r="M64" s="31" t="n">
        <v>5</v>
      </c>
      <c r="N64" s="51" t="s">
        <v>462</v>
      </c>
      <c r="O64" s="35" t="s">
        <v>78</v>
      </c>
      <c r="P64" s="52"/>
      <c r="Q64" s="52"/>
      <c r="R64" s="33" t="n">
        <f aca="false">INDEX(Épopées!$L$6:$L$59,MATCH(K64,Épopées!$A$6:$A$59,0))</f>
        <v>46364</v>
      </c>
      <c r="S64" s="33" t="n">
        <f aca="false">INDEX(Épopées!$M$6:$M$59,MATCH(K64,Épopées!$A$6:$A$59,0))</f>
        <v>46398</v>
      </c>
      <c r="T64" s="53" t="s">
        <v>463</v>
      </c>
    </row>
    <row r="65" customFormat="false" ht="15" hidden="false" customHeight="false" outlineLevel="0" collapsed="false">
      <c r="A65" s="31" t="s">
        <v>595</v>
      </c>
      <c r="B65" s="31" t="s">
        <v>301</v>
      </c>
      <c r="C65" s="31" t="s">
        <v>304</v>
      </c>
      <c r="D65" s="31" t="s">
        <v>305</v>
      </c>
      <c r="E65" s="31" t="s">
        <v>596</v>
      </c>
      <c r="F65" s="31" t="s">
        <v>469</v>
      </c>
      <c r="G65" s="31" t="s">
        <v>461</v>
      </c>
      <c r="H65" s="31" t="s">
        <v>41</v>
      </c>
      <c r="I65" s="31" t="n">
        <f aca="false">VLOOKUP(H65,Paramètres!$A$15:$B$19,2,FALSE())</f>
        <v>1</v>
      </c>
      <c r="J65" s="31" t="n">
        <v>1</v>
      </c>
      <c r="K65" s="50" t="str">
        <f aca="false">C65&amp;"|"&amp;J65</f>
        <v>API-AUTH|1</v>
      </c>
      <c r="L65" s="31"/>
      <c r="M65" s="31" t="n">
        <v>2</v>
      </c>
      <c r="N65" s="51" t="s">
        <v>462</v>
      </c>
      <c r="O65" s="35" t="s">
        <v>78</v>
      </c>
      <c r="P65" s="52"/>
      <c r="Q65" s="52"/>
      <c r="R65" s="33" t="n">
        <f aca="false">INDEX(Épopées!$L$6:$L$59,MATCH(K65,Épopées!$A$6:$A$59,0))</f>
        <v>46364</v>
      </c>
      <c r="S65" s="33" t="n">
        <f aca="false">INDEX(Épopées!$M$6:$M$59,MATCH(K65,Épopées!$A$6:$A$59,0))</f>
        <v>46398</v>
      </c>
      <c r="T65" s="53" t="s">
        <v>463</v>
      </c>
    </row>
    <row r="66" customFormat="false" ht="15" hidden="false" customHeight="false" outlineLevel="0" collapsed="false">
      <c r="A66" s="31" t="s">
        <v>597</v>
      </c>
      <c r="B66" s="31" t="s">
        <v>301</v>
      </c>
      <c r="C66" s="31" t="s">
        <v>304</v>
      </c>
      <c r="D66" s="31" t="s">
        <v>305</v>
      </c>
      <c r="E66" s="31" t="s">
        <v>598</v>
      </c>
      <c r="F66" s="31" t="s">
        <v>491</v>
      </c>
      <c r="G66" s="31" t="s">
        <v>461</v>
      </c>
      <c r="H66" s="31" t="s">
        <v>41</v>
      </c>
      <c r="I66" s="31" t="n">
        <f aca="false">VLOOKUP(H66,Paramètres!$A$15:$B$19,2,FALSE())</f>
        <v>1</v>
      </c>
      <c r="J66" s="31" t="n">
        <v>1</v>
      </c>
      <c r="K66" s="50" t="str">
        <f aca="false">C66&amp;"|"&amp;J66</f>
        <v>API-AUTH|1</v>
      </c>
      <c r="L66" s="31" t="s">
        <v>595</v>
      </c>
      <c r="M66" s="31" t="n">
        <v>4</v>
      </c>
      <c r="N66" s="51" t="s">
        <v>462</v>
      </c>
      <c r="O66" s="35" t="s">
        <v>78</v>
      </c>
      <c r="P66" s="52"/>
      <c r="Q66" s="52"/>
      <c r="R66" s="33" t="n">
        <f aca="false">INDEX(Épopées!$L$6:$L$59,MATCH(K66,Épopées!$A$6:$A$59,0))</f>
        <v>46364</v>
      </c>
      <c r="S66" s="33" t="n">
        <f aca="false">INDEX(Épopées!$M$6:$M$59,MATCH(K66,Épopées!$A$6:$A$59,0))</f>
        <v>46398</v>
      </c>
      <c r="T66" s="53" t="s">
        <v>463</v>
      </c>
    </row>
    <row r="67" customFormat="false" ht="15" hidden="false" customHeight="false" outlineLevel="0" collapsed="false">
      <c r="A67" s="31" t="s">
        <v>599</v>
      </c>
      <c r="B67" s="31" t="s">
        <v>301</v>
      </c>
      <c r="C67" s="31" t="s">
        <v>304</v>
      </c>
      <c r="D67" s="31" t="s">
        <v>305</v>
      </c>
      <c r="E67" s="31" t="s">
        <v>600</v>
      </c>
      <c r="F67" s="31" t="s">
        <v>460</v>
      </c>
      <c r="G67" s="31" t="s">
        <v>461</v>
      </c>
      <c r="H67" s="31" t="s">
        <v>39</v>
      </c>
      <c r="I67" s="31" t="n">
        <f aca="false">VLOOKUP(H67,Paramètres!$A$15:$B$19,2,FALSE())</f>
        <v>0.5</v>
      </c>
      <c r="J67" s="31" t="n">
        <v>1</v>
      </c>
      <c r="K67" s="50" t="str">
        <f aca="false">C67&amp;"|"&amp;J67</f>
        <v>API-AUTH|1</v>
      </c>
      <c r="L67" s="31" t="s">
        <v>597</v>
      </c>
      <c r="M67" s="31" t="n">
        <v>2</v>
      </c>
      <c r="N67" s="51" t="s">
        <v>462</v>
      </c>
      <c r="O67" s="35" t="s">
        <v>78</v>
      </c>
      <c r="P67" s="52"/>
      <c r="Q67" s="52"/>
      <c r="R67" s="33" t="n">
        <f aca="false">INDEX(Épopées!$L$6:$L$59,MATCH(K67,Épopées!$A$6:$A$59,0))</f>
        <v>46364</v>
      </c>
      <c r="S67" s="33" t="n">
        <f aca="false">INDEX(Épopées!$M$6:$M$59,MATCH(K67,Épopées!$A$6:$A$59,0))</f>
        <v>46398</v>
      </c>
      <c r="T67" s="53" t="s">
        <v>463</v>
      </c>
    </row>
    <row r="68" customFormat="false" ht="15" hidden="false" customHeight="false" outlineLevel="0" collapsed="false">
      <c r="A68" s="31" t="s">
        <v>601</v>
      </c>
      <c r="B68" s="31" t="s">
        <v>301</v>
      </c>
      <c r="C68" s="31" t="s">
        <v>304</v>
      </c>
      <c r="D68" s="31" t="s">
        <v>305</v>
      </c>
      <c r="E68" s="31" t="s">
        <v>602</v>
      </c>
      <c r="F68" s="31" t="s">
        <v>491</v>
      </c>
      <c r="G68" s="31" t="s">
        <v>461</v>
      </c>
      <c r="H68" s="31" t="s">
        <v>43</v>
      </c>
      <c r="I68" s="31" t="n">
        <f aca="false">VLOOKUP(H68,Paramètres!$A$15:$B$19,2,FALSE())</f>
        <v>2</v>
      </c>
      <c r="J68" s="31" t="n">
        <v>1</v>
      </c>
      <c r="K68" s="50" t="str">
        <f aca="false">C68&amp;"|"&amp;J68</f>
        <v>API-AUTH|1</v>
      </c>
      <c r="L68" s="31" t="s">
        <v>603</v>
      </c>
      <c r="M68" s="31" t="n">
        <v>3</v>
      </c>
      <c r="N68" s="51" t="s">
        <v>462</v>
      </c>
      <c r="O68" s="35" t="s">
        <v>78</v>
      </c>
      <c r="P68" s="52"/>
      <c r="Q68" s="52"/>
      <c r="R68" s="33" t="n">
        <f aca="false">INDEX(Épopées!$L$6:$L$59,MATCH(K68,Épopées!$A$6:$A$59,0))</f>
        <v>46364</v>
      </c>
      <c r="S68" s="33" t="n">
        <f aca="false">INDEX(Épopées!$M$6:$M$59,MATCH(K68,Épopées!$A$6:$A$59,0))</f>
        <v>46398</v>
      </c>
      <c r="T68" s="53" t="s">
        <v>463</v>
      </c>
    </row>
    <row r="69" customFormat="false" ht="15" hidden="false" customHeight="false" outlineLevel="0" collapsed="false">
      <c r="A69" s="31" t="s">
        <v>604</v>
      </c>
      <c r="B69" s="31" t="s">
        <v>301</v>
      </c>
      <c r="C69" s="31" t="s">
        <v>304</v>
      </c>
      <c r="D69" s="31" t="s">
        <v>305</v>
      </c>
      <c r="E69" s="31" t="s">
        <v>605</v>
      </c>
      <c r="F69" s="31" t="s">
        <v>491</v>
      </c>
      <c r="G69" s="31" t="s">
        <v>461</v>
      </c>
      <c r="H69" s="31" t="s">
        <v>43</v>
      </c>
      <c r="I69" s="31" t="n">
        <f aca="false">VLOOKUP(H69,Paramètres!$A$15:$B$19,2,FALSE())</f>
        <v>2</v>
      </c>
      <c r="J69" s="31" t="n">
        <v>1</v>
      </c>
      <c r="K69" s="50" t="str">
        <f aca="false">C69&amp;"|"&amp;J69</f>
        <v>API-AUTH|1</v>
      </c>
      <c r="L69" s="31" t="s">
        <v>601</v>
      </c>
      <c r="M69" s="31" t="n">
        <v>3</v>
      </c>
      <c r="N69" s="51" t="s">
        <v>462</v>
      </c>
      <c r="O69" s="35" t="s">
        <v>78</v>
      </c>
      <c r="P69" s="52"/>
      <c r="Q69" s="52"/>
      <c r="R69" s="33" t="n">
        <f aca="false">INDEX(Épopées!$L$6:$L$59,MATCH(K69,Épopées!$A$6:$A$59,0))</f>
        <v>46364</v>
      </c>
      <c r="S69" s="33" t="n">
        <f aca="false">INDEX(Épopées!$M$6:$M$59,MATCH(K69,Épopées!$A$6:$A$59,0))</f>
        <v>46398</v>
      </c>
      <c r="T69" s="53" t="s">
        <v>463</v>
      </c>
    </row>
    <row r="70" customFormat="false" ht="15" hidden="false" customHeight="false" outlineLevel="0" collapsed="false">
      <c r="A70" s="31" t="s">
        <v>606</v>
      </c>
      <c r="B70" s="31" t="s">
        <v>301</v>
      </c>
      <c r="C70" s="31" t="s">
        <v>304</v>
      </c>
      <c r="D70" s="31" t="s">
        <v>305</v>
      </c>
      <c r="E70" s="31" t="s">
        <v>607</v>
      </c>
      <c r="F70" s="31" t="s">
        <v>491</v>
      </c>
      <c r="G70" s="31" t="s">
        <v>466</v>
      </c>
      <c r="H70" s="31" t="s">
        <v>41</v>
      </c>
      <c r="I70" s="31" t="n">
        <f aca="false">VLOOKUP(H70,Paramètres!$A$15:$B$19,2,FALSE())</f>
        <v>1</v>
      </c>
      <c r="J70" s="31" t="n">
        <v>1</v>
      </c>
      <c r="K70" s="50" t="str">
        <f aca="false">C70&amp;"|"&amp;J70</f>
        <v>API-AUTH|1</v>
      </c>
      <c r="L70" s="31" t="s">
        <v>604</v>
      </c>
      <c r="M70" s="31" t="n">
        <v>3</v>
      </c>
      <c r="N70" s="51" t="s">
        <v>462</v>
      </c>
      <c r="O70" s="35" t="s">
        <v>78</v>
      </c>
      <c r="P70" s="52"/>
      <c r="Q70" s="52"/>
      <c r="R70" s="33" t="n">
        <f aca="false">INDEX(Épopées!$L$6:$L$59,MATCH(K70,Épopées!$A$6:$A$59,0))</f>
        <v>46364</v>
      </c>
      <c r="S70" s="33" t="n">
        <f aca="false">INDEX(Épopées!$M$6:$M$59,MATCH(K70,Épopées!$A$6:$A$59,0))</f>
        <v>46398</v>
      </c>
      <c r="T70" s="53" t="s">
        <v>463</v>
      </c>
    </row>
    <row r="71" customFormat="false" ht="15" hidden="false" customHeight="false" outlineLevel="0" collapsed="false">
      <c r="A71" s="31" t="s">
        <v>608</v>
      </c>
      <c r="B71" s="31" t="s">
        <v>301</v>
      </c>
      <c r="C71" s="31" t="s">
        <v>304</v>
      </c>
      <c r="D71" s="31" t="s">
        <v>305</v>
      </c>
      <c r="E71" s="31" t="s">
        <v>609</v>
      </c>
      <c r="F71" s="31" t="s">
        <v>469</v>
      </c>
      <c r="G71" s="31" t="s">
        <v>461</v>
      </c>
      <c r="H71" s="31" t="s">
        <v>41</v>
      </c>
      <c r="I71" s="31" t="n">
        <f aca="false">VLOOKUP(H71,Paramètres!$A$15:$B$19,2,FALSE())</f>
        <v>1</v>
      </c>
      <c r="J71" s="31" t="n">
        <v>1</v>
      </c>
      <c r="K71" s="50" t="str">
        <f aca="false">C71&amp;"|"&amp;J71</f>
        <v>API-AUTH|1</v>
      </c>
      <c r="L71" s="31"/>
      <c r="M71" s="31" t="n">
        <v>1</v>
      </c>
      <c r="N71" s="51" t="s">
        <v>462</v>
      </c>
      <c r="O71" s="35" t="s">
        <v>78</v>
      </c>
      <c r="P71" s="52"/>
      <c r="Q71" s="52"/>
      <c r="R71" s="33" t="n">
        <f aca="false">INDEX(Épopées!$L$6:$L$59,MATCH(K71,Épopées!$A$6:$A$59,0))</f>
        <v>46364</v>
      </c>
      <c r="S71" s="33" t="n">
        <f aca="false">INDEX(Épopées!$M$6:$M$59,MATCH(K71,Épopées!$A$6:$A$59,0))</f>
        <v>46398</v>
      </c>
      <c r="T71" s="53" t="s">
        <v>463</v>
      </c>
    </row>
    <row r="72" customFormat="false" ht="15" hidden="false" customHeight="false" outlineLevel="0" collapsed="false">
      <c r="A72" s="31" t="s">
        <v>610</v>
      </c>
      <c r="B72" s="31" t="s">
        <v>301</v>
      </c>
      <c r="C72" s="31" t="s">
        <v>304</v>
      </c>
      <c r="D72" s="31" t="s">
        <v>305</v>
      </c>
      <c r="E72" s="31" t="s">
        <v>611</v>
      </c>
      <c r="F72" s="31" t="s">
        <v>491</v>
      </c>
      <c r="G72" s="31" t="s">
        <v>612</v>
      </c>
      <c r="H72" s="31" t="s">
        <v>39</v>
      </c>
      <c r="I72" s="31" t="n">
        <f aca="false">VLOOKUP(H72,Paramètres!$A$15:$B$19,2,FALSE())</f>
        <v>0.5</v>
      </c>
      <c r="J72" s="31" t="n">
        <v>1</v>
      </c>
      <c r="K72" s="50" t="str">
        <f aca="false">C72&amp;"|"&amp;J72</f>
        <v>API-AUTH|1</v>
      </c>
      <c r="L72" s="31" t="s">
        <v>608</v>
      </c>
      <c r="M72" s="31" t="n">
        <v>1</v>
      </c>
      <c r="N72" s="51" t="s">
        <v>462</v>
      </c>
      <c r="O72" s="35" t="s">
        <v>78</v>
      </c>
      <c r="P72" s="52"/>
      <c r="Q72" s="52"/>
      <c r="R72" s="33" t="n">
        <f aca="false">INDEX(Épopées!$L$6:$L$59,MATCH(K72,Épopées!$A$6:$A$59,0))</f>
        <v>46364</v>
      </c>
      <c r="S72" s="33" t="n">
        <f aca="false">INDEX(Épopées!$M$6:$M$59,MATCH(K72,Épopées!$A$6:$A$59,0))</f>
        <v>46398</v>
      </c>
      <c r="T72" s="53" t="s">
        <v>463</v>
      </c>
    </row>
    <row r="73" customFormat="false" ht="15" hidden="false" customHeight="false" outlineLevel="0" collapsed="false">
      <c r="A73" s="31" t="s">
        <v>613</v>
      </c>
      <c r="B73" s="31" t="s">
        <v>301</v>
      </c>
      <c r="C73" s="31" t="s">
        <v>304</v>
      </c>
      <c r="D73" s="31" t="s">
        <v>305</v>
      </c>
      <c r="E73" s="31" t="s">
        <v>614</v>
      </c>
      <c r="F73" s="31" t="s">
        <v>460</v>
      </c>
      <c r="G73" s="31" t="s">
        <v>466</v>
      </c>
      <c r="H73" s="31" t="s">
        <v>41</v>
      </c>
      <c r="I73" s="31" t="n">
        <f aca="false">VLOOKUP(H73,Paramètres!$A$15:$B$19,2,FALSE())</f>
        <v>1</v>
      </c>
      <c r="J73" s="31" t="n">
        <v>1</v>
      </c>
      <c r="K73" s="50" t="str">
        <f aca="false">C73&amp;"|"&amp;J73</f>
        <v>API-AUTH|1</v>
      </c>
      <c r="L73" s="31" t="s">
        <v>599</v>
      </c>
      <c r="M73" s="31" t="n">
        <v>2</v>
      </c>
      <c r="N73" s="51" t="s">
        <v>462</v>
      </c>
      <c r="O73" s="35" t="s">
        <v>78</v>
      </c>
      <c r="P73" s="52"/>
      <c r="Q73" s="52"/>
      <c r="R73" s="33" t="n">
        <f aca="false">INDEX(Épopées!$L$6:$L$59,MATCH(K73,Épopées!$A$6:$A$59,0))</f>
        <v>46364</v>
      </c>
      <c r="S73" s="33" t="n">
        <f aca="false">INDEX(Épopées!$M$6:$M$59,MATCH(K73,Épopées!$A$6:$A$59,0))</f>
        <v>46398</v>
      </c>
      <c r="T73" s="53" t="s">
        <v>463</v>
      </c>
    </row>
    <row r="74" customFormat="false" ht="15" hidden="false" customHeight="false" outlineLevel="0" collapsed="false">
      <c r="A74" s="31" t="s">
        <v>615</v>
      </c>
      <c r="B74" s="31" t="s">
        <v>301</v>
      </c>
      <c r="C74" s="31" t="s">
        <v>304</v>
      </c>
      <c r="D74" s="31" t="s">
        <v>305</v>
      </c>
      <c r="E74" s="31" t="s">
        <v>616</v>
      </c>
      <c r="F74" s="31" t="s">
        <v>491</v>
      </c>
      <c r="G74" s="31" t="s">
        <v>466</v>
      </c>
      <c r="H74" s="31" t="s">
        <v>39</v>
      </c>
      <c r="I74" s="31" t="n">
        <f aca="false">VLOOKUP(H74,Paramètres!$A$15:$B$19,2,FALSE())</f>
        <v>0.5</v>
      </c>
      <c r="J74" s="31" t="n">
        <v>1</v>
      </c>
      <c r="K74" s="50" t="str">
        <f aca="false">C74&amp;"|"&amp;J74</f>
        <v>API-AUTH|1</v>
      </c>
      <c r="L74" s="31" t="s">
        <v>613</v>
      </c>
      <c r="M74" s="31" t="n">
        <v>3</v>
      </c>
      <c r="N74" s="51" t="s">
        <v>462</v>
      </c>
      <c r="O74" s="35" t="s">
        <v>78</v>
      </c>
      <c r="P74" s="52"/>
      <c r="Q74" s="52"/>
      <c r="R74" s="33" t="n">
        <f aca="false">INDEX(Épopées!$L$6:$L$59,MATCH(K74,Épopées!$A$6:$A$59,0))</f>
        <v>46364</v>
      </c>
      <c r="S74" s="33" t="n">
        <f aca="false">INDEX(Épopées!$M$6:$M$59,MATCH(K74,Épopées!$A$6:$A$59,0))</f>
        <v>46398</v>
      </c>
      <c r="T74" s="53" t="s">
        <v>463</v>
      </c>
    </row>
    <row r="75" customFormat="false" ht="15" hidden="false" customHeight="false" outlineLevel="0" collapsed="false">
      <c r="A75" s="31" t="s">
        <v>617</v>
      </c>
      <c r="B75" s="31" t="s">
        <v>301</v>
      </c>
      <c r="C75" s="31" t="s">
        <v>304</v>
      </c>
      <c r="D75" s="31" t="s">
        <v>305</v>
      </c>
      <c r="E75" s="31" t="s">
        <v>618</v>
      </c>
      <c r="F75" s="31" t="s">
        <v>491</v>
      </c>
      <c r="G75" s="31" t="s">
        <v>461</v>
      </c>
      <c r="H75" s="31" t="s">
        <v>41</v>
      </c>
      <c r="I75" s="31" t="n">
        <f aca="false">VLOOKUP(H75,Paramètres!$A$15:$B$19,2,FALSE())</f>
        <v>1</v>
      </c>
      <c r="J75" s="31" t="n">
        <v>1</v>
      </c>
      <c r="K75" s="50" t="str">
        <f aca="false">C75&amp;"|"&amp;J75</f>
        <v>API-AUTH|1</v>
      </c>
      <c r="L75" s="31" t="s">
        <v>586</v>
      </c>
      <c r="M75" s="31" t="n">
        <v>3</v>
      </c>
      <c r="N75" s="51" t="s">
        <v>462</v>
      </c>
      <c r="O75" s="35" t="s">
        <v>78</v>
      </c>
      <c r="P75" s="52"/>
      <c r="Q75" s="52"/>
      <c r="R75" s="33" t="n">
        <f aca="false">INDEX(Épopées!$L$6:$L$59,MATCH(K75,Épopées!$A$6:$A$59,0))</f>
        <v>46364</v>
      </c>
      <c r="S75" s="33" t="n">
        <f aca="false">INDEX(Épopées!$M$6:$M$59,MATCH(K75,Épopées!$A$6:$A$59,0))</f>
        <v>46398</v>
      </c>
      <c r="T75" s="53" t="s">
        <v>463</v>
      </c>
    </row>
    <row r="76" customFormat="false" ht="15" hidden="false" customHeight="false" outlineLevel="0" collapsed="false">
      <c r="A76" s="31" t="s">
        <v>619</v>
      </c>
      <c r="B76" s="31" t="s">
        <v>301</v>
      </c>
      <c r="C76" s="31" t="s">
        <v>304</v>
      </c>
      <c r="D76" s="31" t="s">
        <v>305</v>
      </c>
      <c r="E76" s="31" t="s">
        <v>620</v>
      </c>
      <c r="F76" s="31" t="s">
        <v>469</v>
      </c>
      <c r="G76" s="31" t="s">
        <v>461</v>
      </c>
      <c r="H76" s="31" t="s">
        <v>41</v>
      </c>
      <c r="I76" s="31" t="n">
        <f aca="false">VLOOKUP(H76,Paramètres!$A$15:$B$19,2,FALSE())</f>
        <v>1</v>
      </c>
      <c r="J76" s="31" t="n">
        <v>1</v>
      </c>
      <c r="K76" s="50" t="str">
        <f aca="false">C76&amp;"|"&amp;J76</f>
        <v>API-AUTH|1</v>
      </c>
      <c r="L76" s="31" t="s">
        <v>621</v>
      </c>
      <c r="M76" s="31" t="n">
        <v>2</v>
      </c>
      <c r="N76" s="51" t="s">
        <v>462</v>
      </c>
      <c r="O76" s="35" t="s">
        <v>78</v>
      </c>
      <c r="P76" s="52"/>
      <c r="Q76" s="52"/>
      <c r="R76" s="33" t="n">
        <f aca="false">INDEX(Épopées!$L$6:$L$59,MATCH(K76,Épopées!$A$6:$A$59,0))</f>
        <v>46364</v>
      </c>
      <c r="S76" s="33" t="n">
        <f aca="false">INDEX(Épopées!$M$6:$M$59,MATCH(K76,Épopées!$A$6:$A$59,0))</f>
        <v>46398</v>
      </c>
      <c r="T76" s="53" t="s">
        <v>463</v>
      </c>
    </row>
    <row r="77" customFormat="false" ht="15" hidden="false" customHeight="false" outlineLevel="0" collapsed="false">
      <c r="A77" s="31" t="s">
        <v>622</v>
      </c>
      <c r="B77" s="31" t="s">
        <v>301</v>
      </c>
      <c r="C77" s="31" t="s">
        <v>304</v>
      </c>
      <c r="D77" s="31" t="s">
        <v>305</v>
      </c>
      <c r="E77" s="31" t="s">
        <v>623</v>
      </c>
      <c r="F77" s="31" t="s">
        <v>491</v>
      </c>
      <c r="G77" s="31" t="s">
        <v>466</v>
      </c>
      <c r="H77" s="31" t="s">
        <v>39</v>
      </c>
      <c r="I77" s="31" t="n">
        <f aca="false">VLOOKUP(H77,Paramètres!$A$15:$B$19,2,FALSE())</f>
        <v>0.5</v>
      </c>
      <c r="J77" s="31" t="n">
        <v>1</v>
      </c>
      <c r="K77" s="50" t="str">
        <f aca="false">C77&amp;"|"&amp;J77</f>
        <v>API-AUTH|1</v>
      </c>
      <c r="L77" s="31" t="s">
        <v>619</v>
      </c>
      <c r="M77" s="31" t="n">
        <v>2</v>
      </c>
      <c r="N77" s="51" t="s">
        <v>462</v>
      </c>
      <c r="O77" s="35" t="s">
        <v>78</v>
      </c>
      <c r="P77" s="52"/>
      <c r="Q77" s="52"/>
      <c r="R77" s="33" t="n">
        <f aca="false">INDEX(Épopées!$L$6:$L$59,MATCH(K77,Épopées!$A$6:$A$59,0))</f>
        <v>46364</v>
      </c>
      <c r="S77" s="33" t="n">
        <f aca="false">INDEX(Épopées!$M$6:$M$59,MATCH(K77,Épopées!$A$6:$A$59,0))</f>
        <v>46398</v>
      </c>
      <c r="T77" s="53" t="s">
        <v>463</v>
      </c>
    </row>
    <row r="78" customFormat="false" ht="15" hidden="false" customHeight="false" outlineLevel="0" collapsed="false">
      <c r="A78" s="31" t="s">
        <v>624</v>
      </c>
      <c r="B78" s="31" t="s">
        <v>301</v>
      </c>
      <c r="C78" s="31" t="s">
        <v>304</v>
      </c>
      <c r="D78" s="31" t="s">
        <v>305</v>
      </c>
      <c r="E78" s="31" t="s">
        <v>625</v>
      </c>
      <c r="F78" s="31" t="s">
        <v>491</v>
      </c>
      <c r="G78" s="31" t="s">
        <v>466</v>
      </c>
      <c r="H78" s="31" t="s">
        <v>41</v>
      </c>
      <c r="I78" s="31" t="n">
        <f aca="false">VLOOKUP(H78,Paramètres!$A$15:$B$19,2,FALSE())</f>
        <v>1</v>
      </c>
      <c r="J78" s="31" t="n">
        <v>1</v>
      </c>
      <c r="K78" s="50" t="str">
        <f aca="false">C78&amp;"|"&amp;J78</f>
        <v>API-AUTH|1</v>
      </c>
      <c r="L78" s="31" t="s">
        <v>626</v>
      </c>
      <c r="M78" s="31" t="n">
        <v>2</v>
      </c>
      <c r="N78" s="51" t="s">
        <v>462</v>
      </c>
      <c r="O78" s="35" t="s">
        <v>78</v>
      </c>
      <c r="P78" s="52"/>
      <c r="Q78" s="52"/>
      <c r="R78" s="33" t="n">
        <f aca="false">INDEX(Épopées!$L$6:$L$59,MATCH(K78,Épopées!$A$6:$A$59,0))</f>
        <v>46364</v>
      </c>
      <c r="S78" s="33" t="n">
        <f aca="false">INDEX(Épopées!$M$6:$M$59,MATCH(K78,Épopées!$A$6:$A$59,0))</f>
        <v>46398</v>
      </c>
      <c r="T78" s="53" t="s">
        <v>463</v>
      </c>
    </row>
    <row r="79" customFormat="false" ht="15" hidden="false" customHeight="false" outlineLevel="0" collapsed="false">
      <c r="A79" s="31" t="s">
        <v>627</v>
      </c>
      <c r="B79" s="31" t="s">
        <v>301</v>
      </c>
      <c r="C79" s="31" t="s">
        <v>304</v>
      </c>
      <c r="D79" s="31" t="s">
        <v>305</v>
      </c>
      <c r="E79" s="31" t="s">
        <v>628</v>
      </c>
      <c r="F79" s="31" t="s">
        <v>579</v>
      </c>
      <c r="G79" s="31" t="s">
        <v>461</v>
      </c>
      <c r="H79" s="31" t="s">
        <v>41</v>
      </c>
      <c r="I79" s="31" t="n">
        <f aca="false">VLOOKUP(H79,Paramètres!$A$15:$B$19,2,FALSE())</f>
        <v>1</v>
      </c>
      <c r="J79" s="31" t="n">
        <v>1</v>
      </c>
      <c r="K79" s="50" t="str">
        <f aca="false">C79&amp;"|"&amp;J79</f>
        <v>API-AUTH|1</v>
      </c>
      <c r="L79" s="31"/>
      <c r="M79" s="31" t="n">
        <v>3</v>
      </c>
      <c r="N79" s="51" t="s">
        <v>462</v>
      </c>
      <c r="O79" s="35" t="s">
        <v>78</v>
      </c>
      <c r="P79" s="52"/>
      <c r="Q79" s="52"/>
      <c r="R79" s="33" t="n">
        <f aca="false">INDEX(Épopées!$L$6:$L$59,MATCH(K79,Épopées!$A$6:$A$59,0))</f>
        <v>46364</v>
      </c>
      <c r="S79" s="33" t="n">
        <f aca="false">INDEX(Épopées!$M$6:$M$59,MATCH(K79,Épopées!$A$6:$A$59,0))</f>
        <v>46398</v>
      </c>
      <c r="T79" s="53" t="s">
        <v>463</v>
      </c>
    </row>
    <row r="80" customFormat="false" ht="15" hidden="false" customHeight="false" outlineLevel="0" collapsed="false">
      <c r="A80" s="31" t="s">
        <v>629</v>
      </c>
      <c r="B80" s="31" t="s">
        <v>301</v>
      </c>
      <c r="C80" s="31" t="s">
        <v>304</v>
      </c>
      <c r="D80" s="31" t="s">
        <v>305</v>
      </c>
      <c r="E80" s="31" t="s">
        <v>630</v>
      </c>
      <c r="F80" s="31" t="s">
        <v>579</v>
      </c>
      <c r="G80" s="31" t="s">
        <v>466</v>
      </c>
      <c r="H80" s="31" t="s">
        <v>41</v>
      </c>
      <c r="I80" s="31" t="n">
        <f aca="false">VLOOKUP(H80,Paramètres!$A$15:$B$19,2,FALSE())</f>
        <v>1</v>
      </c>
      <c r="J80" s="31" t="n">
        <v>1</v>
      </c>
      <c r="K80" s="50" t="str">
        <f aca="false">C80&amp;"|"&amp;J80</f>
        <v>API-AUTH|1</v>
      </c>
      <c r="L80" s="31" t="s">
        <v>627</v>
      </c>
      <c r="M80" s="31" t="n">
        <v>3</v>
      </c>
      <c r="N80" s="51" t="s">
        <v>462</v>
      </c>
      <c r="O80" s="35" t="s">
        <v>78</v>
      </c>
      <c r="P80" s="52"/>
      <c r="Q80" s="52"/>
      <c r="R80" s="33" t="n">
        <f aca="false">INDEX(Épopées!$L$6:$L$59,MATCH(K80,Épopées!$A$6:$A$59,0))</f>
        <v>46364</v>
      </c>
      <c r="S80" s="33" t="n">
        <f aca="false">INDEX(Épopées!$M$6:$M$59,MATCH(K80,Épopées!$A$6:$A$59,0))</f>
        <v>46398</v>
      </c>
      <c r="T80" s="53" t="s">
        <v>463</v>
      </c>
    </row>
    <row r="81" customFormat="false" ht="15" hidden="false" customHeight="false" outlineLevel="0" collapsed="false">
      <c r="A81" s="31" t="s">
        <v>631</v>
      </c>
      <c r="B81" s="31" t="s">
        <v>301</v>
      </c>
      <c r="C81" s="31" t="s">
        <v>304</v>
      </c>
      <c r="D81" s="31" t="s">
        <v>305</v>
      </c>
      <c r="E81" s="31" t="s">
        <v>632</v>
      </c>
      <c r="F81" s="31" t="s">
        <v>579</v>
      </c>
      <c r="G81" s="31" t="s">
        <v>466</v>
      </c>
      <c r="H81" s="31" t="s">
        <v>41</v>
      </c>
      <c r="I81" s="31" t="n">
        <f aca="false">VLOOKUP(H81,Paramètres!$A$15:$B$19,2,FALSE())</f>
        <v>1</v>
      </c>
      <c r="J81" s="31" t="n">
        <v>1</v>
      </c>
      <c r="K81" s="50" t="str">
        <f aca="false">C81&amp;"|"&amp;J81</f>
        <v>API-AUTH|1</v>
      </c>
      <c r="L81" s="31" t="s">
        <v>627</v>
      </c>
      <c r="M81" s="31" t="n">
        <v>2</v>
      </c>
      <c r="N81" s="51" t="s">
        <v>462</v>
      </c>
      <c r="O81" s="35" t="s">
        <v>78</v>
      </c>
      <c r="P81" s="52"/>
      <c r="Q81" s="52"/>
      <c r="R81" s="33" t="n">
        <f aca="false">INDEX(Épopées!$L$6:$L$59,MATCH(K81,Épopées!$A$6:$A$59,0))</f>
        <v>46364</v>
      </c>
      <c r="S81" s="33" t="n">
        <f aca="false">INDEX(Épopées!$M$6:$M$59,MATCH(K81,Épopées!$A$6:$A$59,0))</f>
        <v>46398</v>
      </c>
      <c r="T81" s="53" t="s">
        <v>463</v>
      </c>
    </row>
    <row r="82" customFormat="false" ht="15" hidden="false" customHeight="false" outlineLevel="0" collapsed="false">
      <c r="A82" s="31" t="s">
        <v>633</v>
      </c>
      <c r="B82" s="31" t="s">
        <v>301</v>
      </c>
      <c r="C82" s="31" t="s">
        <v>304</v>
      </c>
      <c r="D82" s="31" t="s">
        <v>305</v>
      </c>
      <c r="E82" s="31" t="s">
        <v>634</v>
      </c>
      <c r="F82" s="31" t="s">
        <v>579</v>
      </c>
      <c r="G82" s="31" t="s">
        <v>461</v>
      </c>
      <c r="H82" s="31" t="s">
        <v>43</v>
      </c>
      <c r="I82" s="31" t="n">
        <f aca="false">VLOOKUP(H82,Paramètres!$A$15:$B$19,2,FALSE())</f>
        <v>2</v>
      </c>
      <c r="J82" s="31" t="n">
        <v>1</v>
      </c>
      <c r="K82" s="50" t="str">
        <f aca="false">C82&amp;"|"&amp;J82</f>
        <v>API-AUTH|1</v>
      </c>
      <c r="L82" s="31" t="s">
        <v>635</v>
      </c>
      <c r="M82" s="31" t="n">
        <v>3</v>
      </c>
      <c r="N82" s="51" t="s">
        <v>462</v>
      </c>
      <c r="O82" s="35" t="s">
        <v>78</v>
      </c>
      <c r="P82" s="52"/>
      <c r="Q82" s="52"/>
      <c r="R82" s="33" t="n">
        <f aca="false">INDEX(Épopées!$L$6:$L$59,MATCH(K82,Épopées!$A$6:$A$59,0))</f>
        <v>46364</v>
      </c>
      <c r="S82" s="33" t="n">
        <f aca="false">INDEX(Épopées!$M$6:$M$59,MATCH(K82,Épopées!$A$6:$A$59,0))</f>
        <v>46398</v>
      </c>
      <c r="T82" s="53" t="s">
        <v>463</v>
      </c>
    </row>
    <row r="83" customFormat="false" ht="15" hidden="false" customHeight="false" outlineLevel="0" collapsed="false">
      <c r="A83" s="31" t="s">
        <v>636</v>
      </c>
      <c r="B83" s="31" t="s">
        <v>301</v>
      </c>
      <c r="C83" s="31" t="s">
        <v>304</v>
      </c>
      <c r="D83" s="31" t="s">
        <v>305</v>
      </c>
      <c r="E83" s="31" t="s">
        <v>637</v>
      </c>
      <c r="F83" s="31" t="s">
        <v>579</v>
      </c>
      <c r="G83" s="31" t="s">
        <v>461</v>
      </c>
      <c r="H83" s="31" t="s">
        <v>43</v>
      </c>
      <c r="I83" s="31" t="n">
        <f aca="false">VLOOKUP(H83,Paramètres!$A$15:$B$19,2,FALSE())</f>
        <v>2</v>
      </c>
      <c r="J83" s="31" t="n">
        <v>1</v>
      </c>
      <c r="K83" s="50" t="str">
        <f aca="false">C83&amp;"|"&amp;J83</f>
        <v>API-AUTH|1</v>
      </c>
      <c r="L83" s="31" t="s">
        <v>638</v>
      </c>
      <c r="M83" s="31" t="n">
        <v>2</v>
      </c>
      <c r="N83" s="51" t="s">
        <v>462</v>
      </c>
      <c r="O83" s="35" t="s">
        <v>78</v>
      </c>
      <c r="P83" s="52"/>
      <c r="Q83" s="52"/>
      <c r="R83" s="33" t="n">
        <f aca="false">INDEX(Épopées!$L$6:$L$59,MATCH(K83,Épopées!$A$6:$A$59,0))</f>
        <v>46364</v>
      </c>
      <c r="S83" s="33" t="n">
        <f aca="false">INDEX(Épopées!$M$6:$M$59,MATCH(K83,Épopées!$A$6:$A$59,0))</f>
        <v>46398</v>
      </c>
      <c r="T83" s="53" t="s">
        <v>463</v>
      </c>
    </row>
    <row r="84" customFormat="false" ht="15" hidden="false" customHeight="false" outlineLevel="0" collapsed="false">
      <c r="A84" s="31" t="s">
        <v>639</v>
      </c>
      <c r="B84" s="31" t="s">
        <v>301</v>
      </c>
      <c r="C84" s="31" t="s">
        <v>304</v>
      </c>
      <c r="D84" s="31" t="s">
        <v>305</v>
      </c>
      <c r="E84" s="31" t="s">
        <v>640</v>
      </c>
      <c r="F84" s="31" t="s">
        <v>579</v>
      </c>
      <c r="G84" s="31" t="s">
        <v>461</v>
      </c>
      <c r="H84" s="31" t="s">
        <v>41</v>
      </c>
      <c r="I84" s="31" t="n">
        <f aca="false">VLOOKUP(H84,Paramètres!$A$15:$B$19,2,FALSE())</f>
        <v>1</v>
      </c>
      <c r="J84" s="31" t="n">
        <v>1</v>
      </c>
      <c r="K84" s="50" t="str">
        <f aca="false">C84&amp;"|"&amp;J84</f>
        <v>API-AUTH|1</v>
      </c>
      <c r="L84" s="31" t="s">
        <v>633</v>
      </c>
      <c r="M84" s="31" t="n">
        <v>4</v>
      </c>
      <c r="N84" s="51" t="s">
        <v>462</v>
      </c>
      <c r="O84" s="35" t="s">
        <v>78</v>
      </c>
      <c r="P84" s="52"/>
      <c r="Q84" s="52"/>
      <c r="R84" s="33" t="n">
        <f aca="false">INDEX(Épopées!$L$6:$L$59,MATCH(K84,Épopées!$A$6:$A$59,0))</f>
        <v>46364</v>
      </c>
      <c r="S84" s="33" t="n">
        <f aca="false">INDEX(Épopées!$M$6:$M$59,MATCH(K84,Épopées!$A$6:$A$59,0))</f>
        <v>46398</v>
      </c>
      <c r="T84" s="53" t="s">
        <v>463</v>
      </c>
    </row>
    <row r="85" customFormat="false" ht="15" hidden="false" customHeight="false" outlineLevel="0" collapsed="false">
      <c r="A85" s="31" t="s">
        <v>641</v>
      </c>
      <c r="B85" s="31" t="s">
        <v>301</v>
      </c>
      <c r="C85" s="31" t="s">
        <v>304</v>
      </c>
      <c r="D85" s="31" t="s">
        <v>305</v>
      </c>
      <c r="E85" s="31" t="s">
        <v>642</v>
      </c>
      <c r="F85" s="31" t="s">
        <v>579</v>
      </c>
      <c r="G85" s="31" t="s">
        <v>461</v>
      </c>
      <c r="H85" s="31" t="s">
        <v>43</v>
      </c>
      <c r="I85" s="31" t="n">
        <f aca="false">VLOOKUP(H85,Paramètres!$A$15:$B$19,2,FALSE())</f>
        <v>2</v>
      </c>
      <c r="J85" s="31" t="n">
        <v>1</v>
      </c>
      <c r="K85" s="50" t="str">
        <f aca="false">C85&amp;"|"&amp;J85</f>
        <v>API-AUTH|1</v>
      </c>
      <c r="L85" s="31" t="s">
        <v>643</v>
      </c>
      <c r="M85" s="31" t="n">
        <v>2</v>
      </c>
      <c r="N85" s="51" t="s">
        <v>462</v>
      </c>
      <c r="O85" s="35" t="s">
        <v>78</v>
      </c>
      <c r="P85" s="52"/>
      <c r="Q85" s="52"/>
      <c r="R85" s="33" t="n">
        <f aca="false">INDEX(Épopées!$L$6:$L$59,MATCH(K85,Épopées!$A$6:$A$59,0))</f>
        <v>46364</v>
      </c>
      <c r="S85" s="33" t="n">
        <f aca="false">INDEX(Épopées!$M$6:$M$59,MATCH(K85,Épopées!$A$6:$A$59,0))</f>
        <v>46398</v>
      </c>
      <c r="T85" s="53" t="s">
        <v>463</v>
      </c>
    </row>
    <row r="86" customFormat="false" ht="15" hidden="false" customHeight="false" outlineLevel="0" collapsed="false">
      <c r="A86" s="31" t="s">
        <v>644</v>
      </c>
      <c r="B86" s="31" t="s">
        <v>301</v>
      </c>
      <c r="C86" s="31" t="s">
        <v>304</v>
      </c>
      <c r="D86" s="31" t="s">
        <v>305</v>
      </c>
      <c r="E86" s="31" t="s">
        <v>645</v>
      </c>
      <c r="F86" s="31" t="s">
        <v>460</v>
      </c>
      <c r="G86" s="31" t="s">
        <v>461</v>
      </c>
      <c r="H86" s="31" t="s">
        <v>41</v>
      </c>
      <c r="I86" s="31" t="n">
        <f aca="false">VLOOKUP(H86,Paramètres!$A$15:$B$19,2,FALSE())</f>
        <v>1</v>
      </c>
      <c r="J86" s="31" t="n">
        <v>1</v>
      </c>
      <c r="K86" s="50" t="str">
        <f aca="false">C86&amp;"|"&amp;J86</f>
        <v>API-AUTH|1</v>
      </c>
      <c r="L86" s="31"/>
      <c r="M86" s="31" t="n">
        <v>5</v>
      </c>
      <c r="N86" s="51" t="s">
        <v>462</v>
      </c>
      <c r="O86" s="35" t="s">
        <v>78</v>
      </c>
      <c r="P86" s="52"/>
      <c r="Q86" s="52"/>
      <c r="R86" s="33" t="n">
        <f aca="false">INDEX(Épopées!$L$6:$L$59,MATCH(K86,Épopées!$A$6:$A$59,0))</f>
        <v>46364</v>
      </c>
      <c r="S86" s="33" t="n">
        <f aca="false">INDEX(Épopées!$M$6:$M$59,MATCH(K86,Épopées!$A$6:$A$59,0))</f>
        <v>46398</v>
      </c>
      <c r="T86" s="53" t="s">
        <v>463</v>
      </c>
    </row>
    <row r="87" customFormat="false" ht="15" hidden="false" customHeight="false" outlineLevel="0" collapsed="false">
      <c r="A87" s="31" t="s">
        <v>646</v>
      </c>
      <c r="B87" s="31" t="s">
        <v>301</v>
      </c>
      <c r="C87" s="31" t="s">
        <v>304</v>
      </c>
      <c r="D87" s="31" t="s">
        <v>305</v>
      </c>
      <c r="E87" s="31" t="s">
        <v>647</v>
      </c>
      <c r="F87" s="31" t="s">
        <v>491</v>
      </c>
      <c r="G87" s="31" t="s">
        <v>466</v>
      </c>
      <c r="H87" s="31" t="s">
        <v>41</v>
      </c>
      <c r="I87" s="31" t="n">
        <f aca="false">VLOOKUP(H87,Paramètres!$A$15:$B$19,2,FALSE())</f>
        <v>1</v>
      </c>
      <c r="J87" s="31" t="n">
        <v>1</v>
      </c>
      <c r="K87" s="50" t="str">
        <f aca="false">C87&amp;"|"&amp;J87</f>
        <v>API-AUTH|1</v>
      </c>
      <c r="L87" s="31" t="s">
        <v>644</v>
      </c>
      <c r="M87" s="31" t="n">
        <v>6</v>
      </c>
      <c r="N87" s="51" t="s">
        <v>462</v>
      </c>
      <c r="O87" s="35" t="s">
        <v>78</v>
      </c>
      <c r="P87" s="52"/>
      <c r="Q87" s="52"/>
      <c r="R87" s="33" t="n">
        <f aca="false">INDEX(Épopées!$L$6:$L$59,MATCH(K87,Épopées!$A$6:$A$59,0))</f>
        <v>46364</v>
      </c>
      <c r="S87" s="33" t="n">
        <f aca="false">INDEX(Épopées!$M$6:$M$59,MATCH(K87,Épopées!$A$6:$A$59,0))</f>
        <v>46398</v>
      </c>
      <c r="T87" s="53" t="s">
        <v>463</v>
      </c>
    </row>
    <row r="88" customFormat="false" ht="15" hidden="false" customHeight="false" outlineLevel="0" collapsed="false">
      <c r="A88" s="31" t="s">
        <v>648</v>
      </c>
      <c r="B88" s="31" t="s">
        <v>301</v>
      </c>
      <c r="C88" s="31" t="s">
        <v>304</v>
      </c>
      <c r="D88" s="31" t="s">
        <v>305</v>
      </c>
      <c r="E88" s="31" t="s">
        <v>649</v>
      </c>
      <c r="F88" s="31" t="s">
        <v>491</v>
      </c>
      <c r="G88" s="31" t="s">
        <v>466</v>
      </c>
      <c r="H88" s="31" t="s">
        <v>41</v>
      </c>
      <c r="I88" s="31" t="n">
        <f aca="false">VLOOKUP(H88,Paramètres!$A$15:$B$19,2,FALSE())</f>
        <v>1</v>
      </c>
      <c r="J88" s="31" t="n">
        <v>1</v>
      </c>
      <c r="K88" s="50" t="str">
        <f aca="false">C88&amp;"|"&amp;J88</f>
        <v>API-AUTH|1</v>
      </c>
      <c r="L88" s="31" t="s">
        <v>646</v>
      </c>
      <c r="M88" s="31" t="n">
        <v>3</v>
      </c>
      <c r="N88" s="51" t="s">
        <v>462</v>
      </c>
      <c r="O88" s="35" t="s">
        <v>78</v>
      </c>
      <c r="P88" s="52"/>
      <c r="Q88" s="52"/>
      <c r="R88" s="33" t="n">
        <f aca="false">INDEX(Épopées!$L$6:$L$59,MATCH(K88,Épopées!$A$6:$A$59,0))</f>
        <v>46364</v>
      </c>
      <c r="S88" s="33" t="n">
        <f aca="false">INDEX(Épopées!$M$6:$M$59,MATCH(K88,Épopées!$A$6:$A$59,0))</f>
        <v>46398</v>
      </c>
      <c r="T88" s="53" t="s">
        <v>463</v>
      </c>
    </row>
    <row r="89" customFormat="false" ht="15" hidden="false" customHeight="false" outlineLevel="0" collapsed="false">
      <c r="A89" s="31" t="s">
        <v>650</v>
      </c>
      <c r="B89" s="31" t="s">
        <v>301</v>
      </c>
      <c r="C89" s="31" t="s">
        <v>304</v>
      </c>
      <c r="D89" s="31" t="s">
        <v>305</v>
      </c>
      <c r="E89" s="31" t="s">
        <v>651</v>
      </c>
      <c r="F89" s="31" t="s">
        <v>491</v>
      </c>
      <c r="G89" s="31" t="s">
        <v>466</v>
      </c>
      <c r="H89" s="31" t="s">
        <v>43</v>
      </c>
      <c r="I89" s="31" t="n">
        <f aca="false">VLOOKUP(H89,Paramètres!$A$15:$B$19,2,FALSE())</f>
        <v>2</v>
      </c>
      <c r="J89" s="31" t="n">
        <v>1</v>
      </c>
      <c r="K89" s="50" t="str">
        <f aca="false">C89&amp;"|"&amp;J89</f>
        <v>API-AUTH|1</v>
      </c>
      <c r="L89" s="31" t="s">
        <v>636</v>
      </c>
      <c r="M89" s="31" t="n">
        <v>2</v>
      </c>
      <c r="N89" s="51" t="s">
        <v>462</v>
      </c>
      <c r="O89" s="35" t="s">
        <v>78</v>
      </c>
      <c r="P89" s="52"/>
      <c r="Q89" s="52"/>
      <c r="R89" s="33" t="n">
        <f aca="false">INDEX(Épopées!$L$6:$L$59,MATCH(K89,Épopées!$A$6:$A$59,0))</f>
        <v>46364</v>
      </c>
      <c r="S89" s="33" t="n">
        <f aca="false">INDEX(Épopées!$M$6:$M$59,MATCH(K89,Épopées!$A$6:$A$59,0))</f>
        <v>46398</v>
      </c>
      <c r="T89" s="53" t="s">
        <v>463</v>
      </c>
    </row>
    <row r="90" customFormat="false" ht="15" hidden="false" customHeight="false" outlineLevel="0" collapsed="false">
      <c r="A90" s="31" t="s">
        <v>652</v>
      </c>
      <c r="B90" s="31" t="s">
        <v>301</v>
      </c>
      <c r="C90" s="31" t="s">
        <v>304</v>
      </c>
      <c r="D90" s="31" t="s">
        <v>305</v>
      </c>
      <c r="E90" s="31" t="s">
        <v>653</v>
      </c>
      <c r="F90" s="31" t="s">
        <v>469</v>
      </c>
      <c r="G90" s="31" t="s">
        <v>461</v>
      </c>
      <c r="H90" s="31" t="s">
        <v>41</v>
      </c>
      <c r="I90" s="31" t="n">
        <f aca="false">VLOOKUP(H90,Paramètres!$A$15:$B$19,2,FALSE())</f>
        <v>1</v>
      </c>
      <c r="J90" s="31" t="n">
        <v>1</v>
      </c>
      <c r="K90" s="50" t="str">
        <f aca="false">C90&amp;"|"&amp;J90</f>
        <v>API-AUTH|1</v>
      </c>
      <c r="L90" s="31"/>
      <c r="M90" s="31" t="n">
        <v>2</v>
      </c>
      <c r="N90" s="51" t="s">
        <v>462</v>
      </c>
      <c r="O90" s="35" t="s">
        <v>78</v>
      </c>
      <c r="P90" s="52"/>
      <c r="Q90" s="52"/>
      <c r="R90" s="33" t="n">
        <f aca="false">INDEX(Épopées!$L$6:$L$59,MATCH(K90,Épopées!$A$6:$A$59,0))</f>
        <v>46364</v>
      </c>
      <c r="S90" s="33" t="n">
        <f aca="false">INDEX(Épopées!$M$6:$M$59,MATCH(K90,Épopées!$A$6:$A$59,0))</f>
        <v>46398</v>
      </c>
      <c r="T90" s="53" t="s">
        <v>463</v>
      </c>
    </row>
    <row r="91" customFormat="false" ht="15" hidden="false" customHeight="false" outlineLevel="0" collapsed="false">
      <c r="A91" s="31" t="s">
        <v>654</v>
      </c>
      <c r="B91" s="31" t="s">
        <v>301</v>
      </c>
      <c r="C91" s="31" t="s">
        <v>304</v>
      </c>
      <c r="D91" s="31" t="s">
        <v>305</v>
      </c>
      <c r="E91" s="31" t="s">
        <v>655</v>
      </c>
      <c r="F91" s="31" t="s">
        <v>469</v>
      </c>
      <c r="G91" s="31" t="s">
        <v>461</v>
      </c>
      <c r="H91" s="31" t="s">
        <v>41</v>
      </c>
      <c r="I91" s="31" t="n">
        <f aca="false">VLOOKUP(H91,Paramètres!$A$15:$B$19,2,FALSE())</f>
        <v>1</v>
      </c>
      <c r="J91" s="31" t="n">
        <v>1</v>
      </c>
      <c r="K91" s="50" t="str">
        <f aca="false">C91&amp;"|"&amp;J91</f>
        <v>API-AUTH|1</v>
      </c>
      <c r="L91" s="31" t="s">
        <v>652</v>
      </c>
      <c r="M91" s="31" t="n">
        <v>3</v>
      </c>
      <c r="N91" s="51" t="s">
        <v>462</v>
      </c>
      <c r="O91" s="35" t="s">
        <v>78</v>
      </c>
      <c r="P91" s="52"/>
      <c r="Q91" s="52"/>
      <c r="R91" s="33" t="n">
        <f aca="false">INDEX(Épopées!$L$6:$L$59,MATCH(K91,Épopées!$A$6:$A$59,0))</f>
        <v>46364</v>
      </c>
      <c r="S91" s="33" t="n">
        <f aca="false">INDEX(Épopées!$M$6:$M$59,MATCH(K91,Épopées!$A$6:$A$59,0))</f>
        <v>46398</v>
      </c>
      <c r="T91" s="53" t="s">
        <v>463</v>
      </c>
    </row>
    <row r="92" customFormat="false" ht="15" hidden="false" customHeight="false" outlineLevel="0" collapsed="false">
      <c r="A92" s="31" t="s">
        <v>656</v>
      </c>
      <c r="B92" s="31" t="s">
        <v>301</v>
      </c>
      <c r="C92" s="31" t="s">
        <v>304</v>
      </c>
      <c r="D92" s="31" t="s">
        <v>305</v>
      </c>
      <c r="E92" s="31" t="s">
        <v>657</v>
      </c>
      <c r="F92" s="31" t="s">
        <v>469</v>
      </c>
      <c r="G92" s="31" t="s">
        <v>461</v>
      </c>
      <c r="H92" s="31" t="s">
        <v>43</v>
      </c>
      <c r="I92" s="31" t="n">
        <f aca="false">VLOOKUP(H92,Paramètres!$A$15:$B$19,2,FALSE())</f>
        <v>2</v>
      </c>
      <c r="J92" s="31" t="n">
        <v>1</v>
      </c>
      <c r="K92" s="50" t="str">
        <f aca="false">C92&amp;"|"&amp;J92</f>
        <v>API-AUTH|1</v>
      </c>
      <c r="L92" s="31" t="s">
        <v>654</v>
      </c>
      <c r="M92" s="31" t="n">
        <v>3</v>
      </c>
      <c r="N92" s="51" t="s">
        <v>462</v>
      </c>
      <c r="O92" s="35" t="s">
        <v>78</v>
      </c>
      <c r="P92" s="52"/>
      <c r="Q92" s="52"/>
      <c r="R92" s="33" t="n">
        <f aca="false">INDEX(Épopées!$L$6:$L$59,MATCH(K92,Épopées!$A$6:$A$59,0))</f>
        <v>46364</v>
      </c>
      <c r="S92" s="33" t="n">
        <f aca="false">INDEX(Épopées!$M$6:$M$59,MATCH(K92,Épopées!$A$6:$A$59,0))</f>
        <v>46398</v>
      </c>
      <c r="T92" s="53" t="s">
        <v>463</v>
      </c>
    </row>
    <row r="93" customFormat="false" ht="15" hidden="false" customHeight="false" outlineLevel="0" collapsed="false">
      <c r="A93" s="31" t="s">
        <v>658</v>
      </c>
      <c r="B93" s="31" t="s">
        <v>301</v>
      </c>
      <c r="C93" s="31" t="s">
        <v>304</v>
      </c>
      <c r="D93" s="31" t="s">
        <v>305</v>
      </c>
      <c r="E93" s="31" t="s">
        <v>659</v>
      </c>
      <c r="F93" s="31" t="s">
        <v>491</v>
      </c>
      <c r="G93" s="31" t="s">
        <v>461</v>
      </c>
      <c r="H93" s="31" t="s">
        <v>41</v>
      </c>
      <c r="I93" s="31" t="n">
        <f aca="false">VLOOKUP(H93,Paramètres!$A$15:$B$19,2,FALSE())</f>
        <v>1</v>
      </c>
      <c r="J93" s="31" t="n">
        <v>1</v>
      </c>
      <c r="K93" s="50" t="str">
        <f aca="false">C93&amp;"|"&amp;J93</f>
        <v>API-AUTH|1</v>
      </c>
      <c r="L93" s="31" t="s">
        <v>660</v>
      </c>
      <c r="M93" s="31" t="n">
        <v>1</v>
      </c>
      <c r="N93" s="51" t="s">
        <v>462</v>
      </c>
      <c r="O93" s="35" t="s">
        <v>78</v>
      </c>
      <c r="P93" s="52"/>
      <c r="Q93" s="52"/>
      <c r="R93" s="33" t="n">
        <f aca="false">INDEX(Épopées!$L$6:$L$59,MATCH(K93,Épopées!$A$6:$A$59,0))</f>
        <v>46364</v>
      </c>
      <c r="S93" s="33" t="n">
        <f aca="false">INDEX(Épopées!$M$6:$M$59,MATCH(K93,Épopées!$A$6:$A$59,0))</f>
        <v>46398</v>
      </c>
      <c r="T93" s="53" t="s">
        <v>463</v>
      </c>
    </row>
    <row r="94" customFormat="false" ht="15" hidden="false" customHeight="false" outlineLevel="0" collapsed="false">
      <c r="A94" s="31" t="s">
        <v>661</v>
      </c>
      <c r="B94" s="31" t="s">
        <v>301</v>
      </c>
      <c r="C94" s="31" t="s">
        <v>304</v>
      </c>
      <c r="D94" s="31" t="s">
        <v>305</v>
      </c>
      <c r="E94" s="31" t="s">
        <v>662</v>
      </c>
      <c r="F94" s="31" t="s">
        <v>491</v>
      </c>
      <c r="G94" s="31" t="s">
        <v>461</v>
      </c>
      <c r="H94" s="31" t="s">
        <v>41</v>
      </c>
      <c r="I94" s="31" t="n">
        <f aca="false">VLOOKUP(H94,Paramètres!$A$15:$B$19,2,FALSE())</f>
        <v>1</v>
      </c>
      <c r="J94" s="31" t="n">
        <v>1</v>
      </c>
      <c r="K94" s="50" t="str">
        <f aca="false">C94&amp;"|"&amp;J94</f>
        <v>API-AUTH|1</v>
      </c>
      <c r="L94" s="31" t="s">
        <v>663</v>
      </c>
      <c r="M94" s="31" t="n">
        <v>2</v>
      </c>
      <c r="N94" s="51" t="s">
        <v>462</v>
      </c>
      <c r="O94" s="35" t="s">
        <v>78</v>
      </c>
      <c r="P94" s="52"/>
      <c r="Q94" s="52"/>
      <c r="R94" s="33" t="n">
        <f aca="false">INDEX(Épopées!$L$6:$L$59,MATCH(K94,Épopées!$A$6:$A$59,0))</f>
        <v>46364</v>
      </c>
      <c r="S94" s="33" t="n">
        <f aca="false">INDEX(Épopées!$M$6:$M$59,MATCH(K94,Épopées!$A$6:$A$59,0))</f>
        <v>46398</v>
      </c>
      <c r="T94" s="53" t="s">
        <v>463</v>
      </c>
    </row>
    <row r="95" customFormat="false" ht="15" hidden="false" customHeight="false" outlineLevel="0" collapsed="false">
      <c r="A95" s="31" t="s">
        <v>664</v>
      </c>
      <c r="B95" s="31" t="s">
        <v>301</v>
      </c>
      <c r="C95" s="31" t="s">
        <v>304</v>
      </c>
      <c r="D95" s="31" t="s">
        <v>305</v>
      </c>
      <c r="E95" s="31" t="s">
        <v>665</v>
      </c>
      <c r="F95" s="31" t="s">
        <v>460</v>
      </c>
      <c r="G95" s="31" t="s">
        <v>466</v>
      </c>
      <c r="H95" s="31" t="s">
        <v>41</v>
      </c>
      <c r="I95" s="31" t="n">
        <f aca="false">VLOOKUP(H95,Paramètres!$A$15:$B$19,2,FALSE())</f>
        <v>1</v>
      </c>
      <c r="J95" s="31" t="n">
        <v>1</v>
      </c>
      <c r="K95" s="50" t="str">
        <f aca="false">C95&amp;"|"&amp;J95</f>
        <v>API-AUTH|1</v>
      </c>
      <c r="L95" s="31" t="s">
        <v>658</v>
      </c>
      <c r="M95" s="31" t="n">
        <v>1</v>
      </c>
      <c r="N95" s="51" t="s">
        <v>462</v>
      </c>
      <c r="O95" s="35" t="s">
        <v>78</v>
      </c>
      <c r="P95" s="52"/>
      <c r="Q95" s="52"/>
      <c r="R95" s="33" t="n">
        <f aca="false">INDEX(Épopées!$L$6:$L$59,MATCH(K95,Épopées!$A$6:$A$59,0))</f>
        <v>46364</v>
      </c>
      <c r="S95" s="33" t="n">
        <f aca="false">INDEX(Épopées!$M$6:$M$59,MATCH(K95,Épopées!$A$6:$A$59,0))</f>
        <v>46398</v>
      </c>
      <c r="T95" s="53" t="s">
        <v>463</v>
      </c>
    </row>
    <row r="96" customFormat="false" ht="15" hidden="false" customHeight="false" outlineLevel="0" collapsed="false">
      <c r="A96" s="31" t="s">
        <v>666</v>
      </c>
      <c r="B96" s="31" t="s">
        <v>301</v>
      </c>
      <c r="C96" s="31" t="s">
        <v>304</v>
      </c>
      <c r="D96" s="31" t="s">
        <v>305</v>
      </c>
      <c r="E96" s="31" t="s">
        <v>667</v>
      </c>
      <c r="F96" s="31" t="s">
        <v>469</v>
      </c>
      <c r="G96" s="31" t="s">
        <v>466</v>
      </c>
      <c r="H96" s="31" t="s">
        <v>41</v>
      </c>
      <c r="I96" s="31" t="n">
        <f aca="false">VLOOKUP(H96,Paramètres!$A$15:$B$19,2,FALSE())</f>
        <v>1</v>
      </c>
      <c r="J96" s="31" t="n">
        <v>1</v>
      </c>
      <c r="K96" s="50" t="str">
        <f aca="false">C96&amp;"|"&amp;J96</f>
        <v>API-AUTH|1</v>
      </c>
      <c r="L96" s="31" t="s">
        <v>668</v>
      </c>
      <c r="M96" s="31" t="n">
        <v>2</v>
      </c>
      <c r="N96" s="51" t="s">
        <v>462</v>
      </c>
      <c r="O96" s="35" t="s">
        <v>78</v>
      </c>
      <c r="P96" s="52"/>
      <c r="Q96" s="52"/>
      <c r="R96" s="33" t="n">
        <f aca="false">INDEX(Épopées!$L$6:$L$59,MATCH(K96,Épopées!$A$6:$A$59,0))</f>
        <v>46364</v>
      </c>
      <c r="S96" s="33" t="n">
        <f aca="false">INDEX(Épopées!$M$6:$M$59,MATCH(K96,Épopées!$A$6:$A$59,0))</f>
        <v>46398</v>
      </c>
      <c r="T96" s="53" t="s">
        <v>463</v>
      </c>
    </row>
    <row r="97" customFormat="false" ht="15" hidden="false" customHeight="false" outlineLevel="0" collapsed="false">
      <c r="A97" s="31" t="s">
        <v>669</v>
      </c>
      <c r="B97" s="31" t="s">
        <v>301</v>
      </c>
      <c r="C97" s="31" t="s">
        <v>304</v>
      </c>
      <c r="D97" s="31" t="s">
        <v>305</v>
      </c>
      <c r="E97" s="31" t="s">
        <v>670</v>
      </c>
      <c r="F97" s="31" t="s">
        <v>469</v>
      </c>
      <c r="G97" s="31" t="s">
        <v>466</v>
      </c>
      <c r="H97" s="31" t="s">
        <v>41</v>
      </c>
      <c r="I97" s="31" t="n">
        <f aca="false">VLOOKUP(H97,Paramètres!$A$15:$B$19,2,FALSE())</f>
        <v>1</v>
      </c>
      <c r="J97" s="31" t="n">
        <v>1</v>
      </c>
      <c r="K97" s="50" t="str">
        <f aca="false">C97&amp;"|"&amp;J97</f>
        <v>API-AUTH|1</v>
      </c>
      <c r="L97" s="31" t="s">
        <v>671</v>
      </c>
      <c r="M97" s="31" t="n">
        <v>4</v>
      </c>
      <c r="N97" s="51" t="s">
        <v>462</v>
      </c>
      <c r="O97" s="35" t="s">
        <v>78</v>
      </c>
      <c r="P97" s="52"/>
      <c r="Q97" s="52"/>
      <c r="R97" s="33" t="n">
        <f aca="false">INDEX(Épopées!$L$6:$L$59,MATCH(K97,Épopées!$A$6:$A$59,0))</f>
        <v>46364</v>
      </c>
      <c r="S97" s="33" t="n">
        <f aca="false">INDEX(Épopées!$M$6:$M$59,MATCH(K97,Épopées!$A$6:$A$59,0))</f>
        <v>46398</v>
      </c>
      <c r="T97" s="53" t="s">
        <v>463</v>
      </c>
    </row>
    <row r="98" customFormat="false" ht="15" hidden="false" customHeight="false" outlineLevel="0" collapsed="false">
      <c r="A98" s="31" t="s">
        <v>672</v>
      </c>
      <c r="B98" s="31" t="s">
        <v>301</v>
      </c>
      <c r="C98" s="31" t="s">
        <v>304</v>
      </c>
      <c r="D98" s="31" t="s">
        <v>305</v>
      </c>
      <c r="E98" s="31" t="s">
        <v>673</v>
      </c>
      <c r="F98" s="31" t="s">
        <v>469</v>
      </c>
      <c r="G98" s="31" t="s">
        <v>466</v>
      </c>
      <c r="H98" s="31" t="s">
        <v>41</v>
      </c>
      <c r="I98" s="31" t="n">
        <f aca="false">VLOOKUP(H98,Paramètres!$A$15:$B$19,2,FALSE())</f>
        <v>1</v>
      </c>
      <c r="J98" s="31" t="n">
        <v>1</v>
      </c>
      <c r="K98" s="50" t="str">
        <f aca="false">C98&amp;"|"&amp;J98</f>
        <v>API-AUTH|1</v>
      </c>
      <c r="L98" s="31" t="s">
        <v>674</v>
      </c>
      <c r="M98" s="31" t="n">
        <v>2</v>
      </c>
      <c r="N98" s="51" t="s">
        <v>462</v>
      </c>
      <c r="O98" s="35" t="s">
        <v>78</v>
      </c>
      <c r="P98" s="52"/>
      <c r="Q98" s="52"/>
      <c r="R98" s="33" t="n">
        <f aca="false">INDEX(Épopées!$L$6:$L$59,MATCH(K98,Épopées!$A$6:$A$59,0))</f>
        <v>46364</v>
      </c>
      <c r="S98" s="33" t="n">
        <f aca="false">INDEX(Épopées!$M$6:$M$59,MATCH(K98,Épopées!$A$6:$A$59,0))</f>
        <v>46398</v>
      </c>
      <c r="T98" s="53" t="s">
        <v>463</v>
      </c>
    </row>
    <row r="99" customFormat="false" ht="15" hidden="false" customHeight="false" outlineLevel="0" collapsed="false">
      <c r="A99" s="31" t="s">
        <v>675</v>
      </c>
      <c r="B99" s="31" t="s">
        <v>301</v>
      </c>
      <c r="C99" s="31" t="s">
        <v>304</v>
      </c>
      <c r="D99" s="31" t="s">
        <v>305</v>
      </c>
      <c r="E99" s="31" t="s">
        <v>676</v>
      </c>
      <c r="F99" s="31" t="s">
        <v>469</v>
      </c>
      <c r="G99" s="31" t="s">
        <v>461</v>
      </c>
      <c r="H99" s="31" t="s">
        <v>41</v>
      </c>
      <c r="I99" s="31" t="n">
        <f aca="false">VLOOKUP(H99,Paramètres!$A$15:$B$19,2,FALSE())</f>
        <v>1</v>
      </c>
      <c r="J99" s="31" t="n">
        <v>1</v>
      </c>
      <c r="K99" s="50" t="str">
        <f aca="false">C99&amp;"|"&amp;J99</f>
        <v>API-AUTH|1</v>
      </c>
      <c r="L99" s="31" t="s">
        <v>595</v>
      </c>
      <c r="M99" s="31" t="n">
        <v>4</v>
      </c>
      <c r="N99" s="51" t="s">
        <v>462</v>
      </c>
      <c r="O99" s="35" t="s">
        <v>78</v>
      </c>
      <c r="P99" s="52"/>
      <c r="Q99" s="52"/>
      <c r="R99" s="33" t="n">
        <f aca="false">INDEX(Épopées!$L$6:$L$59,MATCH(K99,Épopées!$A$6:$A$59,0))</f>
        <v>46364</v>
      </c>
      <c r="S99" s="33" t="n">
        <f aca="false">INDEX(Épopées!$M$6:$M$59,MATCH(K99,Épopées!$A$6:$A$59,0))</f>
        <v>46398</v>
      </c>
      <c r="T99" s="53" t="s">
        <v>463</v>
      </c>
    </row>
    <row r="100" customFormat="false" ht="15" hidden="false" customHeight="false" outlineLevel="0" collapsed="false">
      <c r="A100" s="31" t="s">
        <v>677</v>
      </c>
      <c r="B100" s="31" t="s">
        <v>301</v>
      </c>
      <c r="C100" s="31" t="s">
        <v>304</v>
      </c>
      <c r="D100" s="31" t="s">
        <v>305</v>
      </c>
      <c r="E100" s="31" t="s">
        <v>678</v>
      </c>
      <c r="F100" s="31" t="s">
        <v>472</v>
      </c>
      <c r="G100" s="31" t="s">
        <v>461</v>
      </c>
      <c r="H100" s="31" t="s">
        <v>43</v>
      </c>
      <c r="I100" s="31" t="n">
        <f aca="false">VLOOKUP(H100,Paramètres!$A$15:$B$19,2,FALSE())</f>
        <v>2</v>
      </c>
      <c r="J100" s="31" t="n">
        <v>1</v>
      </c>
      <c r="K100" s="50" t="str">
        <f aca="false">C100&amp;"|"&amp;J100</f>
        <v>API-AUTH|1</v>
      </c>
      <c r="L100" s="31" t="s">
        <v>679</v>
      </c>
      <c r="M100" s="31" t="n">
        <v>5</v>
      </c>
      <c r="N100" s="51" t="s">
        <v>462</v>
      </c>
      <c r="O100" s="35" t="s">
        <v>78</v>
      </c>
      <c r="P100" s="52"/>
      <c r="Q100" s="52"/>
      <c r="R100" s="33" t="n">
        <f aca="false">INDEX(Épopées!$L$6:$L$59,MATCH(K100,Épopées!$A$6:$A$59,0))</f>
        <v>46364</v>
      </c>
      <c r="S100" s="33" t="n">
        <f aca="false">INDEX(Épopées!$M$6:$M$59,MATCH(K100,Épopées!$A$6:$A$59,0))</f>
        <v>46398</v>
      </c>
      <c r="T100" s="53" t="s">
        <v>463</v>
      </c>
    </row>
    <row r="101" customFormat="false" ht="15" hidden="false" customHeight="false" outlineLevel="0" collapsed="false">
      <c r="A101" s="31" t="s">
        <v>680</v>
      </c>
      <c r="B101" s="31" t="s">
        <v>301</v>
      </c>
      <c r="C101" s="31" t="s">
        <v>304</v>
      </c>
      <c r="D101" s="31" t="s">
        <v>305</v>
      </c>
      <c r="E101" s="31" t="s">
        <v>681</v>
      </c>
      <c r="F101" s="31" t="s">
        <v>472</v>
      </c>
      <c r="G101" s="31" t="s">
        <v>461</v>
      </c>
      <c r="H101" s="31" t="s">
        <v>43</v>
      </c>
      <c r="I101" s="31" t="n">
        <f aca="false">VLOOKUP(H101,Paramètres!$A$15:$B$19,2,FALSE())</f>
        <v>2</v>
      </c>
      <c r="J101" s="31" t="n">
        <v>1</v>
      </c>
      <c r="K101" s="50" t="str">
        <f aca="false">C101&amp;"|"&amp;J101</f>
        <v>API-AUTH|1</v>
      </c>
      <c r="L101" s="31" t="s">
        <v>682</v>
      </c>
      <c r="M101" s="31" t="n">
        <v>10</v>
      </c>
      <c r="N101" s="51" t="s">
        <v>462</v>
      </c>
      <c r="O101" s="35" t="s">
        <v>78</v>
      </c>
      <c r="P101" s="52"/>
      <c r="Q101" s="52"/>
      <c r="R101" s="33" t="n">
        <f aca="false">INDEX(Épopées!$L$6:$L$59,MATCH(K101,Épopées!$A$6:$A$59,0))</f>
        <v>46364</v>
      </c>
      <c r="S101" s="33" t="n">
        <f aca="false">INDEX(Épopées!$M$6:$M$59,MATCH(K101,Épopées!$A$6:$A$59,0))</f>
        <v>46398</v>
      </c>
      <c r="T101" s="53" t="s">
        <v>463</v>
      </c>
    </row>
    <row r="102" customFormat="false" ht="15" hidden="false" customHeight="false" outlineLevel="0" collapsed="false">
      <c r="A102" s="31" t="s">
        <v>683</v>
      </c>
      <c r="B102" s="31" t="s">
        <v>301</v>
      </c>
      <c r="C102" s="31" t="s">
        <v>304</v>
      </c>
      <c r="D102" s="31" t="s">
        <v>305</v>
      </c>
      <c r="E102" s="31" t="s">
        <v>684</v>
      </c>
      <c r="F102" s="31" t="s">
        <v>588</v>
      </c>
      <c r="G102" s="31" t="s">
        <v>466</v>
      </c>
      <c r="H102" s="31" t="s">
        <v>41</v>
      </c>
      <c r="I102" s="31" t="n">
        <f aca="false">VLOOKUP(H102,Paramètres!$A$15:$B$19,2,FALSE())</f>
        <v>1</v>
      </c>
      <c r="J102" s="31" t="n">
        <v>1</v>
      </c>
      <c r="K102" s="50" t="str">
        <f aca="false">C102&amp;"|"&amp;J102</f>
        <v>API-AUTH|1</v>
      </c>
      <c r="L102" s="31" t="s">
        <v>599</v>
      </c>
      <c r="M102" s="31" t="n">
        <v>7</v>
      </c>
      <c r="N102" s="51" t="s">
        <v>462</v>
      </c>
      <c r="O102" s="35" t="s">
        <v>78</v>
      </c>
      <c r="P102" s="52"/>
      <c r="Q102" s="52"/>
      <c r="R102" s="33" t="n">
        <f aca="false">INDEX(Épopées!$L$6:$L$59,MATCH(K102,Épopées!$A$6:$A$59,0))</f>
        <v>46364</v>
      </c>
      <c r="S102" s="33" t="n">
        <f aca="false">INDEX(Épopées!$M$6:$M$59,MATCH(K102,Épopées!$A$6:$A$59,0))</f>
        <v>46398</v>
      </c>
      <c r="T102" s="53" t="s">
        <v>463</v>
      </c>
    </row>
    <row r="103" customFormat="false" ht="15" hidden="false" customHeight="false" outlineLevel="0" collapsed="false">
      <c r="A103" s="31" t="s">
        <v>685</v>
      </c>
      <c r="B103" s="31" t="s">
        <v>301</v>
      </c>
      <c r="C103" s="31" t="s">
        <v>304</v>
      </c>
      <c r="D103" s="31" t="s">
        <v>305</v>
      </c>
      <c r="E103" s="31" t="s">
        <v>686</v>
      </c>
      <c r="F103" s="31" t="s">
        <v>503</v>
      </c>
      <c r="G103" s="31" t="s">
        <v>466</v>
      </c>
      <c r="H103" s="31" t="s">
        <v>41</v>
      </c>
      <c r="I103" s="31" t="n">
        <f aca="false">VLOOKUP(H103,Paramètres!$A$15:$B$19,2,FALSE())</f>
        <v>1</v>
      </c>
      <c r="J103" s="31" t="n">
        <v>1</v>
      </c>
      <c r="K103" s="50" t="str">
        <f aca="false">C103&amp;"|"&amp;J103</f>
        <v>API-AUTH|1</v>
      </c>
      <c r="L103" s="31" t="s">
        <v>683</v>
      </c>
      <c r="M103" s="31" t="n">
        <v>7</v>
      </c>
      <c r="N103" s="51" t="s">
        <v>462</v>
      </c>
      <c r="O103" s="35" t="s">
        <v>78</v>
      </c>
      <c r="P103" s="52"/>
      <c r="Q103" s="52"/>
      <c r="R103" s="33" t="n">
        <f aca="false">INDEX(Épopées!$L$6:$L$59,MATCH(K103,Épopées!$A$6:$A$59,0))</f>
        <v>46364</v>
      </c>
      <c r="S103" s="33" t="n">
        <f aca="false">INDEX(Épopées!$M$6:$M$59,MATCH(K103,Épopées!$A$6:$A$59,0))</f>
        <v>46398</v>
      </c>
      <c r="T103" s="53" t="s">
        <v>463</v>
      </c>
    </row>
    <row r="104" customFormat="false" ht="15" hidden="false" customHeight="false" outlineLevel="0" collapsed="false">
      <c r="A104" s="31" t="s">
        <v>687</v>
      </c>
      <c r="B104" s="31" t="s">
        <v>301</v>
      </c>
      <c r="C104" s="31" t="s">
        <v>309</v>
      </c>
      <c r="D104" s="31" t="s">
        <v>310</v>
      </c>
      <c r="E104" s="31" t="s">
        <v>688</v>
      </c>
      <c r="F104" s="31" t="s">
        <v>486</v>
      </c>
      <c r="G104" s="31" t="s">
        <v>461</v>
      </c>
      <c r="H104" s="31" t="s">
        <v>41</v>
      </c>
      <c r="I104" s="31" t="n">
        <f aca="false">VLOOKUP(H104,Paramètres!$A$15:$B$19,2,FALSE())</f>
        <v>1</v>
      </c>
      <c r="J104" s="31" t="n">
        <v>1</v>
      </c>
      <c r="K104" s="50" t="str">
        <f aca="false">C104&amp;"|"&amp;J104</f>
        <v>API-FOOT|1</v>
      </c>
      <c r="L104" s="31"/>
      <c r="M104" s="31" t="n">
        <v>4</v>
      </c>
      <c r="N104" s="51" t="s">
        <v>462</v>
      </c>
      <c r="O104" s="35" t="s">
        <v>78</v>
      </c>
      <c r="P104" s="52"/>
      <c r="Q104" s="52"/>
      <c r="R104" s="33" t="n">
        <f aca="false">INDEX(Épopées!$L$6:$L$59,MATCH(K104,Épopées!$A$6:$A$59,0))</f>
        <v>46399</v>
      </c>
      <c r="S104" s="33" t="n">
        <f aca="false">INDEX(Épopées!$M$6:$M$59,MATCH(K104,Épopées!$A$6:$A$59,0))</f>
        <v>46440</v>
      </c>
      <c r="T104" s="53" t="s">
        <v>463</v>
      </c>
    </row>
    <row r="105" customFormat="false" ht="15" hidden="false" customHeight="false" outlineLevel="0" collapsed="false">
      <c r="A105" s="31" t="s">
        <v>689</v>
      </c>
      <c r="B105" s="31" t="s">
        <v>301</v>
      </c>
      <c r="C105" s="31" t="s">
        <v>309</v>
      </c>
      <c r="D105" s="31" t="s">
        <v>310</v>
      </c>
      <c r="E105" s="31" t="s">
        <v>690</v>
      </c>
      <c r="F105" s="31" t="s">
        <v>486</v>
      </c>
      <c r="G105" s="31" t="s">
        <v>461</v>
      </c>
      <c r="H105" s="31" t="s">
        <v>39</v>
      </c>
      <c r="I105" s="31" t="n">
        <f aca="false">VLOOKUP(H105,Paramètres!$A$15:$B$19,2,FALSE())</f>
        <v>0.5</v>
      </c>
      <c r="J105" s="31" t="n">
        <v>1</v>
      </c>
      <c r="K105" s="50" t="str">
        <f aca="false">C105&amp;"|"&amp;J105</f>
        <v>API-FOOT|1</v>
      </c>
      <c r="L105" s="31"/>
      <c r="M105" s="31" t="n">
        <v>3</v>
      </c>
      <c r="N105" s="51" t="s">
        <v>462</v>
      </c>
      <c r="O105" s="35" t="s">
        <v>78</v>
      </c>
      <c r="P105" s="52"/>
      <c r="Q105" s="52"/>
      <c r="R105" s="33" t="n">
        <f aca="false">INDEX(Épopées!$L$6:$L$59,MATCH(K105,Épopées!$A$6:$A$59,0))</f>
        <v>46399</v>
      </c>
      <c r="S105" s="33" t="n">
        <f aca="false">INDEX(Épopées!$M$6:$M$59,MATCH(K105,Épopées!$A$6:$A$59,0))</f>
        <v>46440</v>
      </c>
      <c r="T105" s="53" t="s">
        <v>463</v>
      </c>
    </row>
    <row r="106" customFormat="false" ht="15" hidden="false" customHeight="false" outlineLevel="0" collapsed="false">
      <c r="A106" s="31" t="s">
        <v>691</v>
      </c>
      <c r="B106" s="31" t="s">
        <v>301</v>
      </c>
      <c r="C106" s="31" t="s">
        <v>309</v>
      </c>
      <c r="D106" s="31" t="s">
        <v>310</v>
      </c>
      <c r="E106" s="31" t="s">
        <v>692</v>
      </c>
      <c r="F106" s="31" t="s">
        <v>486</v>
      </c>
      <c r="G106" s="31" t="s">
        <v>461</v>
      </c>
      <c r="H106" s="31" t="s">
        <v>41</v>
      </c>
      <c r="I106" s="31" t="n">
        <f aca="false">VLOOKUP(H106,Paramètres!$A$15:$B$19,2,FALSE())</f>
        <v>1</v>
      </c>
      <c r="J106" s="31" t="n">
        <v>1</v>
      </c>
      <c r="K106" s="50" t="str">
        <f aca="false">C106&amp;"|"&amp;J106</f>
        <v>API-FOOT|1</v>
      </c>
      <c r="L106" s="31"/>
      <c r="M106" s="31" t="n">
        <v>6</v>
      </c>
      <c r="N106" s="51" t="s">
        <v>462</v>
      </c>
      <c r="O106" s="35" t="s">
        <v>78</v>
      </c>
      <c r="P106" s="52"/>
      <c r="Q106" s="52"/>
      <c r="R106" s="33" t="n">
        <f aca="false">INDEX(Épopées!$L$6:$L$59,MATCH(K106,Épopées!$A$6:$A$59,0))</f>
        <v>46399</v>
      </c>
      <c r="S106" s="33" t="n">
        <f aca="false">INDEX(Épopées!$M$6:$M$59,MATCH(K106,Épopées!$A$6:$A$59,0))</f>
        <v>46440</v>
      </c>
      <c r="T106" s="53" t="s">
        <v>463</v>
      </c>
    </row>
    <row r="107" customFormat="false" ht="15" hidden="false" customHeight="false" outlineLevel="0" collapsed="false">
      <c r="A107" s="31" t="s">
        <v>693</v>
      </c>
      <c r="B107" s="31" t="s">
        <v>301</v>
      </c>
      <c r="C107" s="31" t="s">
        <v>309</v>
      </c>
      <c r="D107" s="31" t="s">
        <v>310</v>
      </c>
      <c r="E107" s="31" t="s">
        <v>694</v>
      </c>
      <c r="F107" s="31" t="s">
        <v>486</v>
      </c>
      <c r="G107" s="31" t="s">
        <v>461</v>
      </c>
      <c r="H107" s="31" t="s">
        <v>39</v>
      </c>
      <c r="I107" s="31" t="n">
        <f aca="false">VLOOKUP(H107,Paramètres!$A$15:$B$19,2,FALSE())</f>
        <v>0.5</v>
      </c>
      <c r="J107" s="31" t="n">
        <v>1</v>
      </c>
      <c r="K107" s="50" t="str">
        <f aca="false">C107&amp;"|"&amp;J107</f>
        <v>API-FOOT|1</v>
      </c>
      <c r="L107" s="31"/>
      <c r="M107" s="31" t="n">
        <v>4</v>
      </c>
      <c r="N107" s="51" t="s">
        <v>462</v>
      </c>
      <c r="O107" s="35" t="s">
        <v>78</v>
      </c>
      <c r="P107" s="52"/>
      <c r="Q107" s="52"/>
      <c r="R107" s="33" t="n">
        <f aca="false">INDEX(Épopées!$L$6:$L$59,MATCH(K107,Épopées!$A$6:$A$59,0))</f>
        <v>46399</v>
      </c>
      <c r="S107" s="33" t="n">
        <f aca="false">INDEX(Épopées!$M$6:$M$59,MATCH(K107,Épopées!$A$6:$A$59,0))</f>
        <v>46440</v>
      </c>
      <c r="T107" s="53" t="s">
        <v>463</v>
      </c>
    </row>
    <row r="108" customFormat="false" ht="15" hidden="false" customHeight="false" outlineLevel="0" collapsed="false">
      <c r="A108" s="31" t="s">
        <v>695</v>
      </c>
      <c r="B108" s="31" t="s">
        <v>301</v>
      </c>
      <c r="C108" s="31" t="s">
        <v>309</v>
      </c>
      <c r="D108" s="31" t="s">
        <v>310</v>
      </c>
      <c r="E108" s="31" t="s">
        <v>696</v>
      </c>
      <c r="F108" s="31" t="s">
        <v>486</v>
      </c>
      <c r="G108" s="31" t="s">
        <v>466</v>
      </c>
      <c r="H108" s="31" t="s">
        <v>41</v>
      </c>
      <c r="I108" s="31" t="n">
        <f aca="false">VLOOKUP(H108,Paramètres!$A$15:$B$19,2,FALSE())</f>
        <v>1</v>
      </c>
      <c r="J108" s="31" t="n">
        <v>1</v>
      </c>
      <c r="K108" s="50" t="str">
        <f aca="false">C108&amp;"|"&amp;J108</f>
        <v>API-FOOT|1</v>
      </c>
      <c r="L108" s="31"/>
      <c r="M108" s="31" t="n">
        <v>3</v>
      </c>
      <c r="N108" s="51" t="s">
        <v>462</v>
      </c>
      <c r="O108" s="35" t="s">
        <v>78</v>
      </c>
      <c r="P108" s="52"/>
      <c r="Q108" s="52"/>
      <c r="R108" s="33" t="n">
        <f aca="false">INDEX(Épopées!$L$6:$L$59,MATCH(K108,Épopées!$A$6:$A$59,0))</f>
        <v>46399</v>
      </c>
      <c r="S108" s="33" t="n">
        <f aca="false">INDEX(Épopées!$M$6:$M$59,MATCH(K108,Épopées!$A$6:$A$59,0))</f>
        <v>46440</v>
      </c>
      <c r="T108" s="53" t="s">
        <v>463</v>
      </c>
    </row>
    <row r="109" customFormat="false" ht="15" hidden="false" customHeight="false" outlineLevel="0" collapsed="false">
      <c r="A109" s="31" t="s">
        <v>697</v>
      </c>
      <c r="B109" s="31" t="s">
        <v>301</v>
      </c>
      <c r="C109" s="31" t="s">
        <v>309</v>
      </c>
      <c r="D109" s="31" t="s">
        <v>310</v>
      </c>
      <c r="E109" s="31" t="s">
        <v>698</v>
      </c>
      <c r="F109" s="31" t="s">
        <v>460</v>
      </c>
      <c r="G109" s="31" t="s">
        <v>461</v>
      </c>
      <c r="H109" s="31" t="s">
        <v>41</v>
      </c>
      <c r="I109" s="31" t="n">
        <f aca="false">VLOOKUP(H109,Paramètres!$A$15:$B$19,2,FALSE())</f>
        <v>1</v>
      </c>
      <c r="J109" s="31" t="n">
        <v>1</v>
      </c>
      <c r="K109" s="50" t="str">
        <f aca="false">C109&amp;"|"&amp;J109</f>
        <v>API-FOOT|1</v>
      </c>
      <c r="L109" s="31"/>
      <c r="M109" s="31" t="n">
        <v>4</v>
      </c>
      <c r="N109" s="51" t="s">
        <v>462</v>
      </c>
      <c r="O109" s="35" t="s">
        <v>78</v>
      </c>
      <c r="P109" s="52"/>
      <c r="Q109" s="52"/>
      <c r="R109" s="33" t="n">
        <f aca="false">INDEX(Épopées!$L$6:$L$59,MATCH(K109,Épopées!$A$6:$A$59,0))</f>
        <v>46399</v>
      </c>
      <c r="S109" s="33" t="n">
        <f aca="false">INDEX(Épopées!$M$6:$M$59,MATCH(K109,Épopées!$A$6:$A$59,0))</f>
        <v>46440</v>
      </c>
      <c r="T109" s="53" t="s">
        <v>463</v>
      </c>
    </row>
    <row r="110" customFormat="false" ht="15" hidden="false" customHeight="false" outlineLevel="0" collapsed="false">
      <c r="A110" s="31" t="s">
        <v>699</v>
      </c>
      <c r="B110" s="31" t="s">
        <v>301</v>
      </c>
      <c r="C110" s="31" t="s">
        <v>309</v>
      </c>
      <c r="D110" s="31" t="s">
        <v>310</v>
      </c>
      <c r="E110" s="31" t="s">
        <v>700</v>
      </c>
      <c r="F110" s="31" t="s">
        <v>548</v>
      </c>
      <c r="G110" s="31" t="s">
        <v>466</v>
      </c>
      <c r="H110" s="31" t="s">
        <v>39</v>
      </c>
      <c r="I110" s="31" t="n">
        <f aca="false">VLOOKUP(H110,Paramètres!$A$15:$B$19,2,FALSE())</f>
        <v>0.5</v>
      </c>
      <c r="J110" s="31" t="n">
        <v>1</v>
      </c>
      <c r="K110" s="50" t="str">
        <f aca="false">C110&amp;"|"&amp;J110</f>
        <v>API-FOOT|1</v>
      </c>
      <c r="L110" s="31"/>
      <c r="M110" s="31" t="n">
        <v>3</v>
      </c>
      <c r="N110" s="51" t="s">
        <v>462</v>
      </c>
      <c r="O110" s="35" t="s">
        <v>78</v>
      </c>
      <c r="P110" s="52"/>
      <c r="Q110" s="52"/>
      <c r="R110" s="33" t="n">
        <f aca="false">INDEX(Épopées!$L$6:$L$59,MATCH(K110,Épopées!$A$6:$A$59,0))</f>
        <v>46399</v>
      </c>
      <c r="S110" s="33" t="n">
        <f aca="false">INDEX(Épopées!$M$6:$M$59,MATCH(K110,Épopées!$A$6:$A$59,0))</f>
        <v>46440</v>
      </c>
      <c r="T110" s="53" t="s">
        <v>463</v>
      </c>
    </row>
    <row r="111" customFormat="false" ht="15" hidden="false" customHeight="false" outlineLevel="0" collapsed="false">
      <c r="A111" s="31" t="s">
        <v>701</v>
      </c>
      <c r="B111" s="31" t="s">
        <v>301</v>
      </c>
      <c r="C111" s="31" t="s">
        <v>309</v>
      </c>
      <c r="D111" s="31" t="s">
        <v>310</v>
      </c>
      <c r="E111" s="31" t="s">
        <v>702</v>
      </c>
      <c r="F111" s="31" t="s">
        <v>588</v>
      </c>
      <c r="G111" s="31" t="s">
        <v>461</v>
      </c>
      <c r="H111" s="31" t="s">
        <v>39</v>
      </c>
      <c r="I111" s="31" t="n">
        <f aca="false">VLOOKUP(H111,Paramètres!$A$15:$B$19,2,FALSE())</f>
        <v>0.5</v>
      </c>
      <c r="J111" s="31" t="n">
        <v>1</v>
      </c>
      <c r="K111" s="50" t="str">
        <f aca="false">C111&amp;"|"&amp;J111</f>
        <v>API-FOOT|1</v>
      </c>
      <c r="L111" s="31"/>
      <c r="M111" s="31" t="n">
        <v>3</v>
      </c>
      <c r="N111" s="51" t="s">
        <v>462</v>
      </c>
      <c r="O111" s="35" t="s">
        <v>78</v>
      </c>
      <c r="P111" s="52"/>
      <c r="Q111" s="52"/>
      <c r="R111" s="33" t="n">
        <f aca="false">INDEX(Épopées!$L$6:$L$59,MATCH(K111,Épopées!$A$6:$A$59,0))</f>
        <v>46399</v>
      </c>
      <c r="S111" s="33" t="n">
        <f aca="false">INDEX(Épopées!$M$6:$M$59,MATCH(K111,Épopées!$A$6:$A$59,0))</f>
        <v>46440</v>
      </c>
      <c r="T111" s="53" t="s">
        <v>463</v>
      </c>
    </row>
    <row r="112" customFormat="false" ht="15" hidden="false" customHeight="false" outlineLevel="0" collapsed="false">
      <c r="A112" s="31" t="s">
        <v>703</v>
      </c>
      <c r="B112" s="31" t="s">
        <v>301</v>
      </c>
      <c r="C112" s="31" t="s">
        <v>309</v>
      </c>
      <c r="D112" s="31" t="s">
        <v>310</v>
      </c>
      <c r="E112" s="31" t="s">
        <v>704</v>
      </c>
      <c r="F112" s="31" t="s">
        <v>491</v>
      </c>
      <c r="G112" s="31" t="s">
        <v>461</v>
      </c>
      <c r="H112" s="31" t="s">
        <v>41</v>
      </c>
      <c r="I112" s="31" t="n">
        <f aca="false">VLOOKUP(H112,Paramètres!$A$15:$B$19,2,FALSE())</f>
        <v>1</v>
      </c>
      <c r="J112" s="31" t="n">
        <v>1</v>
      </c>
      <c r="K112" s="50" t="str">
        <f aca="false">C112&amp;"|"&amp;J112</f>
        <v>API-FOOT|1</v>
      </c>
      <c r="L112" s="31" t="s">
        <v>687</v>
      </c>
      <c r="M112" s="31" t="n">
        <v>4</v>
      </c>
      <c r="N112" s="51" t="s">
        <v>462</v>
      </c>
      <c r="O112" s="35" t="s">
        <v>78</v>
      </c>
      <c r="P112" s="52"/>
      <c r="Q112" s="52"/>
      <c r="R112" s="33" t="n">
        <f aca="false">INDEX(Épopées!$L$6:$L$59,MATCH(K112,Épopées!$A$6:$A$59,0))</f>
        <v>46399</v>
      </c>
      <c r="S112" s="33" t="n">
        <f aca="false">INDEX(Épopées!$M$6:$M$59,MATCH(K112,Épopées!$A$6:$A$59,0))</f>
        <v>46440</v>
      </c>
      <c r="T112" s="53" t="s">
        <v>463</v>
      </c>
    </row>
    <row r="113" customFormat="false" ht="15" hidden="false" customHeight="false" outlineLevel="0" collapsed="false">
      <c r="A113" s="31" t="s">
        <v>705</v>
      </c>
      <c r="B113" s="31" t="s">
        <v>301</v>
      </c>
      <c r="C113" s="31" t="s">
        <v>309</v>
      </c>
      <c r="D113" s="31" t="s">
        <v>310</v>
      </c>
      <c r="E113" s="31" t="s">
        <v>706</v>
      </c>
      <c r="F113" s="31" t="s">
        <v>491</v>
      </c>
      <c r="G113" s="31" t="s">
        <v>466</v>
      </c>
      <c r="H113" s="31" t="s">
        <v>41</v>
      </c>
      <c r="I113" s="31" t="n">
        <f aca="false">VLOOKUP(H113,Paramètres!$A$15:$B$19,2,FALSE())</f>
        <v>1</v>
      </c>
      <c r="J113" s="31" t="n">
        <v>1</v>
      </c>
      <c r="K113" s="50" t="str">
        <f aca="false">C113&amp;"|"&amp;J113</f>
        <v>API-FOOT|1</v>
      </c>
      <c r="L113" s="31" t="s">
        <v>693</v>
      </c>
      <c r="M113" s="31" t="n">
        <v>3</v>
      </c>
      <c r="N113" s="51" t="s">
        <v>462</v>
      </c>
      <c r="O113" s="35" t="s">
        <v>78</v>
      </c>
      <c r="P113" s="52"/>
      <c r="Q113" s="52"/>
      <c r="R113" s="33" t="n">
        <f aca="false">INDEX(Épopées!$L$6:$L$59,MATCH(K113,Épopées!$A$6:$A$59,0))</f>
        <v>46399</v>
      </c>
      <c r="S113" s="33" t="n">
        <f aca="false">INDEX(Épopées!$M$6:$M$59,MATCH(K113,Épopées!$A$6:$A$59,0))</f>
        <v>46440</v>
      </c>
      <c r="T113" s="53" t="s">
        <v>463</v>
      </c>
    </row>
    <row r="114" customFormat="false" ht="15" hidden="false" customHeight="false" outlineLevel="0" collapsed="false">
      <c r="A114" s="31" t="s">
        <v>707</v>
      </c>
      <c r="B114" s="31" t="s">
        <v>301</v>
      </c>
      <c r="C114" s="31" t="s">
        <v>309</v>
      </c>
      <c r="D114" s="31" t="s">
        <v>310</v>
      </c>
      <c r="E114" s="31" t="s">
        <v>708</v>
      </c>
      <c r="F114" s="31" t="s">
        <v>460</v>
      </c>
      <c r="G114" s="31" t="s">
        <v>461</v>
      </c>
      <c r="H114" s="31" t="s">
        <v>41</v>
      </c>
      <c r="I114" s="31" t="n">
        <f aca="false">VLOOKUP(H114,Paramètres!$A$15:$B$19,2,FALSE())</f>
        <v>1</v>
      </c>
      <c r="J114" s="31" t="n">
        <v>1</v>
      </c>
      <c r="K114" s="50" t="str">
        <f aca="false">C114&amp;"|"&amp;J114</f>
        <v>API-FOOT|1</v>
      </c>
      <c r="L114" s="31" t="s">
        <v>709</v>
      </c>
      <c r="M114" s="31" t="n">
        <v>2</v>
      </c>
      <c r="N114" s="51" t="s">
        <v>462</v>
      </c>
      <c r="O114" s="35" t="s">
        <v>78</v>
      </c>
      <c r="P114" s="52"/>
      <c r="Q114" s="52"/>
      <c r="R114" s="33" t="n">
        <f aca="false">INDEX(Épopées!$L$6:$L$59,MATCH(K114,Épopées!$A$6:$A$59,0))</f>
        <v>46399</v>
      </c>
      <c r="S114" s="33" t="n">
        <f aca="false">INDEX(Épopées!$M$6:$M$59,MATCH(K114,Épopées!$A$6:$A$59,0))</f>
        <v>46440</v>
      </c>
      <c r="T114" s="53" t="s">
        <v>463</v>
      </c>
    </row>
    <row r="115" customFormat="false" ht="15" hidden="false" customHeight="false" outlineLevel="0" collapsed="false">
      <c r="A115" s="31" t="s">
        <v>710</v>
      </c>
      <c r="B115" s="31" t="s">
        <v>301</v>
      </c>
      <c r="C115" s="31" t="s">
        <v>309</v>
      </c>
      <c r="D115" s="31" t="s">
        <v>310</v>
      </c>
      <c r="E115" s="31" t="s">
        <v>711</v>
      </c>
      <c r="F115" s="31" t="s">
        <v>460</v>
      </c>
      <c r="G115" s="31" t="s">
        <v>461</v>
      </c>
      <c r="H115" s="31" t="s">
        <v>41</v>
      </c>
      <c r="I115" s="31" t="n">
        <f aca="false">VLOOKUP(H115,Paramètres!$A$15:$B$19,2,FALSE())</f>
        <v>1</v>
      </c>
      <c r="J115" s="31" t="n">
        <v>1</v>
      </c>
      <c r="K115" s="50" t="str">
        <f aca="false">C115&amp;"|"&amp;J115</f>
        <v>API-FOOT|1</v>
      </c>
      <c r="L115" s="31" t="s">
        <v>712</v>
      </c>
      <c r="M115" s="31" t="n">
        <v>3</v>
      </c>
      <c r="N115" s="51" t="s">
        <v>462</v>
      </c>
      <c r="O115" s="35" t="s">
        <v>78</v>
      </c>
      <c r="P115" s="52"/>
      <c r="Q115" s="52"/>
      <c r="R115" s="33" t="n">
        <f aca="false">INDEX(Épopées!$L$6:$L$59,MATCH(K115,Épopées!$A$6:$A$59,0))</f>
        <v>46399</v>
      </c>
      <c r="S115" s="33" t="n">
        <f aca="false">INDEX(Épopées!$M$6:$M$59,MATCH(K115,Épopées!$A$6:$A$59,0))</f>
        <v>46440</v>
      </c>
      <c r="T115" s="53" t="s">
        <v>463</v>
      </c>
    </row>
    <row r="116" customFormat="false" ht="15" hidden="false" customHeight="false" outlineLevel="0" collapsed="false">
      <c r="A116" s="31" t="s">
        <v>713</v>
      </c>
      <c r="B116" s="31" t="s">
        <v>301</v>
      </c>
      <c r="C116" s="31" t="s">
        <v>309</v>
      </c>
      <c r="D116" s="31" t="s">
        <v>310</v>
      </c>
      <c r="E116" s="31" t="s">
        <v>714</v>
      </c>
      <c r="F116" s="31" t="s">
        <v>460</v>
      </c>
      <c r="G116" s="31" t="s">
        <v>461</v>
      </c>
      <c r="H116" s="31" t="s">
        <v>41</v>
      </c>
      <c r="I116" s="31" t="n">
        <f aca="false">VLOOKUP(H116,Paramètres!$A$15:$B$19,2,FALSE())</f>
        <v>1</v>
      </c>
      <c r="J116" s="31" t="n">
        <v>1</v>
      </c>
      <c r="K116" s="50" t="str">
        <f aca="false">C116&amp;"|"&amp;J116</f>
        <v>API-FOOT|1</v>
      </c>
      <c r="L116" s="31" t="s">
        <v>715</v>
      </c>
      <c r="M116" s="31" t="n">
        <v>6</v>
      </c>
      <c r="N116" s="51" t="s">
        <v>462</v>
      </c>
      <c r="O116" s="35" t="s">
        <v>78</v>
      </c>
      <c r="P116" s="52"/>
      <c r="Q116" s="52"/>
      <c r="R116" s="33" t="n">
        <f aca="false">INDEX(Épopées!$L$6:$L$59,MATCH(K116,Épopées!$A$6:$A$59,0))</f>
        <v>46399</v>
      </c>
      <c r="S116" s="33" t="n">
        <f aca="false">INDEX(Épopées!$M$6:$M$59,MATCH(K116,Épopées!$A$6:$A$59,0))</f>
        <v>46440</v>
      </c>
      <c r="T116" s="53" t="s">
        <v>463</v>
      </c>
    </row>
    <row r="117" customFormat="false" ht="15" hidden="false" customHeight="false" outlineLevel="0" collapsed="false">
      <c r="A117" s="31" t="s">
        <v>716</v>
      </c>
      <c r="B117" s="31" t="s">
        <v>301</v>
      </c>
      <c r="C117" s="31" t="s">
        <v>309</v>
      </c>
      <c r="D117" s="31" t="s">
        <v>310</v>
      </c>
      <c r="E117" s="31" t="s">
        <v>717</v>
      </c>
      <c r="F117" s="31" t="s">
        <v>460</v>
      </c>
      <c r="G117" s="31" t="s">
        <v>461</v>
      </c>
      <c r="H117" s="31" t="s">
        <v>39</v>
      </c>
      <c r="I117" s="31" t="n">
        <f aca="false">VLOOKUP(H117,Paramètres!$A$15:$B$19,2,FALSE())</f>
        <v>0.5</v>
      </c>
      <c r="J117" s="31" t="n">
        <v>1</v>
      </c>
      <c r="K117" s="50" t="str">
        <f aca="false">C117&amp;"|"&amp;J117</f>
        <v>API-FOOT|1</v>
      </c>
      <c r="L117" s="31" t="s">
        <v>713</v>
      </c>
      <c r="M117" s="31" t="n">
        <v>9</v>
      </c>
      <c r="N117" s="51" t="s">
        <v>462</v>
      </c>
      <c r="O117" s="35" t="s">
        <v>78</v>
      </c>
      <c r="P117" s="52"/>
      <c r="Q117" s="52"/>
      <c r="R117" s="33" t="n">
        <f aca="false">INDEX(Épopées!$L$6:$L$59,MATCH(K117,Épopées!$A$6:$A$59,0))</f>
        <v>46399</v>
      </c>
      <c r="S117" s="33" t="n">
        <f aca="false">INDEX(Épopées!$M$6:$M$59,MATCH(K117,Épopées!$A$6:$A$59,0))</f>
        <v>46440</v>
      </c>
      <c r="T117" s="53" t="s">
        <v>463</v>
      </c>
    </row>
    <row r="118" customFormat="false" ht="15" hidden="false" customHeight="false" outlineLevel="0" collapsed="false">
      <c r="A118" s="31" t="s">
        <v>718</v>
      </c>
      <c r="B118" s="31" t="s">
        <v>301</v>
      </c>
      <c r="C118" s="31" t="s">
        <v>309</v>
      </c>
      <c r="D118" s="31" t="s">
        <v>310</v>
      </c>
      <c r="E118" s="31" t="s">
        <v>719</v>
      </c>
      <c r="F118" s="31" t="s">
        <v>460</v>
      </c>
      <c r="G118" s="31" t="s">
        <v>461</v>
      </c>
      <c r="H118" s="31" t="s">
        <v>41</v>
      </c>
      <c r="I118" s="31" t="n">
        <f aca="false">VLOOKUP(H118,Paramètres!$A$15:$B$19,2,FALSE())</f>
        <v>1</v>
      </c>
      <c r="J118" s="31" t="n">
        <v>1</v>
      </c>
      <c r="K118" s="50" t="str">
        <f aca="false">C118&amp;"|"&amp;J118</f>
        <v>API-FOOT|1</v>
      </c>
      <c r="L118" s="31" t="s">
        <v>720</v>
      </c>
      <c r="M118" s="31" t="n">
        <v>1</v>
      </c>
      <c r="N118" s="51" t="s">
        <v>462</v>
      </c>
      <c r="O118" s="35" t="s">
        <v>78</v>
      </c>
      <c r="P118" s="52"/>
      <c r="Q118" s="52"/>
      <c r="R118" s="33" t="n">
        <f aca="false">INDEX(Épopées!$L$6:$L$59,MATCH(K118,Épopées!$A$6:$A$59,0))</f>
        <v>46399</v>
      </c>
      <c r="S118" s="33" t="n">
        <f aca="false">INDEX(Épopées!$M$6:$M$59,MATCH(K118,Épopées!$A$6:$A$59,0))</f>
        <v>46440</v>
      </c>
      <c r="T118" s="53" t="s">
        <v>463</v>
      </c>
    </row>
    <row r="119" customFormat="false" ht="15" hidden="false" customHeight="false" outlineLevel="0" collapsed="false">
      <c r="A119" s="31" t="s">
        <v>721</v>
      </c>
      <c r="B119" s="31" t="s">
        <v>301</v>
      </c>
      <c r="C119" s="31" t="s">
        <v>309</v>
      </c>
      <c r="D119" s="31" t="s">
        <v>310</v>
      </c>
      <c r="E119" s="31" t="s">
        <v>722</v>
      </c>
      <c r="F119" s="31" t="s">
        <v>460</v>
      </c>
      <c r="G119" s="31" t="s">
        <v>461</v>
      </c>
      <c r="H119" s="31" t="s">
        <v>43</v>
      </c>
      <c r="I119" s="31" t="n">
        <f aca="false">VLOOKUP(H119,Paramètres!$A$15:$B$19,2,FALSE())</f>
        <v>2</v>
      </c>
      <c r="J119" s="31" t="n">
        <v>1</v>
      </c>
      <c r="K119" s="50" t="str">
        <f aca="false">C119&amp;"|"&amp;J119</f>
        <v>API-FOOT|1</v>
      </c>
      <c r="L119" s="31" t="s">
        <v>723</v>
      </c>
      <c r="M119" s="31" t="n">
        <v>6</v>
      </c>
      <c r="N119" s="51" t="s">
        <v>462</v>
      </c>
      <c r="O119" s="35" t="s">
        <v>78</v>
      </c>
      <c r="P119" s="52"/>
      <c r="Q119" s="52"/>
      <c r="R119" s="33" t="n">
        <f aca="false">INDEX(Épopées!$L$6:$L$59,MATCH(K119,Épopées!$A$6:$A$59,0))</f>
        <v>46399</v>
      </c>
      <c r="S119" s="33" t="n">
        <f aca="false">INDEX(Épopées!$M$6:$M$59,MATCH(K119,Épopées!$A$6:$A$59,0))</f>
        <v>46440</v>
      </c>
      <c r="T119" s="53" t="s">
        <v>463</v>
      </c>
    </row>
    <row r="120" customFormat="false" ht="15" hidden="false" customHeight="false" outlineLevel="0" collapsed="false">
      <c r="A120" s="31" t="s">
        <v>724</v>
      </c>
      <c r="B120" s="31" t="s">
        <v>301</v>
      </c>
      <c r="C120" s="31" t="s">
        <v>309</v>
      </c>
      <c r="D120" s="31" t="s">
        <v>310</v>
      </c>
      <c r="E120" s="31" t="s">
        <v>725</v>
      </c>
      <c r="F120" s="31" t="s">
        <v>460</v>
      </c>
      <c r="G120" s="31" t="s">
        <v>461</v>
      </c>
      <c r="H120" s="31" t="s">
        <v>43</v>
      </c>
      <c r="I120" s="31" t="n">
        <f aca="false">VLOOKUP(H120,Paramètres!$A$15:$B$19,2,FALSE())</f>
        <v>2</v>
      </c>
      <c r="J120" s="31" t="n">
        <v>1</v>
      </c>
      <c r="K120" s="50" t="str">
        <f aca="false">C120&amp;"|"&amp;J120</f>
        <v>API-FOOT|1</v>
      </c>
      <c r="L120" s="31" t="s">
        <v>726</v>
      </c>
      <c r="M120" s="31" t="n">
        <v>6</v>
      </c>
      <c r="N120" s="51" t="s">
        <v>462</v>
      </c>
      <c r="O120" s="35" t="s">
        <v>78</v>
      </c>
      <c r="P120" s="52"/>
      <c r="Q120" s="52"/>
      <c r="R120" s="33" t="n">
        <f aca="false">INDEX(Épopées!$L$6:$L$59,MATCH(K120,Épopées!$A$6:$A$59,0))</f>
        <v>46399</v>
      </c>
      <c r="S120" s="33" t="n">
        <f aca="false">INDEX(Épopées!$M$6:$M$59,MATCH(K120,Épopées!$A$6:$A$59,0))</f>
        <v>46440</v>
      </c>
      <c r="T120" s="53" t="s">
        <v>463</v>
      </c>
    </row>
    <row r="121" customFormat="false" ht="15" hidden="false" customHeight="false" outlineLevel="0" collapsed="false">
      <c r="A121" s="31" t="s">
        <v>727</v>
      </c>
      <c r="B121" s="31" t="s">
        <v>301</v>
      </c>
      <c r="C121" s="31" t="s">
        <v>309</v>
      </c>
      <c r="D121" s="31" t="s">
        <v>310</v>
      </c>
      <c r="E121" s="31" t="s">
        <v>728</v>
      </c>
      <c r="F121" s="31" t="s">
        <v>460</v>
      </c>
      <c r="G121" s="31" t="s">
        <v>466</v>
      </c>
      <c r="H121" s="31" t="s">
        <v>41</v>
      </c>
      <c r="I121" s="31" t="n">
        <f aca="false">VLOOKUP(H121,Paramètres!$A$15:$B$19,2,FALSE())</f>
        <v>1</v>
      </c>
      <c r="J121" s="31" t="n">
        <v>1</v>
      </c>
      <c r="K121" s="50" t="str">
        <f aca="false">C121&amp;"|"&amp;J121</f>
        <v>API-FOOT|1</v>
      </c>
      <c r="L121" s="31" t="s">
        <v>729</v>
      </c>
      <c r="M121" s="31" t="n">
        <v>3</v>
      </c>
      <c r="N121" s="51" t="s">
        <v>462</v>
      </c>
      <c r="O121" s="35" t="s">
        <v>78</v>
      </c>
      <c r="P121" s="52"/>
      <c r="Q121" s="52"/>
      <c r="R121" s="33" t="n">
        <f aca="false">INDEX(Épopées!$L$6:$L$59,MATCH(K121,Épopées!$A$6:$A$59,0))</f>
        <v>46399</v>
      </c>
      <c r="S121" s="33" t="n">
        <f aca="false">INDEX(Épopées!$M$6:$M$59,MATCH(K121,Épopées!$A$6:$A$59,0))</f>
        <v>46440</v>
      </c>
      <c r="T121" s="53" t="s">
        <v>463</v>
      </c>
    </row>
    <row r="122" customFormat="false" ht="15" hidden="false" customHeight="false" outlineLevel="0" collapsed="false">
      <c r="A122" s="31" t="s">
        <v>730</v>
      </c>
      <c r="B122" s="31" t="s">
        <v>301</v>
      </c>
      <c r="C122" s="31" t="s">
        <v>309</v>
      </c>
      <c r="D122" s="31" t="s">
        <v>310</v>
      </c>
      <c r="E122" s="31" t="s">
        <v>731</v>
      </c>
      <c r="F122" s="31" t="s">
        <v>460</v>
      </c>
      <c r="G122" s="31" t="s">
        <v>461</v>
      </c>
      <c r="H122" s="31" t="s">
        <v>39</v>
      </c>
      <c r="I122" s="31" t="n">
        <f aca="false">VLOOKUP(H122,Paramètres!$A$15:$B$19,2,FALSE())</f>
        <v>0.5</v>
      </c>
      <c r="J122" s="31" t="n">
        <v>1</v>
      </c>
      <c r="K122" s="50" t="str">
        <f aca="false">C122&amp;"|"&amp;J122</f>
        <v>API-FOOT|1</v>
      </c>
      <c r="L122" s="31" t="s">
        <v>732</v>
      </c>
      <c r="M122" s="31" t="n">
        <v>3</v>
      </c>
      <c r="N122" s="51" t="s">
        <v>462</v>
      </c>
      <c r="O122" s="35" t="s">
        <v>78</v>
      </c>
      <c r="P122" s="52"/>
      <c r="Q122" s="52"/>
      <c r="R122" s="33" t="n">
        <f aca="false">INDEX(Épopées!$L$6:$L$59,MATCH(K122,Épopées!$A$6:$A$59,0))</f>
        <v>46399</v>
      </c>
      <c r="S122" s="33" t="n">
        <f aca="false">INDEX(Épopées!$M$6:$M$59,MATCH(K122,Épopées!$A$6:$A$59,0))</f>
        <v>46440</v>
      </c>
      <c r="T122" s="53" t="s">
        <v>463</v>
      </c>
    </row>
    <row r="123" customFormat="false" ht="15" hidden="false" customHeight="false" outlineLevel="0" collapsed="false">
      <c r="A123" s="31" t="s">
        <v>733</v>
      </c>
      <c r="B123" s="31" t="s">
        <v>301</v>
      </c>
      <c r="C123" s="31" t="s">
        <v>309</v>
      </c>
      <c r="D123" s="31" t="s">
        <v>310</v>
      </c>
      <c r="E123" s="31" t="s">
        <v>734</v>
      </c>
      <c r="F123" s="31" t="s">
        <v>460</v>
      </c>
      <c r="G123" s="31" t="s">
        <v>466</v>
      </c>
      <c r="H123" s="31" t="s">
        <v>41</v>
      </c>
      <c r="I123" s="31" t="n">
        <f aca="false">VLOOKUP(H123,Paramètres!$A$15:$B$19,2,FALSE())</f>
        <v>1</v>
      </c>
      <c r="J123" s="31" t="n">
        <v>1</v>
      </c>
      <c r="K123" s="50" t="str">
        <f aca="false">C123&amp;"|"&amp;J123</f>
        <v>API-FOOT|1</v>
      </c>
      <c r="L123" s="31" t="s">
        <v>724</v>
      </c>
      <c r="M123" s="31" t="n">
        <v>2</v>
      </c>
      <c r="N123" s="51" t="s">
        <v>462</v>
      </c>
      <c r="O123" s="35" t="s">
        <v>78</v>
      </c>
      <c r="P123" s="52"/>
      <c r="Q123" s="52"/>
      <c r="R123" s="33" t="n">
        <f aca="false">INDEX(Épopées!$L$6:$L$59,MATCH(K123,Épopées!$A$6:$A$59,0))</f>
        <v>46399</v>
      </c>
      <c r="S123" s="33" t="n">
        <f aca="false">INDEX(Épopées!$M$6:$M$59,MATCH(K123,Épopées!$A$6:$A$59,0))</f>
        <v>46440</v>
      </c>
      <c r="T123" s="53" t="s">
        <v>463</v>
      </c>
    </row>
    <row r="124" customFormat="false" ht="15" hidden="false" customHeight="false" outlineLevel="0" collapsed="false">
      <c r="A124" s="31" t="s">
        <v>735</v>
      </c>
      <c r="B124" s="31" t="s">
        <v>301</v>
      </c>
      <c r="C124" s="31" t="s">
        <v>309</v>
      </c>
      <c r="D124" s="31" t="s">
        <v>310</v>
      </c>
      <c r="E124" s="31" t="s">
        <v>736</v>
      </c>
      <c r="F124" s="31" t="s">
        <v>460</v>
      </c>
      <c r="G124" s="31" t="s">
        <v>466</v>
      </c>
      <c r="H124" s="31" t="s">
        <v>39</v>
      </c>
      <c r="I124" s="31" t="n">
        <f aca="false">VLOOKUP(H124,Paramètres!$A$15:$B$19,2,FALSE())</f>
        <v>0.5</v>
      </c>
      <c r="J124" s="31" t="n">
        <v>1</v>
      </c>
      <c r="K124" s="50" t="str">
        <f aca="false">C124&amp;"|"&amp;J124</f>
        <v>API-FOOT|1</v>
      </c>
      <c r="L124" s="31" t="s">
        <v>689</v>
      </c>
      <c r="M124" s="31" t="n">
        <v>3</v>
      </c>
      <c r="N124" s="51" t="s">
        <v>462</v>
      </c>
      <c r="O124" s="35" t="s">
        <v>78</v>
      </c>
      <c r="P124" s="52"/>
      <c r="Q124" s="52"/>
      <c r="R124" s="33" t="n">
        <f aca="false">INDEX(Épopées!$L$6:$L$59,MATCH(K124,Épopées!$A$6:$A$59,0))</f>
        <v>46399</v>
      </c>
      <c r="S124" s="33" t="n">
        <f aca="false">INDEX(Épopées!$M$6:$M$59,MATCH(K124,Épopées!$A$6:$A$59,0))</f>
        <v>46440</v>
      </c>
      <c r="T124" s="53" t="s">
        <v>463</v>
      </c>
    </row>
    <row r="125" customFormat="false" ht="15" hidden="false" customHeight="false" outlineLevel="0" collapsed="false">
      <c r="A125" s="31" t="s">
        <v>737</v>
      </c>
      <c r="B125" s="31" t="s">
        <v>301</v>
      </c>
      <c r="C125" s="31" t="s">
        <v>309</v>
      </c>
      <c r="D125" s="31" t="s">
        <v>310</v>
      </c>
      <c r="E125" s="31" t="s">
        <v>738</v>
      </c>
      <c r="F125" s="31" t="s">
        <v>481</v>
      </c>
      <c r="G125" s="31" t="s">
        <v>461</v>
      </c>
      <c r="H125" s="31" t="s">
        <v>43</v>
      </c>
      <c r="I125" s="31" t="n">
        <f aca="false">VLOOKUP(H125,Paramètres!$A$15:$B$19,2,FALSE())</f>
        <v>2</v>
      </c>
      <c r="J125" s="31" t="n">
        <v>1</v>
      </c>
      <c r="K125" s="50" t="str">
        <f aca="false">C125&amp;"|"&amp;J125</f>
        <v>API-FOOT|1</v>
      </c>
      <c r="L125" s="31"/>
      <c r="M125" s="31" t="n">
        <v>2</v>
      </c>
      <c r="N125" s="51" t="s">
        <v>462</v>
      </c>
      <c r="O125" s="35" t="s">
        <v>78</v>
      </c>
      <c r="P125" s="52"/>
      <c r="Q125" s="52"/>
      <c r="R125" s="33" t="n">
        <f aca="false">INDEX(Épopées!$L$6:$L$59,MATCH(K125,Épopées!$A$6:$A$59,0))</f>
        <v>46399</v>
      </c>
      <c r="S125" s="33" t="n">
        <f aca="false">INDEX(Épopées!$M$6:$M$59,MATCH(K125,Épopées!$A$6:$A$59,0))</f>
        <v>46440</v>
      </c>
      <c r="T125" s="53" t="s">
        <v>463</v>
      </c>
    </row>
    <row r="126" customFormat="false" ht="15" hidden="false" customHeight="false" outlineLevel="0" collapsed="false">
      <c r="A126" s="31" t="s">
        <v>739</v>
      </c>
      <c r="B126" s="31" t="s">
        <v>301</v>
      </c>
      <c r="C126" s="31" t="s">
        <v>309</v>
      </c>
      <c r="D126" s="31" t="s">
        <v>310</v>
      </c>
      <c r="E126" s="31" t="s">
        <v>740</v>
      </c>
      <c r="F126" s="31" t="s">
        <v>481</v>
      </c>
      <c r="G126" s="31" t="s">
        <v>461</v>
      </c>
      <c r="H126" s="31" t="s">
        <v>41</v>
      </c>
      <c r="I126" s="31" t="n">
        <f aca="false">VLOOKUP(H126,Paramètres!$A$15:$B$19,2,FALSE())</f>
        <v>1</v>
      </c>
      <c r="J126" s="31" t="n">
        <v>1</v>
      </c>
      <c r="K126" s="50" t="str">
        <f aca="false">C126&amp;"|"&amp;J126</f>
        <v>API-FOOT|1</v>
      </c>
      <c r="L126" s="31" t="s">
        <v>737</v>
      </c>
      <c r="M126" s="31" t="n">
        <v>1</v>
      </c>
      <c r="N126" s="51" t="s">
        <v>462</v>
      </c>
      <c r="O126" s="35" t="s">
        <v>78</v>
      </c>
      <c r="P126" s="52"/>
      <c r="Q126" s="52"/>
      <c r="R126" s="33" t="n">
        <f aca="false">INDEX(Épopées!$L$6:$L$59,MATCH(K126,Épopées!$A$6:$A$59,0))</f>
        <v>46399</v>
      </c>
      <c r="S126" s="33" t="n">
        <f aca="false">INDEX(Épopées!$M$6:$M$59,MATCH(K126,Épopées!$A$6:$A$59,0))</f>
        <v>46440</v>
      </c>
      <c r="T126" s="53" t="s">
        <v>463</v>
      </c>
    </row>
    <row r="127" customFormat="false" ht="15" hidden="false" customHeight="false" outlineLevel="0" collapsed="false">
      <c r="A127" s="31" t="s">
        <v>741</v>
      </c>
      <c r="B127" s="31" t="s">
        <v>301</v>
      </c>
      <c r="C127" s="31" t="s">
        <v>309</v>
      </c>
      <c r="D127" s="31" t="s">
        <v>310</v>
      </c>
      <c r="E127" s="31" t="s">
        <v>742</v>
      </c>
      <c r="F127" s="31" t="s">
        <v>491</v>
      </c>
      <c r="G127" s="31" t="s">
        <v>461</v>
      </c>
      <c r="H127" s="31" t="s">
        <v>43</v>
      </c>
      <c r="I127" s="31" t="n">
        <f aca="false">VLOOKUP(H127,Paramètres!$A$15:$B$19,2,FALSE())</f>
        <v>2</v>
      </c>
      <c r="J127" s="31" t="n">
        <v>1</v>
      </c>
      <c r="K127" s="50" t="str">
        <f aca="false">C127&amp;"|"&amp;J127</f>
        <v>API-FOOT|1</v>
      </c>
      <c r="L127" s="31" t="s">
        <v>743</v>
      </c>
      <c r="M127" s="31" t="n">
        <v>2</v>
      </c>
      <c r="N127" s="51" t="s">
        <v>462</v>
      </c>
      <c r="O127" s="35" t="s">
        <v>78</v>
      </c>
      <c r="P127" s="52"/>
      <c r="Q127" s="52"/>
      <c r="R127" s="33" t="n">
        <f aca="false">INDEX(Épopées!$L$6:$L$59,MATCH(K127,Épopées!$A$6:$A$59,0))</f>
        <v>46399</v>
      </c>
      <c r="S127" s="33" t="n">
        <f aca="false">INDEX(Épopées!$M$6:$M$59,MATCH(K127,Épopées!$A$6:$A$59,0))</f>
        <v>46440</v>
      </c>
      <c r="T127" s="53" t="s">
        <v>463</v>
      </c>
    </row>
    <row r="128" customFormat="false" ht="15" hidden="false" customHeight="false" outlineLevel="0" collapsed="false">
      <c r="A128" s="31" t="s">
        <v>744</v>
      </c>
      <c r="B128" s="31" t="s">
        <v>301</v>
      </c>
      <c r="C128" s="31" t="s">
        <v>309</v>
      </c>
      <c r="D128" s="31" t="s">
        <v>310</v>
      </c>
      <c r="E128" s="31" t="s">
        <v>745</v>
      </c>
      <c r="F128" s="31" t="s">
        <v>481</v>
      </c>
      <c r="G128" s="31" t="s">
        <v>461</v>
      </c>
      <c r="H128" s="31" t="s">
        <v>43</v>
      </c>
      <c r="I128" s="31" t="n">
        <f aca="false">VLOOKUP(H128,Paramètres!$A$15:$B$19,2,FALSE())</f>
        <v>2</v>
      </c>
      <c r="J128" s="31" t="n">
        <v>1</v>
      </c>
      <c r="K128" s="50" t="str">
        <f aca="false">C128&amp;"|"&amp;J128</f>
        <v>API-FOOT|1</v>
      </c>
      <c r="L128" s="31" t="s">
        <v>746</v>
      </c>
      <c r="M128" s="31" t="n">
        <v>1</v>
      </c>
      <c r="N128" s="51" t="s">
        <v>462</v>
      </c>
      <c r="O128" s="35" t="s">
        <v>78</v>
      </c>
      <c r="P128" s="52"/>
      <c r="Q128" s="52"/>
      <c r="R128" s="33" t="n">
        <f aca="false">INDEX(Épopées!$L$6:$L$59,MATCH(K128,Épopées!$A$6:$A$59,0))</f>
        <v>46399</v>
      </c>
      <c r="S128" s="33" t="n">
        <f aca="false">INDEX(Épopées!$M$6:$M$59,MATCH(K128,Épopées!$A$6:$A$59,0))</f>
        <v>46440</v>
      </c>
      <c r="T128" s="53" t="s">
        <v>463</v>
      </c>
    </row>
    <row r="129" customFormat="false" ht="15" hidden="false" customHeight="false" outlineLevel="0" collapsed="false">
      <c r="A129" s="31" t="s">
        <v>747</v>
      </c>
      <c r="B129" s="31" t="s">
        <v>301</v>
      </c>
      <c r="C129" s="31" t="s">
        <v>309</v>
      </c>
      <c r="D129" s="31" t="s">
        <v>310</v>
      </c>
      <c r="E129" s="31" t="s">
        <v>748</v>
      </c>
      <c r="F129" s="31" t="s">
        <v>481</v>
      </c>
      <c r="G129" s="31" t="s">
        <v>461</v>
      </c>
      <c r="H129" s="31" t="s">
        <v>41</v>
      </c>
      <c r="I129" s="31" t="n">
        <f aca="false">VLOOKUP(H129,Paramètres!$A$15:$B$19,2,FALSE())</f>
        <v>1</v>
      </c>
      <c r="J129" s="31" t="n">
        <v>1</v>
      </c>
      <c r="K129" s="50" t="str">
        <f aca="false">C129&amp;"|"&amp;J129</f>
        <v>API-FOOT|1</v>
      </c>
      <c r="L129" s="31" t="s">
        <v>744</v>
      </c>
      <c r="M129" s="31" t="n">
        <v>1</v>
      </c>
      <c r="N129" s="51" t="s">
        <v>462</v>
      </c>
      <c r="O129" s="35" t="s">
        <v>78</v>
      </c>
      <c r="P129" s="52"/>
      <c r="Q129" s="52"/>
      <c r="R129" s="33" t="n">
        <f aca="false">INDEX(Épopées!$L$6:$L$59,MATCH(K129,Épopées!$A$6:$A$59,0))</f>
        <v>46399</v>
      </c>
      <c r="S129" s="33" t="n">
        <f aca="false">INDEX(Épopées!$M$6:$M$59,MATCH(K129,Épopées!$A$6:$A$59,0))</f>
        <v>46440</v>
      </c>
      <c r="T129" s="53" t="s">
        <v>463</v>
      </c>
    </row>
    <row r="130" customFormat="false" ht="15" hidden="false" customHeight="false" outlineLevel="0" collapsed="false">
      <c r="A130" s="31" t="s">
        <v>749</v>
      </c>
      <c r="B130" s="31" t="s">
        <v>301</v>
      </c>
      <c r="C130" s="31" t="s">
        <v>309</v>
      </c>
      <c r="D130" s="31" t="s">
        <v>310</v>
      </c>
      <c r="E130" s="31" t="s">
        <v>750</v>
      </c>
      <c r="F130" s="31" t="s">
        <v>491</v>
      </c>
      <c r="G130" s="31" t="s">
        <v>461</v>
      </c>
      <c r="H130" s="31" t="s">
        <v>43</v>
      </c>
      <c r="I130" s="31" t="n">
        <f aca="false">VLOOKUP(H130,Paramètres!$A$15:$B$19,2,FALSE())</f>
        <v>2</v>
      </c>
      <c r="J130" s="31" t="n">
        <v>1</v>
      </c>
      <c r="K130" s="50" t="str">
        <f aca="false">C130&amp;"|"&amp;J130</f>
        <v>API-FOOT|1</v>
      </c>
      <c r="L130" s="31" t="s">
        <v>751</v>
      </c>
      <c r="M130" s="31" t="n">
        <v>1</v>
      </c>
      <c r="N130" s="51" t="s">
        <v>462</v>
      </c>
      <c r="O130" s="35" t="s">
        <v>78</v>
      </c>
      <c r="P130" s="52"/>
      <c r="Q130" s="52"/>
      <c r="R130" s="33" t="n">
        <f aca="false">INDEX(Épopées!$L$6:$L$59,MATCH(K130,Épopées!$A$6:$A$59,0))</f>
        <v>46399</v>
      </c>
      <c r="S130" s="33" t="n">
        <f aca="false">INDEX(Épopées!$M$6:$M$59,MATCH(K130,Épopées!$A$6:$A$59,0))</f>
        <v>46440</v>
      </c>
      <c r="T130" s="53" t="s">
        <v>463</v>
      </c>
    </row>
    <row r="131" customFormat="false" ht="15" hidden="false" customHeight="false" outlineLevel="0" collapsed="false">
      <c r="A131" s="31" t="s">
        <v>752</v>
      </c>
      <c r="B131" s="31" t="s">
        <v>301</v>
      </c>
      <c r="C131" s="31" t="s">
        <v>309</v>
      </c>
      <c r="D131" s="31" t="s">
        <v>310</v>
      </c>
      <c r="E131" s="31" t="s">
        <v>753</v>
      </c>
      <c r="F131" s="31" t="s">
        <v>491</v>
      </c>
      <c r="G131" s="31" t="s">
        <v>461</v>
      </c>
      <c r="H131" s="31" t="s">
        <v>41</v>
      </c>
      <c r="I131" s="31" t="n">
        <f aca="false">VLOOKUP(H131,Paramètres!$A$15:$B$19,2,FALSE())</f>
        <v>1</v>
      </c>
      <c r="J131" s="31" t="n">
        <v>1</v>
      </c>
      <c r="K131" s="50" t="str">
        <f aca="false">C131&amp;"|"&amp;J131</f>
        <v>API-FOOT|1</v>
      </c>
      <c r="L131" s="31" t="s">
        <v>741</v>
      </c>
      <c r="M131" s="31" t="n">
        <v>2</v>
      </c>
      <c r="N131" s="51" t="s">
        <v>462</v>
      </c>
      <c r="O131" s="35" t="s">
        <v>78</v>
      </c>
      <c r="P131" s="52"/>
      <c r="Q131" s="52"/>
      <c r="R131" s="33" t="n">
        <f aca="false">INDEX(Épopées!$L$6:$L$59,MATCH(K131,Épopées!$A$6:$A$59,0))</f>
        <v>46399</v>
      </c>
      <c r="S131" s="33" t="n">
        <f aca="false">INDEX(Épopées!$M$6:$M$59,MATCH(K131,Épopées!$A$6:$A$59,0))</f>
        <v>46440</v>
      </c>
      <c r="T131" s="53" t="s">
        <v>463</v>
      </c>
    </row>
    <row r="132" customFormat="false" ht="15" hidden="false" customHeight="false" outlineLevel="0" collapsed="false">
      <c r="A132" s="31" t="s">
        <v>754</v>
      </c>
      <c r="B132" s="31" t="s">
        <v>301</v>
      </c>
      <c r="C132" s="31" t="s">
        <v>309</v>
      </c>
      <c r="D132" s="31" t="s">
        <v>310</v>
      </c>
      <c r="E132" s="31" t="s">
        <v>755</v>
      </c>
      <c r="F132" s="31" t="s">
        <v>491</v>
      </c>
      <c r="G132" s="31" t="s">
        <v>461</v>
      </c>
      <c r="H132" s="31" t="s">
        <v>41</v>
      </c>
      <c r="I132" s="31" t="n">
        <f aca="false">VLOOKUP(H132,Paramètres!$A$15:$B$19,2,FALSE())</f>
        <v>1</v>
      </c>
      <c r="J132" s="31" t="n">
        <v>1</v>
      </c>
      <c r="K132" s="50" t="str">
        <f aca="false">C132&amp;"|"&amp;J132</f>
        <v>API-FOOT|1</v>
      </c>
      <c r="L132" s="31" t="s">
        <v>744</v>
      </c>
      <c r="M132" s="31" t="n">
        <v>3</v>
      </c>
      <c r="N132" s="51" t="s">
        <v>462</v>
      </c>
      <c r="O132" s="35" t="s">
        <v>78</v>
      </c>
      <c r="P132" s="52"/>
      <c r="Q132" s="52"/>
      <c r="R132" s="33" t="n">
        <f aca="false">INDEX(Épopées!$L$6:$L$59,MATCH(K132,Épopées!$A$6:$A$59,0))</f>
        <v>46399</v>
      </c>
      <c r="S132" s="33" t="n">
        <f aca="false">INDEX(Épopées!$M$6:$M$59,MATCH(K132,Épopées!$A$6:$A$59,0))</f>
        <v>46440</v>
      </c>
      <c r="T132" s="53" t="s">
        <v>463</v>
      </c>
    </row>
    <row r="133" customFormat="false" ht="15" hidden="false" customHeight="false" outlineLevel="0" collapsed="false">
      <c r="A133" s="31" t="s">
        <v>756</v>
      </c>
      <c r="B133" s="31" t="s">
        <v>301</v>
      </c>
      <c r="C133" s="31" t="s">
        <v>309</v>
      </c>
      <c r="D133" s="31" t="s">
        <v>310</v>
      </c>
      <c r="E133" s="31" t="s">
        <v>757</v>
      </c>
      <c r="F133" s="31" t="s">
        <v>548</v>
      </c>
      <c r="G133" s="31" t="s">
        <v>461</v>
      </c>
      <c r="H133" s="31" t="s">
        <v>41</v>
      </c>
      <c r="I133" s="31" t="n">
        <f aca="false">VLOOKUP(H133,Paramètres!$A$15:$B$19,2,FALSE())</f>
        <v>1</v>
      </c>
      <c r="J133" s="31" t="n">
        <v>1</v>
      </c>
      <c r="K133" s="50" t="str">
        <f aca="false">C133&amp;"|"&amp;J133</f>
        <v>API-FOOT|1</v>
      </c>
      <c r="L133" s="31"/>
      <c r="M133" s="31" t="n">
        <v>3</v>
      </c>
      <c r="N133" s="51" t="s">
        <v>462</v>
      </c>
      <c r="O133" s="35" t="s">
        <v>78</v>
      </c>
      <c r="P133" s="52"/>
      <c r="Q133" s="52"/>
      <c r="R133" s="33" t="n">
        <f aca="false">INDEX(Épopées!$L$6:$L$59,MATCH(K133,Épopées!$A$6:$A$59,0))</f>
        <v>46399</v>
      </c>
      <c r="S133" s="33" t="n">
        <f aca="false">INDEX(Épopées!$M$6:$M$59,MATCH(K133,Épopées!$A$6:$A$59,0))</f>
        <v>46440</v>
      </c>
      <c r="T133" s="53" t="s">
        <v>463</v>
      </c>
    </row>
    <row r="134" customFormat="false" ht="15" hidden="false" customHeight="false" outlineLevel="0" collapsed="false">
      <c r="A134" s="31" t="s">
        <v>758</v>
      </c>
      <c r="B134" s="31" t="s">
        <v>301</v>
      </c>
      <c r="C134" s="31" t="s">
        <v>309</v>
      </c>
      <c r="D134" s="31" t="s">
        <v>310</v>
      </c>
      <c r="E134" s="31" t="s">
        <v>759</v>
      </c>
      <c r="F134" s="31" t="s">
        <v>460</v>
      </c>
      <c r="G134" s="31" t="s">
        <v>466</v>
      </c>
      <c r="H134" s="31" t="s">
        <v>41</v>
      </c>
      <c r="I134" s="31" t="n">
        <f aca="false">VLOOKUP(H134,Paramètres!$A$15:$B$19,2,FALSE())</f>
        <v>1</v>
      </c>
      <c r="J134" s="31" t="n">
        <v>1</v>
      </c>
      <c r="K134" s="50" t="str">
        <f aca="false">C134&amp;"|"&amp;J134</f>
        <v>API-FOOT|1</v>
      </c>
      <c r="L134" s="31" t="s">
        <v>760</v>
      </c>
      <c r="M134" s="31" t="n">
        <v>1</v>
      </c>
      <c r="N134" s="51" t="s">
        <v>462</v>
      </c>
      <c r="O134" s="35" t="s">
        <v>78</v>
      </c>
      <c r="P134" s="52"/>
      <c r="Q134" s="52"/>
      <c r="R134" s="33" t="n">
        <f aca="false">INDEX(Épopées!$L$6:$L$59,MATCH(K134,Épopées!$A$6:$A$59,0))</f>
        <v>46399</v>
      </c>
      <c r="S134" s="33" t="n">
        <f aca="false">INDEX(Épopées!$M$6:$M$59,MATCH(K134,Épopées!$A$6:$A$59,0))</f>
        <v>46440</v>
      </c>
      <c r="T134" s="53" t="s">
        <v>463</v>
      </c>
    </row>
    <row r="135" customFormat="false" ht="15" hidden="false" customHeight="false" outlineLevel="0" collapsed="false">
      <c r="A135" s="31" t="s">
        <v>761</v>
      </c>
      <c r="B135" s="31" t="s">
        <v>301</v>
      </c>
      <c r="C135" s="31" t="s">
        <v>309</v>
      </c>
      <c r="D135" s="31" t="s">
        <v>310</v>
      </c>
      <c r="E135" s="31" t="s">
        <v>762</v>
      </c>
      <c r="F135" s="31" t="s">
        <v>469</v>
      </c>
      <c r="G135" s="31" t="s">
        <v>461</v>
      </c>
      <c r="H135" s="31" t="s">
        <v>39</v>
      </c>
      <c r="I135" s="31" t="n">
        <f aca="false">VLOOKUP(H135,Paramètres!$A$15:$B$19,2,FALSE())</f>
        <v>0.5</v>
      </c>
      <c r="J135" s="31" t="n">
        <v>1</v>
      </c>
      <c r="K135" s="50" t="str">
        <f aca="false">C135&amp;"|"&amp;J135</f>
        <v>API-FOOT|1</v>
      </c>
      <c r="L135" s="31"/>
      <c r="M135" s="31" t="n">
        <v>3</v>
      </c>
      <c r="N135" s="51" t="s">
        <v>462</v>
      </c>
      <c r="O135" s="35" t="s">
        <v>78</v>
      </c>
      <c r="P135" s="52"/>
      <c r="Q135" s="52"/>
      <c r="R135" s="33" t="n">
        <f aca="false">INDEX(Épopées!$L$6:$L$59,MATCH(K135,Épopées!$A$6:$A$59,0))</f>
        <v>46399</v>
      </c>
      <c r="S135" s="33" t="n">
        <f aca="false">INDEX(Épopées!$M$6:$M$59,MATCH(K135,Épopées!$A$6:$A$59,0))</f>
        <v>46440</v>
      </c>
      <c r="T135" s="53" t="s">
        <v>463</v>
      </c>
    </row>
    <row r="136" customFormat="false" ht="15" hidden="false" customHeight="false" outlineLevel="0" collapsed="false">
      <c r="A136" s="31" t="s">
        <v>763</v>
      </c>
      <c r="B136" s="31" t="s">
        <v>301</v>
      </c>
      <c r="C136" s="31" t="s">
        <v>309</v>
      </c>
      <c r="D136" s="31" t="s">
        <v>310</v>
      </c>
      <c r="E136" s="31" t="s">
        <v>764</v>
      </c>
      <c r="F136" s="31" t="s">
        <v>469</v>
      </c>
      <c r="G136" s="31" t="s">
        <v>461</v>
      </c>
      <c r="H136" s="31" t="s">
        <v>41</v>
      </c>
      <c r="I136" s="31" t="n">
        <f aca="false">VLOOKUP(H136,Paramètres!$A$15:$B$19,2,FALSE())</f>
        <v>1</v>
      </c>
      <c r="J136" s="31" t="n">
        <v>1</v>
      </c>
      <c r="K136" s="50" t="str">
        <f aca="false">C136&amp;"|"&amp;J136</f>
        <v>API-FOOT|1</v>
      </c>
      <c r="L136" s="31"/>
      <c r="M136" s="31" t="n">
        <v>3</v>
      </c>
      <c r="N136" s="51" t="s">
        <v>462</v>
      </c>
      <c r="O136" s="35" t="s">
        <v>78</v>
      </c>
      <c r="P136" s="52"/>
      <c r="Q136" s="52"/>
      <c r="R136" s="33" t="n">
        <f aca="false">INDEX(Épopées!$L$6:$L$59,MATCH(K136,Épopées!$A$6:$A$59,0))</f>
        <v>46399</v>
      </c>
      <c r="S136" s="33" t="n">
        <f aca="false">INDEX(Épopées!$M$6:$M$59,MATCH(K136,Épopées!$A$6:$A$59,0))</f>
        <v>46440</v>
      </c>
      <c r="T136" s="53" t="s">
        <v>463</v>
      </c>
    </row>
    <row r="137" customFormat="false" ht="15" hidden="false" customHeight="false" outlineLevel="0" collapsed="false">
      <c r="A137" s="31" t="s">
        <v>765</v>
      </c>
      <c r="B137" s="31" t="s">
        <v>301</v>
      </c>
      <c r="C137" s="31" t="s">
        <v>309</v>
      </c>
      <c r="D137" s="31" t="s">
        <v>310</v>
      </c>
      <c r="E137" s="31" t="s">
        <v>766</v>
      </c>
      <c r="F137" s="31" t="s">
        <v>460</v>
      </c>
      <c r="G137" s="31" t="s">
        <v>461</v>
      </c>
      <c r="H137" s="31" t="s">
        <v>41</v>
      </c>
      <c r="I137" s="31" t="n">
        <f aca="false">VLOOKUP(H137,Paramètres!$A$15:$B$19,2,FALSE())</f>
        <v>1</v>
      </c>
      <c r="J137" s="31" t="n">
        <v>1</v>
      </c>
      <c r="K137" s="50" t="str">
        <f aca="false">C137&amp;"|"&amp;J137</f>
        <v>API-FOOT|1</v>
      </c>
      <c r="L137" s="31" t="s">
        <v>767</v>
      </c>
      <c r="M137" s="31" t="n">
        <v>4</v>
      </c>
      <c r="N137" s="51" t="s">
        <v>462</v>
      </c>
      <c r="O137" s="35" t="s">
        <v>78</v>
      </c>
      <c r="P137" s="52"/>
      <c r="Q137" s="52"/>
      <c r="R137" s="33" t="n">
        <f aca="false">INDEX(Épopées!$L$6:$L$59,MATCH(K137,Épopées!$A$6:$A$59,0))</f>
        <v>46399</v>
      </c>
      <c r="S137" s="33" t="n">
        <f aca="false">INDEX(Épopées!$M$6:$M$59,MATCH(K137,Épopées!$A$6:$A$59,0))</f>
        <v>46440</v>
      </c>
      <c r="T137" s="53" t="s">
        <v>463</v>
      </c>
    </row>
    <row r="138" customFormat="false" ht="15" hidden="false" customHeight="false" outlineLevel="0" collapsed="false">
      <c r="A138" s="31" t="s">
        <v>768</v>
      </c>
      <c r="B138" s="31" t="s">
        <v>301</v>
      </c>
      <c r="C138" s="31" t="s">
        <v>309</v>
      </c>
      <c r="D138" s="31" t="s">
        <v>310</v>
      </c>
      <c r="E138" s="31" t="s">
        <v>769</v>
      </c>
      <c r="F138" s="31" t="s">
        <v>460</v>
      </c>
      <c r="G138" s="31" t="s">
        <v>461</v>
      </c>
      <c r="H138" s="31" t="s">
        <v>43</v>
      </c>
      <c r="I138" s="31" t="n">
        <f aca="false">VLOOKUP(H138,Paramètres!$A$15:$B$19,2,FALSE())</f>
        <v>2</v>
      </c>
      <c r="J138" s="31" t="n">
        <v>1</v>
      </c>
      <c r="K138" s="50" t="str">
        <f aca="false">C138&amp;"|"&amp;J138</f>
        <v>API-FOOT|1</v>
      </c>
      <c r="L138" s="31" t="s">
        <v>770</v>
      </c>
      <c r="M138" s="31" t="n">
        <v>3</v>
      </c>
      <c r="N138" s="51" t="s">
        <v>462</v>
      </c>
      <c r="O138" s="35" t="s">
        <v>78</v>
      </c>
      <c r="P138" s="52"/>
      <c r="Q138" s="52"/>
      <c r="R138" s="33" t="n">
        <f aca="false">INDEX(Épopées!$L$6:$L$59,MATCH(K138,Épopées!$A$6:$A$59,0))</f>
        <v>46399</v>
      </c>
      <c r="S138" s="33" t="n">
        <f aca="false">INDEX(Épopées!$M$6:$M$59,MATCH(K138,Épopées!$A$6:$A$59,0))</f>
        <v>46440</v>
      </c>
      <c r="T138" s="53" t="s">
        <v>463</v>
      </c>
    </row>
    <row r="139" customFormat="false" ht="15" hidden="false" customHeight="false" outlineLevel="0" collapsed="false">
      <c r="A139" s="31" t="s">
        <v>771</v>
      </c>
      <c r="B139" s="31" t="s">
        <v>301</v>
      </c>
      <c r="C139" s="31" t="s">
        <v>309</v>
      </c>
      <c r="D139" s="31" t="s">
        <v>310</v>
      </c>
      <c r="E139" s="31" t="s">
        <v>772</v>
      </c>
      <c r="F139" s="31" t="s">
        <v>460</v>
      </c>
      <c r="G139" s="31" t="s">
        <v>461</v>
      </c>
      <c r="H139" s="31" t="s">
        <v>41</v>
      </c>
      <c r="I139" s="31" t="n">
        <f aca="false">VLOOKUP(H139,Paramètres!$A$15:$B$19,2,FALSE())</f>
        <v>1</v>
      </c>
      <c r="J139" s="31" t="n">
        <v>1</v>
      </c>
      <c r="K139" s="50" t="str">
        <f aca="false">C139&amp;"|"&amp;J139</f>
        <v>API-FOOT|1</v>
      </c>
      <c r="L139" s="31" t="s">
        <v>768</v>
      </c>
      <c r="M139" s="31" t="n">
        <v>4</v>
      </c>
      <c r="N139" s="51" t="s">
        <v>462</v>
      </c>
      <c r="O139" s="35" t="s">
        <v>78</v>
      </c>
      <c r="P139" s="52"/>
      <c r="Q139" s="52"/>
      <c r="R139" s="33" t="n">
        <f aca="false">INDEX(Épopées!$L$6:$L$59,MATCH(K139,Épopées!$A$6:$A$59,0))</f>
        <v>46399</v>
      </c>
      <c r="S139" s="33" t="n">
        <f aca="false">INDEX(Épopées!$M$6:$M$59,MATCH(K139,Épopées!$A$6:$A$59,0))</f>
        <v>46440</v>
      </c>
      <c r="T139" s="53" t="s">
        <v>463</v>
      </c>
    </row>
    <row r="140" customFormat="false" ht="15" hidden="false" customHeight="false" outlineLevel="0" collapsed="false">
      <c r="A140" s="31" t="s">
        <v>773</v>
      </c>
      <c r="B140" s="31" t="s">
        <v>301</v>
      </c>
      <c r="C140" s="31" t="s">
        <v>309</v>
      </c>
      <c r="D140" s="31" t="s">
        <v>310</v>
      </c>
      <c r="E140" s="31" t="s">
        <v>774</v>
      </c>
      <c r="F140" s="31" t="s">
        <v>460</v>
      </c>
      <c r="G140" s="31" t="s">
        <v>466</v>
      </c>
      <c r="H140" s="31" t="s">
        <v>41</v>
      </c>
      <c r="I140" s="31" t="n">
        <f aca="false">VLOOKUP(H140,Paramètres!$A$15:$B$19,2,FALSE())</f>
        <v>1</v>
      </c>
      <c r="J140" s="31" t="n">
        <v>1</v>
      </c>
      <c r="K140" s="50" t="str">
        <f aca="false">C140&amp;"|"&amp;J140</f>
        <v>API-FOOT|1</v>
      </c>
      <c r="L140" s="31" t="s">
        <v>771</v>
      </c>
      <c r="M140" s="31" t="n">
        <v>2</v>
      </c>
      <c r="N140" s="51" t="s">
        <v>462</v>
      </c>
      <c r="O140" s="35" t="s">
        <v>78</v>
      </c>
      <c r="P140" s="52"/>
      <c r="Q140" s="52"/>
      <c r="R140" s="33" t="n">
        <f aca="false">INDEX(Épopées!$L$6:$L$59,MATCH(K140,Épopées!$A$6:$A$59,0))</f>
        <v>46399</v>
      </c>
      <c r="S140" s="33" t="n">
        <f aca="false">INDEX(Épopées!$M$6:$M$59,MATCH(K140,Épopées!$A$6:$A$59,0))</f>
        <v>46440</v>
      </c>
      <c r="T140" s="53" t="s">
        <v>463</v>
      </c>
    </row>
    <row r="141" customFormat="false" ht="15" hidden="false" customHeight="false" outlineLevel="0" collapsed="false">
      <c r="A141" s="31" t="s">
        <v>775</v>
      </c>
      <c r="B141" s="31" t="s">
        <v>301</v>
      </c>
      <c r="C141" s="31" t="s">
        <v>309</v>
      </c>
      <c r="D141" s="31" t="s">
        <v>310</v>
      </c>
      <c r="E141" s="31" t="s">
        <v>776</v>
      </c>
      <c r="F141" s="31" t="s">
        <v>460</v>
      </c>
      <c r="G141" s="31" t="s">
        <v>461</v>
      </c>
      <c r="H141" s="31" t="s">
        <v>43</v>
      </c>
      <c r="I141" s="31" t="n">
        <f aca="false">VLOOKUP(H141,Paramètres!$A$15:$B$19,2,FALSE())</f>
        <v>2</v>
      </c>
      <c r="J141" s="31" t="n">
        <v>1</v>
      </c>
      <c r="K141" s="50" t="str">
        <f aca="false">C141&amp;"|"&amp;J141</f>
        <v>API-FOOT|1</v>
      </c>
      <c r="L141" s="31" t="s">
        <v>768</v>
      </c>
      <c r="M141" s="31" t="n">
        <v>2</v>
      </c>
      <c r="N141" s="51" t="s">
        <v>462</v>
      </c>
      <c r="O141" s="35" t="s">
        <v>78</v>
      </c>
      <c r="P141" s="52"/>
      <c r="Q141" s="52"/>
      <c r="R141" s="33" t="n">
        <f aca="false">INDEX(Épopées!$L$6:$L$59,MATCH(K141,Épopées!$A$6:$A$59,0))</f>
        <v>46399</v>
      </c>
      <c r="S141" s="33" t="n">
        <f aca="false">INDEX(Épopées!$M$6:$M$59,MATCH(K141,Épopées!$A$6:$A$59,0))</f>
        <v>46440</v>
      </c>
      <c r="T141" s="53" t="s">
        <v>463</v>
      </c>
    </row>
    <row r="142" customFormat="false" ht="15" hidden="false" customHeight="false" outlineLevel="0" collapsed="false">
      <c r="A142" s="31" t="s">
        <v>777</v>
      </c>
      <c r="B142" s="31" t="s">
        <v>301</v>
      </c>
      <c r="C142" s="31" t="s">
        <v>309</v>
      </c>
      <c r="D142" s="31" t="s">
        <v>310</v>
      </c>
      <c r="E142" s="31" t="s">
        <v>778</v>
      </c>
      <c r="F142" s="31" t="s">
        <v>460</v>
      </c>
      <c r="G142" s="31" t="s">
        <v>466</v>
      </c>
      <c r="H142" s="31" t="s">
        <v>39</v>
      </c>
      <c r="I142" s="31" t="n">
        <f aca="false">VLOOKUP(H142,Paramètres!$A$15:$B$19,2,FALSE())</f>
        <v>0.5</v>
      </c>
      <c r="J142" s="31" t="n">
        <v>1</v>
      </c>
      <c r="K142" s="50" t="str">
        <f aca="false">C142&amp;"|"&amp;J142</f>
        <v>API-FOOT|1</v>
      </c>
      <c r="L142" s="31" t="s">
        <v>779</v>
      </c>
      <c r="M142" s="31" t="n">
        <v>2</v>
      </c>
      <c r="N142" s="51" t="s">
        <v>462</v>
      </c>
      <c r="O142" s="35" t="s">
        <v>78</v>
      </c>
      <c r="P142" s="52"/>
      <c r="Q142" s="52"/>
      <c r="R142" s="33" t="n">
        <f aca="false">INDEX(Épopées!$L$6:$L$59,MATCH(K142,Épopées!$A$6:$A$59,0))</f>
        <v>46399</v>
      </c>
      <c r="S142" s="33" t="n">
        <f aca="false">INDEX(Épopées!$M$6:$M$59,MATCH(K142,Épopées!$A$6:$A$59,0))</f>
        <v>46440</v>
      </c>
      <c r="T142" s="53" t="s">
        <v>463</v>
      </c>
    </row>
    <row r="143" customFormat="false" ht="15" hidden="false" customHeight="false" outlineLevel="0" collapsed="false">
      <c r="A143" s="31" t="s">
        <v>780</v>
      </c>
      <c r="B143" s="31" t="s">
        <v>301</v>
      </c>
      <c r="C143" s="31" t="s">
        <v>309</v>
      </c>
      <c r="D143" s="31" t="s">
        <v>310</v>
      </c>
      <c r="E143" s="31" t="s">
        <v>781</v>
      </c>
      <c r="F143" s="31" t="s">
        <v>460</v>
      </c>
      <c r="G143" s="31" t="s">
        <v>466</v>
      </c>
      <c r="H143" s="31" t="s">
        <v>41</v>
      </c>
      <c r="I143" s="31" t="n">
        <f aca="false">VLOOKUP(H143,Paramètres!$A$15:$B$19,2,FALSE())</f>
        <v>1</v>
      </c>
      <c r="J143" s="31" t="n">
        <v>1</v>
      </c>
      <c r="K143" s="50" t="str">
        <f aca="false">C143&amp;"|"&amp;J143</f>
        <v>API-FOOT|1</v>
      </c>
      <c r="L143" s="31" t="s">
        <v>782</v>
      </c>
      <c r="M143" s="31" t="n">
        <v>2</v>
      </c>
      <c r="N143" s="51" t="s">
        <v>462</v>
      </c>
      <c r="O143" s="35" t="s">
        <v>78</v>
      </c>
      <c r="P143" s="52"/>
      <c r="Q143" s="52"/>
      <c r="R143" s="33" t="n">
        <f aca="false">INDEX(Épopées!$L$6:$L$59,MATCH(K143,Épopées!$A$6:$A$59,0))</f>
        <v>46399</v>
      </c>
      <c r="S143" s="33" t="n">
        <f aca="false">INDEX(Épopées!$M$6:$M$59,MATCH(K143,Épopées!$A$6:$A$59,0))</f>
        <v>46440</v>
      </c>
      <c r="T143" s="53" t="s">
        <v>463</v>
      </c>
    </row>
    <row r="144" customFormat="false" ht="15" hidden="false" customHeight="false" outlineLevel="0" collapsed="false">
      <c r="A144" s="31" t="s">
        <v>783</v>
      </c>
      <c r="B144" s="31" t="s">
        <v>301</v>
      </c>
      <c r="C144" s="31" t="s">
        <v>309</v>
      </c>
      <c r="D144" s="31" t="s">
        <v>310</v>
      </c>
      <c r="E144" s="31" t="s">
        <v>784</v>
      </c>
      <c r="F144" s="31" t="s">
        <v>460</v>
      </c>
      <c r="G144" s="31" t="s">
        <v>461</v>
      </c>
      <c r="H144" s="31" t="s">
        <v>43</v>
      </c>
      <c r="I144" s="31" t="n">
        <f aca="false">VLOOKUP(H144,Paramètres!$A$15:$B$19,2,FALSE())</f>
        <v>2</v>
      </c>
      <c r="J144" s="31" t="n">
        <v>1</v>
      </c>
      <c r="K144" s="50" t="str">
        <f aca="false">C144&amp;"|"&amp;J144</f>
        <v>API-FOOT|1</v>
      </c>
      <c r="L144" s="31" t="s">
        <v>785</v>
      </c>
      <c r="M144" s="31" t="n">
        <v>2</v>
      </c>
      <c r="N144" s="51" t="s">
        <v>462</v>
      </c>
      <c r="O144" s="35" t="s">
        <v>78</v>
      </c>
      <c r="P144" s="52"/>
      <c r="Q144" s="52"/>
      <c r="R144" s="33" t="n">
        <f aca="false">INDEX(Épopées!$L$6:$L$59,MATCH(K144,Épopées!$A$6:$A$59,0))</f>
        <v>46399</v>
      </c>
      <c r="S144" s="33" t="n">
        <f aca="false">INDEX(Épopées!$M$6:$M$59,MATCH(K144,Épopées!$A$6:$A$59,0))</f>
        <v>46440</v>
      </c>
      <c r="T144" s="53" t="s">
        <v>463</v>
      </c>
    </row>
    <row r="145" customFormat="false" ht="15" hidden="false" customHeight="false" outlineLevel="0" collapsed="false">
      <c r="A145" s="31" t="s">
        <v>786</v>
      </c>
      <c r="B145" s="31" t="s">
        <v>301</v>
      </c>
      <c r="C145" s="31" t="s">
        <v>309</v>
      </c>
      <c r="D145" s="31" t="s">
        <v>310</v>
      </c>
      <c r="E145" s="31" t="s">
        <v>787</v>
      </c>
      <c r="F145" s="31" t="s">
        <v>460</v>
      </c>
      <c r="G145" s="31" t="s">
        <v>466</v>
      </c>
      <c r="H145" s="31" t="s">
        <v>41</v>
      </c>
      <c r="I145" s="31" t="n">
        <f aca="false">VLOOKUP(H145,Paramètres!$A$15:$B$19,2,FALSE())</f>
        <v>1</v>
      </c>
      <c r="J145" s="31" t="n">
        <v>1</v>
      </c>
      <c r="K145" s="50" t="str">
        <f aca="false">C145&amp;"|"&amp;J145</f>
        <v>API-FOOT|1</v>
      </c>
      <c r="L145" s="31" t="s">
        <v>783</v>
      </c>
      <c r="M145" s="31" t="n">
        <v>2</v>
      </c>
      <c r="N145" s="51" t="s">
        <v>462</v>
      </c>
      <c r="O145" s="35" t="s">
        <v>78</v>
      </c>
      <c r="P145" s="52"/>
      <c r="Q145" s="52"/>
      <c r="R145" s="33" t="n">
        <f aca="false">INDEX(Épopées!$L$6:$L$59,MATCH(K145,Épopées!$A$6:$A$59,0))</f>
        <v>46399</v>
      </c>
      <c r="S145" s="33" t="n">
        <f aca="false">INDEX(Épopées!$M$6:$M$59,MATCH(K145,Épopées!$A$6:$A$59,0))</f>
        <v>46440</v>
      </c>
      <c r="T145" s="53" t="s">
        <v>463</v>
      </c>
    </row>
    <row r="146" customFormat="false" ht="15" hidden="false" customHeight="false" outlineLevel="0" collapsed="false">
      <c r="A146" s="31" t="s">
        <v>788</v>
      </c>
      <c r="B146" s="31" t="s">
        <v>301</v>
      </c>
      <c r="C146" s="31" t="s">
        <v>309</v>
      </c>
      <c r="D146" s="31" t="s">
        <v>310</v>
      </c>
      <c r="E146" s="31" t="s">
        <v>789</v>
      </c>
      <c r="F146" s="31" t="s">
        <v>460</v>
      </c>
      <c r="G146" s="31" t="s">
        <v>461</v>
      </c>
      <c r="H146" s="31" t="s">
        <v>41</v>
      </c>
      <c r="I146" s="31" t="n">
        <f aca="false">VLOOKUP(H146,Paramètres!$A$15:$B$19,2,FALSE())</f>
        <v>1</v>
      </c>
      <c r="J146" s="31" t="n">
        <v>1</v>
      </c>
      <c r="K146" s="50" t="str">
        <f aca="false">C146&amp;"|"&amp;J146</f>
        <v>API-FOOT|1</v>
      </c>
      <c r="L146" s="31" t="s">
        <v>790</v>
      </c>
      <c r="M146" s="31" t="n">
        <v>2</v>
      </c>
      <c r="N146" s="51" t="s">
        <v>462</v>
      </c>
      <c r="O146" s="35" t="s">
        <v>78</v>
      </c>
      <c r="P146" s="52"/>
      <c r="Q146" s="52"/>
      <c r="R146" s="33" t="n">
        <f aca="false">INDEX(Épopées!$L$6:$L$59,MATCH(K146,Épopées!$A$6:$A$59,0))</f>
        <v>46399</v>
      </c>
      <c r="S146" s="33" t="n">
        <f aca="false">INDEX(Épopées!$M$6:$M$59,MATCH(K146,Épopées!$A$6:$A$59,0))</f>
        <v>46440</v>
      </c>
      <c r="T146" s="53" t="s">
        <v>463</v>
      </c>
    </row>
    <row r="147" customFormat="false" ht="15" hidden="false" customHeight="false" outlineLevel="0" collapsed="false">
      <c r="A147" s="31" t="s">
        <v>791</v>
      </c>
      <c r="B147" s="31" t="s">
        <v>301</v>
      </c>
      <c r="C147" s="31" t="s">
        <v>309</v>
      </c>
      <c r="D147" s="31" t="s">
        <v>310</v>
      </c>
      <c r="E147" s="31" t="s">
        <v>792</v>
      </c>
      <c r="F147" s="31" t="s">
        <v>460</v>
      </c>
      <c r="G147" s="31" t="s">
        <v>466</v>
      </c>
      <c r="H147" s="31" t="s">
        <v>41</v>
      </c>
      <c r="I147" s="31" t="n">
        <f aca="false">VLOOKUP(H147,Paramètres!$A$15:$B$19,2,FALSE())</f>
        <v>1</v>
      </c>
      <c r="J147" s="31" t="n">
        <v>1</v>
      </c>
      <c r="K147" s="50" t="str">
        <f aca="false">C147&amp;"|"&amp;J147</f>
        <v>API-FOOT|1</v>
      </c>
      <c r="L147" s="31" t="s">
        <v>793</v>
      </c>
      <c r="M147" s="31" t="n">
        <v>2</v>
      </c>
      <c r="N147" s="51" t="s">
        <v>462</v>
      </c>
      <c r="O147" s="35" t="s">
        <v>78</v>
      </c>
      <c r="P147" s="52"/>
      <c r="Q147" s="52"/>
      <c r="R147" s="33" t="n">
        <f aca="false">INDEX(Épopées!$L$6:$L$59,MATCH(K147,Épopées!$A$6:$A$59,0))</f>
        <v>46399</v>
      </c>
      <c r="S147" s="33" t="n">
        <f aca="false">INDEX(Épopées!$M$6:$M$59,MATCH(K147,Épopées!$A$6:$A$59,0))</f>
        <v>46440</v>
      </c>
      <c r="T147" s="53" t="s">
        <v>463</v>
      </c>
    </row>
    <row r="148" customFormat="false" ht="15" hidden="false" customHeight="false" outlineLevel="0" collapsed="false">
      <c r="A148" s="31" t="s">
        <v>794</v>
      </c>
      <c r="B148" s="31" t="s">
        <v>301</v>
      </c>
      <c r="C148" s="31" t="s">
        <v>309</v>
      </c>
      <c r="D148" s="31" t="s">
        <v>310</v>
      </c>
      <c r="E148" s="31" t="s">
        <v>795</v>
      </c>
      <c r="F148" s="31" t="s">
        <v>460</v>
      </c>
      <c r="G148" s="31" t="s">
        <v>461</v>
      </c>
      <c r="H148" s="31" t="s">
        <v>43</v>
      </c>
      <c r="I148" s="31" t="n">
        <f aca="false">VLOOKUP(H148,Paramètres!$A$15:$B$19,2,FALSE())</f>
        <v>2</v>
      </c>
      <c r="J148" s="31" t="n">
        <v>1</v>
      </c>
      <c r="K148" s="50" t="str">
        <f aca="false">C148&amp;"|"&amp;J148</f>
        <v>API-FOOT|1</v>
      </c>
      <c r="L148" s="31" t="s">
        <v>796</v>
      </c>
      <c r="M148" s="31" t="n">
        <v>2</v>
      </c>
      <c r="N148" s="51" t="s">
        <v>462</v>
      </c>
      <c r="O148" s="35" t="s">
        <v>78</v>
      </c>
      <c r="P148" s="52"/>
      <c r="Q148" s="52"/>
      <c r="R148" s="33" t="n">
        <f aca="false">INDEX(Épopées!$L$6:$L$59,MATCH(K148,Épopées!$A$6:$A$59,0))</f>
        <v>46399</v>
      </c>
      <c r="S148" s="33" t="n">
        <f aca="false">INDEX(Épopées!$M$6:$M$59,MATCH(K148,Épopées!$A$6:$A$59,0))</f>
        <v>46440</v>
      </c>
      <c r="T148" s="53" t="s">
        <v>463</v>
      </c>
    </row>
    <row r="149" customFormat="false" ht="15" hidden="false" customHeight="false" outlineLevel="0" collapsed="false">
      <c r="A149" s="31" t="s">
        <v>797</v>
      </c>
      <c r="B149" s="31" t="s">
        <v>301</v>
      </c>
      <c r="C149" s="31" t="s">
        <v>309</v>
      </c>
      <c r="D149" s="31" t="s">
        <v>310</v>
      </c>
      <c r="E149" s="31" t="s">
        <v>798</v>
      </c>
      <c r="F149" s="31" t="s">
        <v>460</v>
      </c>
      <c r="G149" s="31" t="s">
        <v>466</v>
      </c>
      <c r="H149" s="31" t="s">
        <v>39</v>
      </c>
      <c r="I149" s="31" t="n">
        <f aca="false">VLOOKUP(H149,Paramètres!$A$15:$B$19,2,FALSE())</f>
        <v>0.5</v>
      </c>
      <c r="J149" s="31" t="n">
        <v>1</v>
      </c>
      <c r="K149" s="50" t="str">
        <f aca="false">C149&amp;"|"&amp;J149</f>
        <v>API-FOOT|1</v>
      </c>
      <c r="L149" s="31" t="s">
        <v>794</v>
      </c>
      <c r="M149" s="31" t="n">
        <v>2</v>
      </c>
      <c r="N149" s="51" t="s">
        <v>462</v>
      </c>
      <c r="O149" s="35" t="s">
        <v>78</v>
      </c>
      <c r="P149" s="52"/>
      <c r="Q149" s="52"/>
      <c r="R149" s="33" t="n">
        <f aca="false">INDEX(Épopées!$L$6:$L$59,MATCH(K149,Épopées!$A$6:$A$59,0))</f>
        <v>46399</v>
      </c>
      <c r="S149" s="33" t="n">
        <f aca="false">INDEX(Épopées!$M$6:$M$59,MATCH(K149,Épopées!$A$6:$A$59,0))</f>
        <v>46440</v>
      </c>
      <c r="T149" s="53" t="s">
        <v>463</v>
      </c>
    </row>
    <row r="150" customFormat="false" ht="15" hidden="false" customHeight="false" outlineLevel="0" collapsed="false">
      <c r="A150" s="31" t="s">
        <v>799</v>
      </c>
      <c r="B150" s="31" t="s">
        <v>301</v>
      </c>
      <c r="C150" s="31" t="s">
        <v>309</v>
      </c>
      <c r="D150" s="31" t="s">
        <v>310</v>
      </c>
      <c r="E150" s="31" t="s">
        <v>800</v>
      </c>
      <c r="F150" s="31" t="s">
        <v>460</v>
      </c>
      <c r="G150" s="31" t="s">
        <v>466</v>
      </c>
      <c r="H150" s="31" t="s">
        <v>41</v>
      </c>
      <c r="I150" s="31" t="n">
        <f aca="false">VLOOKUP(H150,Paramètres!$A$15:$B$19,2,FALSE())</f>
        <v>1</v>
      </c>
      <c r="J150" s="31" t="n">
        <v>1</v>
      </c>
      <c r="K150" s="50" t="str">
        <f aca="false">C150&amp;"|"&amp;J150</f>
        <v>API-FOOT|1</v>
      </c>
      <c r="L150" s="31" t="s">
        <v>801</v>
      </c>
      <c r="M150" s="31" t="n">
        <v>2</v>
      </c>
      <c r="N150" s="51" t="s">
        <v>462</v>
      </c>
      <c r="O150" s="35" t="s">
        <v>78</v>
      </c>
      <c r="P150" s="52"/>
      <c r="Q150" s="52"/>
      <c r="R150" s="33" t="n">
        <f aca="false">INDEX(Épopées!$L$6:$L$59,MATCH(K150,Épopées!$A$6:$A$59,0))</f>
        <v>46399</v>
      </c>
      <c r="S150" s="33" t="n">
        <f aca="false">INDEX(Épopées!$M$6:$M$59,MATCH(K150,Épopées!$A$6:$A$59,0))</f>
        <v>46440</v>
      </c>
      <c r="T150" s="53" t="s">
        <v>463</v>
      </c>
    </row>
    <row r="151" customFormat="false" ht="15" hidden="false" customHeight="false" outlineLevel="0" collapsed="false">
      <c r="A151" s="31" t="s">
        <v>802</v>
      </c>
      <c r="B151" s="31" t="s">
        <v>301</v>
      </c>
      <c r="C151" s="31" t="s">
        <v>309</v>
      </c>
      <c r="D151" s="31" t="s">
        <v>310</v>
      </c>
      <c r="E151" s="31" t="s">
        <v>803</v>
      </c>
      <c r="F151" s="31" t="s">
        <v>460</v>
      </c>
      <c r="G151" s="31" t="s">
        <v>461</v>
      </c>
      <c r="H151" s="31" t="s">
        <v>41</v>
      </c>
      <c r="I151" s="31" t="n">
        <f aca="false">VLOOKUP(H151,Paramètres!$A$15:$B$19,2,FALSE())</f>
        <v>1</v>
      </c>
      <c r="J151" s="31" t="n">
        <v>1</v>
      </c>
      <c r="K151" s="50" t="str">
        <f aca="false">C151&amp;"|"&amp;J151</f>
        <v>API-FOOT|1</v>
      </c>
      <c r="L151" s="31" t="s">
        <v>761</v>
      </c>
      <c r="M151" s="31" t="n">
        <v>2</v>
      </c>
      <c r="N151" s="51" t="s">
        <v>462</v>
      </c>
      <c r="O151" s="35" t="s">
        <v>78</v>
      </c>
      <c r="P151" s="52"/>
      <c r="Q151" s="52"/>
      <c r="R151" s="33" t="n">
        <f aca="false">INDEX(Épopées!$L$6:$L$59,MATCH(K151,Épopées!$A$6:$A$59,0))</f>
        <v>46399</v>
      </c>
      <c r="S151" s="33" t="n">
        <f aca="false">INDEX(Épopées!$M$6:$M$59,MATCH(K151,Épopées!$A$6:$A$59,0))</f>
        <v>46440</v>
      </c>
      <c r="T151" s="53" t="s">
        <v>463</v>
      </c>
    </row>
    <row r="152" customFormat="false" ht="15" hidden="false" customHeight="false" outlineLevel="0" collapsed="false">
      <c r="A152" s="31" t="s">
        <v>804</v>
      </c>
      <c r="B152" s="31" t="s">
        <v>301</v>
      </c>
      <c r="C152" s="31" t="s">
        <v>309</v>
      </c>
      <c r="D152" s="31" t="s">
        <v>310</v>
      </c>
      <c r="E152" s="31" t="s">
        <v>805</v>
      </c>
      <c r="F152" s="31" t="s">
        <v>460</v>
      </c>
      <c r="G152" s="31" t="s">
        <v>461</v>
      </c>
      <c r="H152" s="31" t="s">
        <v>43</v>
      </c>
      <c r="I152" s="31" t="n">
        <f aca="false">VLOOKUP(H152,Paramètres!$A$15:$B$19,2,FALSE())</f>
        <v>2</v>
      </c>
      <c r="J152" s="31" t="n">
        <v>1</v>
      </c>
      <c r="K152" s="50" t="str">
        <f aca="false">C152&amp;"|"&amp;J152</f>
        <v>API-FOOT|1</v>
      </c>
      <c r="L152" s="31" t="s">
        <v>806</v>
      </c>
      <c r="M152" s="31" t="n">
        <v>5</v>
      </c>
      <c r="N152" s="51" t="s">
        <v>462</v>
      </c>
      <c r="O152" s="35" t="s">
        <v>78</v>
      </c>
      <c r="P152" s="52"/>
      <c r="Q152" s="52"/>
      <c r="R152" s="33" t="n">
        <f aca="false">INDEX(Épopées!$L$6:$L$59,MATCH(K152,Épopées!$A$6:$A$59,0))</f>
        <v>46399</v>
      </c>
      <c r="S152" s="33" t="n">
        <f aca="false">INDEX(Épopées!$M$6:$M$59,MATCH(K152,Épopées!$A$6:$A$59,0))</f>
        <v>46440</v>
      </c>
      <c r="T152" s="53" t="s">
        <v>463</v>
      </c>
    </row>
    <row r="153" customFormat="false" ht="15" hidden="false" customHeight="false" outlineLevel="0" collapsed="false">
      <c r="A153" s="31" t="s">
        <v>807</v>
      </c>
      <c r="B153" s="31" t="s">
        <v>301</v>
      </c>
      <c r="C153" s="31" t="s">
        <v>309</v>
      </c>
      <c r="D153" s="31" t="s">
        <v>310</v>
      </c>
      <c r="E153" s="31" t="s">
        <v>808</v>
      </c>
      <c r="F153" s="31" t="s">
        <v>472</v>
      </c>
      <c r="G153" s="31" t="s">
        <v>461</v>
      </c>
      <c r="H153" s="31" t="s">
        <v>41</v>
      </c>
      <c r="I153" s="31" t="n">
        <f aca="false">VLOOKUP(H153,Paramètres!$A$15:$B$19,2,FALSE())</f>
        <v>1</v>
      </c>
      <c r="J153" s="31" t="n">
        <v>1</v>
      </c>
      <c r="K153" s="50" t="str">
        <f aca="false">C153&amp;"|"&amp;J153</f>
        <v>API-FOOT|1</v>
      </c>
      <c r="L153" s="31" t="s">
        <v>809</v>
      </c>
      <c r="M153" s="31" t="n">
        <v>3</v>
      </c>
      <c r="N153" s="51" t="s">
        <v>462</v>
      </c>
      <c r="O153" s="35" t="s">
        <v>78</v>
      </c>
      <c r="P153" s="52"/>
      <c r="Q153" s="52"/>
      <c r="R153" s="33" t="n">
        <f aca="false">INDEX(Épopées!$L$6:$L$59,MATCH(K153,Épopées!$A$6:$A$59,0))</f>
        <v>46399</v>
      </c>
      <c r="S153" s="33" t="n">
        <f aca="false">INDEX(Épopées!$M$6:$M$59,MATCH(K153,Épopées!$A$6:$A$59,0))</f>
        <v>46440</v>
      </c>
      <c r="T153" s="53" t="s">
        <v>463</v>
      </c>
    </row>
    <row r="154" customFormat="false" ht="15" hidden="false" customHeight="false" outlineLevel="0" collapsed="false">
      <c r="A154" s="31" t="s">
        <v>810</v>
      </c>
      <c r="B154" s="31" t="s">
        <v>301</v>
      </c>
      <c r="C154" s="31" t="s">
        <v>309</v>
      </c>
      <c r="D154" s="31" t="s">
        <v>310</v>
      </c>
      <c r="E154" s="31" t="s">
        <v>811</v>
      </c>
      <c r="F154" s="31" t="s">
        <v>472</v>
      </c>
      <c r="G154" s="31" t="s">
        <v>461</v>
      </c>
      <c r="H154" s="31" t="s">
        <v>41</v>
      </c>
      <c r="I154" s="31" t="n">
        <f aca="false">VLOOKUP(H154,Paramètres!$A$15:$B$19,2,FALSE())</f>
        <v>1</v>
      </c>
      <c r="J154" s="31" t="n">
        <v>1</v>
      </c>
      <c r="K154" s="50" t="str">
        <f aca="false">C154&amp;"|"&amp;J154</f>
        <v>API-FOOT|1</v>
      </c>
      <c r="L154" s="31" t="s">
        <v>812</v>
      </c>
      <c r="M154" s="31" t="n">
        <v>4</v>
      </c>
      <c r="N154" s="51" t="s">
        <v>462</v>
      </c>
      <c r="O154" s="35" t="s">
        <v>78</v>
      </c>
      <c r="P154" s="52"/>
      <c r="Q154" s="52"/>
      <c r="R154" s="33" t="n">
        <f aca="false">INDEX(Épopées!$L$6:$L$59,MATCH(K154,Épopées!$A$6:$A$59,0))</f>
        <v>46399</v>
      </c>
      <c r="S154" s="33" t="n">
        <f aca="false">INDEX(Épopées!$M$6:$M$59,MATCH(K154,Épopées!$A$6:$A$59,0))</f>
        <v>46440</v>
      </c>
      <c r="T154" s="53" t="s">
        <v>463</v>
      </c>
    </row>
    <row r="155" customFormat="false" ht="15" hidden="false" customHeight="false" outlineLevel="0" collapsed="false">
      <c r="A155" s="31" t="s">
        <v>813</v>
      </c>
      <c r="B155" s="31" t="s">
        <v>301</v>
      </c>
      <c r="C155" s="31" t="s">
        <v>309</v>
      </c>
      <c r="D155" s="31" t="s">
        <v>310</v>
      </c>
      <c r="E155" s="31" t="s">
        <v>814</v>
      </c>
      <c r="F155" s="31" t="s">
        <v>472</v>
      </c>
      <c r="G155" s="31" t="s">
        <v>461</v>
      </c>
      <c r="H155" s="31" t="s">
        <v>41</v>
      </c>
      <c r="I155" s="31" t="n">
        <f aca="false">VLOOKUP(H155,Paramètres!$A$15:$B$19,2,FALSE())</f>
        <v>1</v>
      </c>
      <c r="J155" s="31" t="n">
        <v>1</v>
      </c>
      <c r="K155" s="50" t="str">
        <f aca="false">C155&amp;"|"&amp;J155</f>
        <v>API-FOOT|1</v>
      </c>
      <c r="L155" s="31" t="s">
        <v>815</v>
      </c>
      <c r="M155" s="31" t="n">
        <v>2</v>
      </c>
      <c r="N155" s="51" t="s">
        <v>462</v>
      </c>
      <c r="O155" s="35" t="s">
        <v>78</v>
      </c>
      <c r="P155" s="52"/>
      <c r="Q155" s="52"/>
      <c r="R155" s="33" t="n">
        <f aca="false">INDEX(Épopées!$L$6:$L$59,MATCH(K155,Épopées!$A$6:$A$59,0))</f>
        <v>46399</v>
      </c>
      <c r="S155" s="33" t="n">
        <f aca="false">INDEX(Épopées!$M$6:$M$59,MATCH(K155,Épopées!$A$6:$A$59,0))</f>
        <v>46440</v>
      </c>
      <c r="T155" s="53" t="s">
        <v>463</v>
      </c>
    </row>
    <row r="156" customFormat="false" ht="15" hidden="false" customHeight="false" outlineLevel="0" collapsed="false">
      <c r="A156" s="31" t="s">
        <v>816</v>
      </c>
      <c r="B156" s="31" t="s">
        <v>301</v>
      </c>
      <c r="C156" s="31" t="s">
        <v>309</v>
      </c>
      <c r="D156" s="31" t="s">
        <v>310</v>
      </c>
      <c r="E156" s="31" t="s">
        <v>817</v>
      </c>
      <c r="F156" s="31" t="s">
        <v>503</v>
      </c>
      <c r="G156" s="31" t="s">
        <v>466</v>
      </c>
      <c r="H156" s="31" t="s">
        <v>41</v>
      </c>
      <c r="I156" s="31" t="n">
        <f aca="false">VLOOKUP(H156,Paramètres!$A$15:$B$19,2,FALSE())</f>
        <v>1</v>
      </c>
      <c r="J156" s="31" t="n">
        <v>1</v>
      </c>
      <c r="K156" s="50" t="str">
        <f aca="false">C156&amp;"|"&amp;J156</f>
        <v>API-FOOT|1</v>
      </c>
      <c r="L156" s="31" t="s">
        <v>818</v>
      </c>
      <c r="M156" s="31" t="n">
        <v>4</v>
      </c>
      <c r="N156" s="51" t="s">
        <v>462</v>
      </c>
      <c r="O156" s="35" t="s">
        <v>78</v>
      </c>
      <c r="P156" s="52"/>
      <c r="Q156" s="52"/>
      <c r="R156" s="33" t="n">
        <f aca="false">INDEX(Épopées!$L$6:$L$59,MATCH(K156,Épopées!$A$6:$A$59,0))</f>
        <v>46399</v>
      </c>
      <c r="S156" s="33" t="n">
        <f aca="false">INDEX(Épopées!$M$6:$M$59,MATCH(K156,Épopées!$A$6:$A$59,0))</f>
        <v>46440</v>
      </c>
      <c r="T156" s="53" t="s">
        <v>463</v>
      </c>
    </row>
    <row r="157" customFormat="false" ht="15" hidden="false" customHeight="false" outlineLevel="0" collapsed="false">
      <c r="A157" s="31" t="s">
        <v>819</v>
      </c>
      <c r="B157" s="31" t="s">
        <v>301</v>
      </c>
      <c r="C157" s="31" t="s">
        <v>309</v>
      </c>
      <c r="D157" s="31" t="s">
        <v>310</v>
      </c>
      <c r="E157" s="31" t="s">
        <v>820</v>
      </c>
      <c r="F157" s="31" t="s">
        <v>486</v>
      </c>
      <c r="G157" s="31" t="s">
        <v>461</v>
      </c>
      <c r="H157" s="31" t="s">
        <v>41</v>
      </c>
      <c r="I157" s="31" t="n">
        <f aca="false">VLOOKUP(H157,Paramètres!$A$15:$B$19,2,FALSE())</f>
        <v>1</v>
      </c>
      <c r="J157" s="31" t="n">
        <v>1</v>
      </c>
      <c r="K157" s="50" t="str">
        <f aca="false">C157&amp;"|"&amp;J157</f>
        <v>API-FOOT|1</v>
      </c>
      <c r="L157" s="31" t="s">
        <v>821</v>
      </c>
      <c r="M157" s="31" t="n">
        <v>4</v>
      </c>
      <c r="N157" s="51" t="s">
        <v>462</v>
      </c>
      <c r="O157" s="35" t="s">
        <v>78</v>
      </c>
      <c r="P157" s="52"/>
      <c r="Q157" s="52"/>
      <c r="R157" s="33" t="n">
        <f aca="false">INDEX(Épopées!$L$6:$L$59,MATCH(K157,Épopées!$A$6:$A$59,0))</f>
        <v>46399</v>
      </c>
      <c r="S157" s="33" t="n">
        <f aca="false">INDEX(Épopées!$M$6:$M$59,MATCH(K157,Épopées!$A$6:$A$59,0))</f>
        <v>46440</v>
      </c>
      <c r="T157" s="53" t="s">
        <v>463</v>
      </c>
    </row>
    <row r="158" customFormat="false" ht="15" hidden="false" customHeight="false" outlineLevel="0" collapsed="false">
      <c r="A158" s="31" t="s">
        <v>822</v>
      </c>
      <c r="B158" s="31" t="s">
        <v>301</v>
      </c>
      <c r="C158" s="31" t="s">
        <v>309</v>
      </c>
      <c r="D158" s="31" t="s">
        <v>310</v>
      </c>
      <c r="E158" s="31" t="s">
        <v>823</v>
      </c>
      <c r="F158" s="31" t="s">
        <v>491</v>
      </c>
      <c r="G158" s="31" t="s">
        <v>466</v>
      </c>
      <c r="H158" s="31" t="s">
        <v>41</v>
      </c>
      <c r="I158" s="31" t="n">
        <f aca="false">VLOOKUP(H158,Paramètres!$A$15:$B$19,2,FALSE())</f>
        <v>1</v>
      </c>
      <c r="J158" s="31" t="n">
        <v>1</v>
      </c>
      <c r="K158" s="50" t="str">
        <f aca="false">C158&amp;"|"&amp;J158</f>
        <v>API-FOOT|1</v>
      </c>
      <c r="L158" s="31" t="s">
        <v>824</v>
      </c>
      <c r="M158" s="31" t="n">
        <v>3</v>
      </c>
      <c r="N158" s="51" t="s">
        <v>462</v>
      </c>
      <c r="O158" s="35" t="s">
        <v>78</v>
      </c>
      <c r="P158" s="52"/>
      <c r="Q158" s="52"/>
      <c r="R158" s="33" t="n">
        <f aca="false">INDEX(Épopées!$L$6:$L$59,MATCH(K158,Épopées!$A$6:$A$59,0))</f>
        <v>46399</v>
      </c>
      <c r="S158" s="33" t="n">
        <f aca="false">INDEX(Épopées!$M$6:$M$59,MATCH(K158,Épopées!$A$6:$A$59,0))</f>
        <v>46440</v>
      </c>
      <c r="T158" s="53" t="s">
        <v>463</v>
      </c>
    </row>
    <row r="159" customFormat="false" ht="15" hidden="false" customHeight="false" outlineLevel="0" collapsed="false">
      <c r="A159" s="31" t="s">
        <v>825</v>
      </c>
      <c r="B159" s="31" t="s">
        <v>301</v>
      </c>
      <c r="C159" s="31" t="s">
        <v>309</v>
      </c>
      <c r="D159" s="31" t="s">
        <v>310</v>
      </c>
      <c r="E159" s="31" t="s">
        <v>826</v>
      </c>
      <c r="F159" s="31" t="s">
        <v>579</v>
      </c>
      <c r="G159" s="31" t="s">
        <v>466</v>
      </c>
      <c r="H159" s="31" t="s">
        <v>39</v>
      </c>
      <c r="I159" s="31" t="n">
        <f aca="false">VLOOKUP(H159,Paramètres!$A$15:$B$19,2,FALSE())</f>
        <v>0.5</v>
      </c>
      <c r="J159" s="31" t="n">
        <v>1</v>
      </c>
      <c r="K159" s="50" t="str">
        <f aca="false">C159&amp;"|"&amp;J159</f>
        <v>API-FOOT|1</v>
      </c>
      <c r="L159" s="31" t="s">
        <v>687</v>
      </c>
      <c r="M159" s="31" t="n">
        <v>2</v>
      </c>
      <c r="N159" s="51" t="s">
        <v>462</v>
      </c>
      <c r="O159" s="35" t="s">
        <v>78</v>
      </c>
      <c r="P159" s="52"/>
      <c r="Q159" s="52"/>
      <c r="R159" s="33" t="n">
        <f aca="false">INDEX(Épopées!$L$6:$L$59,MATCH(K159,Épopées!$A$6:$A$59,0))</f>
        <v>46399</v>
      </c>
      <c r="S159" s="33" t="n">
        <f aca="false">INDEX(Épopées!$M$6:$M$59,MATCH(K159,Épopées!$A$6:$A$59,0))</f>
        <v>46440</v>
      </c>
      <c r="T159" s="53" t="s">
        <v>463</v>
      </c>
    </row>
    <row r="160" customFormat="false" ht="15" hidden="false" customHeight="false" outlineLevel="0" collapsed="false">
      <c r="A160" s="31" t="s">
        <v>827</v>
      </c>
      <c r="B160" s="31" t="s">
        <v>301</v>
      </c>
      <c r="C160" s="31" t="s">
        <v>312</v>
      </c>
      <c r="D160" s="31" t="s">
        <v>313</v>
      </c>
      <c r="E160" s="31" t="s">
        <v>828</v>
      </c>
      <c r="F160" s="31" t="s">
        <v>486</v>
      </c>
      <c r="G160" s="31" t="s">
        <v>461</v>
      </c>
      <c r="H160" s="31" t="s">
        <v>39</v>
      </c>
      <c r="I160" s="31" t="n">
        <f aca="false">VLOOKUP(H160,Paramètres!$A$15:$B$19,2,FALSE())</f>
        <v>0.5</v>
      </c>
      <c r="J160" s="31" t="n">
        <v>1</v>
      </c>
      <c r="K160" s="50" t="str">
        <f aca="false">C160&amp;"|"&amp;J160</f>
        <v>API-CAL|1</v>
      </c>
      <c r="L160" s="31"/>
      <c r="M160" s="31" t="n">
        <v>2</v>
      </c>
      <c r="N160" s="51" t="s">
        <v>462</v>
      </c>
      <c r="O160" s="35" t="s">
        <v>78</v>
      </c>
      <c r="P160" s="52"/>
      <c r="Q160" s="52"/>
      <c r="R160" s="33" t="n">
        <f aca="false">INDEX(Épopées!$L$6:$L$59,MATCH(K160,Épopées!$A$6:$A$59,0))</f>
        <v>46441</v>
      </c>
      <c r="S160" s="33" t="n">
        <f aca="false">INDEX(Épopées!$M$6:$M$59,MATCH(K160,Épopées!$A$6:$A$59,0))</f>
        <v>46451</v>
      </c>
      <c r="T160" s="53" t="s">
        <v>463</v>
      </c>
    </row>
    <row r="161" customFormat="false" ht="15" hidden="false" customHeight="false" outlineLevel="0" collapsed="false">
      <c r="A161" s="31" t="s">
        <v>829</v>
      </c>
      <c r="B161" s="31" t="s">
        <v>301</v>
      </c>
      <c r="C161" s="31" t="s">
        <v>312</v>
      </c>
      <c r="D161" s="31" t="s">
        <v>313</v>
      </c>
      <c r="E161" s="31" t="s">
        <v>830</v>
      </c>
      <c r="F161" s="31" t="s">
        <v>486</v>
      </c>
      <c r="G161" s="31" t="s">
        <v>461</v>
      </c>
      <c r="H161" s="31" t="s">
        <v>39</v>
      </c>
      <c r="I161" s="31" t="n">
        <f aca="false">VLOOKUP(H161,Paramètres!$A$15:$B$19,2,FALSE())</f>
        <v>0.5</v>
      </c>
      <c r="J161" s="31" t="n">
        <v>1</v>
      </c>
      <c r="K161" s="50" t="str">
        <f aca="false">C161&amp;"|"&amp;J161</f>
        <v>API-CAL|1</v>
      </c>
      <c r="L161" s="31" t="s">
        <v>827</v>
      </c>
      <c r="M161" s="31" t="n">
        <v>1</v>
      </c>
      <c r="N161" s="51" t="s">
        <v>462</v>
      </c>
      <c r="O161" s="35" t="s">
        <v>78</v>
      </c>
      <c r="P161" s="52"/>
      <c r="Q161" s="52"/>
      <c r="R161" s="33" t="n">
        <f aca="false">INDEX(Épopées!$L$6:$L$59,MATCH(K161,Épopées!$A$6:$A$59,0))</f>
        <v>46441</v>
      </c>
      <c r="S161" s="33" t="n">
        <f aca="false">INDEX(Épopées!$M$6:$M$59,MATCH(K161,Épopées!$A$6:$A$59,0))</f>
        <v>46451</v>
      </c>
      <c r="T161" s="53" t="s">
        <v>463</v>
      </c>
    </row>
    <row r="162" customFormat="false" ht="15" hidden="false" customHeight="false" outlineLevel="0" collapsed="false">
      <c r="A162" s="31" t="s">
        <v>831</v>
      </c>
      <c r="B162" s="31" t="s">
        <v>301</v>
      </c>
      <c r="C162" s="31" t="s">
        <v>312</v>
      </c>
      <c r="D162" s="31" t="s">
        <v>313</v>
      </c>
      <c r="E162" s="31" t="s">
        <v>832</v>
      </c>
      <c r="F162" s="31" t="s">
        <v>491</v>
      </c>
      <c r="G162" s="31" t="s">
        <v>461</v>
      </c>
      <c r="H162" s="31" t="s">
        <v>41</v>
      </c>
      <c r="I162" s="31" t="n">
        <f aca="false">VLOOKUP(H162,Paramètres!$A$15:$B$19,2,FALSE())</f>
        <v>1</v>
      </c>
      <c r="J162" s="31" t="n">
        <v>1</v>
      </c>
      <c r="K162" s="50" t="str">
        <f aca="false">C162&amp;"|"&amp;J162</f>
        <v>API-CAL|1</v>
      </c>
      <c r="L162" s="31"/>
      <c r="M162" s="31" t="n">
        <v>3</v>
      </c>
      <c r="N162" s="51" t="s">
        <v>462</v>
      </c>
      <c r="O162" s="35" t="s">
        <v>78</v>
      </c>
      <c r="P162" s="52"/>
      <c r="Q162" s="52"/>
      <c r="R162" s="33" t="n">
        <f aca="false">INDEX(Épopées!$L$6:$L$59,MATCH(K162,Épopées!$A$6:$A$59,0))</f>
        <v>46441</v>
      </c>
      <c r="S162" s="33" t="n">
        <f aca="false">INDEX(Épopées!$M$6:$M$59,MATCH(K162,Épopées!$A$6:$A$59,0))</f>
        <v>46451</v>
      </c>
      <c r="T162" s="53" t="s">
        <v>463</v>
      </c>
    </row>
    <row r="163" customFormat="false" ht="15" hidden="false" customHeight="false" outlineLevel="0" collapsed="false">
      <c r="A163" s="31" t="s">
        <v>833</v>
      </c>
      <c r="B163" s="31" t="s">
        <v>301</v>
      </c>
      <c r="C163" s="31" t="s">
        <v>312</v>
      </c>
      <c r="D163" s="31" t="s">
        <v>313</v>
      </c>
      <c r="E163" s="31" t="s">
        <v>834</v>
      </c>
      <c r="F163" s="31" t="s">
        <v>460</v>
      </c>
      <c r="G163" s="31" t="s">
        <v>461</v>
      </c>
      <c r="H163" s="31" t="s">
        <v>41</v>
      </c>
      <c r="I163" s="31" t="n">
        <f aca="false">VLOOKUP(H163,Paramètres!$A$15:$B$19,2,FALSE())</f>
        <v>1</v>
      </c>
      <c r="J163" s="31" t="n">
        <v>1</v>
      </c>
      <c r="K163" s="50" t="str">
        <f aca="false">C163&amp;"|"&amp;J163</f>
        <v>API-CAL|1</v>
      </c>
      <c r="L163" s="31" t="s">
        <v>835</v>
      </c>
      <c r="M163" s="31" t="n">
        <v>3</v>
      </c>
      <c r="N163" s="51" t="s">
        <v>462</v>
      </c>
      <c r="O163" s="35" t="s">
        <v>78</v>
      </c>
      <c r="P163" s="52"/>
      <c r="Q163" s="52"/>
      <c r="R163" s="33" t="n">
        <f aca="false">INDEX(Épopées!$L$6:$L$59,MATCH(K163,Épopées!$A$6:$A$59,0))</f>
        <v>46441</v>
      </c>
      <c r="S163" s="33" t="n">
        <f aca="false">INDEX(Épopées!$M$6:$M$59,MATCH(K163,Épopées!$A$6:$A$59,0))</f>
        <v>46451</v>
      </c>
      <c r="T163" s="53" t="s">
        <v>463</v>
      </c>
    </row>
    <row r="164" customFormat="false" ht="15" hidden="false" customHeight="false" outlineLevel="0" collapsed="false">
      <c r="A164" s="31" t="s">
        <v>836</v>
      </c>
      <c r="B164" s="31" t="s">
        <v>301</v>
      </c>
      <c r="C164" s="31" t="s">
        <v>312</v>
      </c>
      <c r="D164" s="31" t="s">
        <v>313</v>
      </c>
      <c r="E164" s="31" t="s">
        <v>837</v>
      </c>
      <c r="F164" s="31" t="s">
        <v>460</v>
      </c>
      <c r="G164" s="31" t="s">
        <v>466</v>
      </c>
      <c r="H164" s="31" t="s">
        <v>39</v>
      </c>
      <c r="I164" s="31" t="n">
        <f aca="false">VLOOKUP(H164,Paramètres!$A$15:$B$19,2,FALSE())</f>
        <v>0.5</v>
      </c>
      <c r="J164" s="31" t="n">
        <v>1</v>
      </c>
      <c r="K164" s="50" t="str">
        <f aca="false">C164&amp;"|"&amp;J164</f>
        <v>API-CAL|1</v>
      </c>
      <c r="L164" s="31" t="s">
        <v>833</v>
      </c>
      <c r="M164" s="31" t="n">
        <v>1</v>
      </c>
      <c r="N164" s="51" t="s">
        <v>462</v>
      </c>
      <c r="O164" s="35" t="s">
        <v>78</v>
      </c>
      <c r="P164" s="52"/>
      <c r="Q164" s="52"/>
      <c r="R164" s="33" t="n">
        <f aca="false">INDEX(Épopées!$L$6:$L$59,MATCH(K164,Épopées!$A$6:$A$59,0))</f>
        <v>46441</v>
      </c>
      <c r="S164" s="33" t="n">
        <f aca="false">INDEX(Épopées!$M$6:$M$59,MATCH(K164,Épopées!$A$6:$A$59,0))</f>
        <v>46451</v>
      </c>
      <c r="T164" s="53" t="s">
        <v>463</v>
      </c>
    </row>
    <row r="165" customFormat="false" ht="15" hidden="false" customHeight="false" outlineLevel="0" collapsed="false">
      <c r="A165" s="31" t="s">
        <v>838</v>
      </c>
      <c r="B165" s="31" t="s">
        <v>301</v>
      </c>
      <c r="C165" s="31" t="s">
        <v>312</v>
      </c>
      <c r="D165" s="31" t="s">
        <v>313</v>
      </c>
      <c r="E165" s="31" t="s">
        <v>839</v>
      </c>
      <c r="F165" s="31" t="s">
        <v>460</v>
      </c>
      <c r="G165" s="31" t="s">
        <v>461</v>
      </c>
      <c r="H165" s="31" t="s">
        <v>39</v>
      </c>
      <c r="I165" s="31" t="n">
        <f aca="false">VLOOKUP(H165,Paramètres!$A$15:$B$19,2,FALSE())</f>
        <v>0.5</v>
      </c>
      <c r="J165" s="31" t="n">
        <v>1</v>
      </c>
      <c r="K165" s="50" t="str">
        <f aca="false">C165&amp;"|"&amp;J165</f>
        <v>API-CAL|1</v>
      </c>
      <c r="L165" s="31" t="s">
        <v>840</v>
      </c>
      <c r="M165" s="31" t="n">
        <v>3</v>
      </c>
      <c r="N165" s="51" t="s">
        <v>462</v>
      </c>
      <c r="O165" s="35" t="s">
        <v>78</v>
      </c>
      <c r="P165" s="52"/>
      <c r="Q165" s="52"/>
      <c r="R165" s="33" t="n">
        <f aca="false">INDEX(Épopées!$L$6:$L$59,MATCH(K165,Épopées!$A$6:$A$59,0))</f>
        <v>46441</v>
      </c>
      <c r="S165" s="33" t="n">
        <f aca="false">INDEX(Épopées!$M$6:$M$59,MATCH(K165,Épopées!$A$6:$A$59,0))</f>
        <v>46451</v>
      </c>
      <c r="T165" s="53" t="s">
        <v>463</v>
      </c>
    </row>
    <row r="166" customFormat="false" ht="15" hidden="false" customHeight="false" outlineLevel="0" collapsed="false">
      <c r="A166" s="31" t="s">
        <v>841</v>
      </c>
      <c r="B166" s="31" t="s">
        <v>301</v>
      </c>
      <c r="C166" s="31" t="s">
        <v>312</v>
      </c>
      <c r="D166" s="31" t="s">
        <v>313</v>
      </c>
      <c r="E166" s="31" t="s">
        <v>842</v>
      </c>
      <c r="F166" s="31" t="s">
        <v>491</v>
      </c>
      <c r="G166" s="31" t="s">
        <v>461</v>
      </c>
      <c r="H166" s="31" t="s">
        <v>41</v>
      </c>
      <c r="I166" s="31" t="n">
        <f aca="false">VLOOKUP(H166,Paramètres!$A$15:$B$19,2,FALSE())</f>
        <v>1</v>
      </c>
      <c r="J166" s="31" t="n">
        <v>1</v>
      </c>
      <c r="K166" s="50" t="str">
        <f aca="false">C166&amp;"|"&amp;J166</f>
        <v>API-CAL|1</v>
      </c>
      <c r="L166" s="31" t="s">
        <v>843</v>
      </c>
      <c r="M166" s="31" t="n">
        <v>1</v>
      </c>
      <c r="N166" s="51" t="s">
        <v>462</v>
      </c>
      <c r="O166" s="35" t="s">
        <v>78</v>
      </c>
      <c r="P166" s="52"/>
      <c r="Q166" s="52"/>
      <c r="R166" s="33" t="n">
        <f aca="false">INDEX(Épopées!$L$6:$L$59,MATCH(K166,Épopées!$A$6:$A$59,0))</f>
        <v>46441</v>
      </c>
      <c r="S166" s="33" t="n">
        <f aca="false">INDEX(Épopées!$M$6:$M$59,MATCH(K166,Épopées!$A$6:$A$59,0))</f>
        <v>46451</v>
      </c>
      <c r="T166" s="53" t="s">
        <v>463</v>
      </c>
    </row>
    <row r="167" customFormat="false" ht="15" hidden="false" customHeight="false" outlineLevel="0" collapsed="false">
      <c r="A167" s="31" t="s">
        <v>844</v>
      </c>
      <c r="B167" s="31" t="s">
        <v>301</v>
      </c>
      <c r="C167" s="31" t="s">
        <v>312</v>
      </c>
      <c r="D167" s="31" t="s">
        <v>313</v>
      </c>
      <c r="E167" s="31" t="s">
        <v>845</v>
      </c>
      <c r="F167" s="31" t="s">
        <v>491</v>
      </c>
      <c r="G167" s="31" t="s">
        <v>461</v>
      </c>
      <c r="H167" s="31" t="s">
        <v>41</v>
      </c>
      <c r="I167" s="31" t="n">
        <f aca="false">VLOOKUP(H167,Paramètres!$A$15:$B$19,2,FALSE())</f>
        <v>1</v>
      </c>
      <c r="J167" s="31" t="n">
        <v>1</v>
      </c>
      <c r="K167" s="50" t="str">
        <f aca="false">C167&amp;"|"&amp;J167</f>
        <v>API-CAL|1</v>
      </c>
      <c r="L167" s="31" t="s">
        <v>831</v>
      </c>
      <c r="M167" s="31" t="n">
        <v>2</v>
      </c>
      <c r="N167" s="51" t="s">
        <v>462</v>
      </c>
      <c r="O167" s="35" t="s">
        <v>78</v>
      </c>
      <c r="P167" s="52"/>
      <c r="Q167" s="52"/>
      <c r="R167" s="33" t="n">
        <f aca="false">INDEX(Épopées!$L$6:$L$59,MATCH(K167,Épopées!$A$6:$A$59,0))</f>
        <v>46441</v>
      </c>
      <c r="S167" s="33" t="n">
        <f aca="false">INDEX(Épopées!$M$6:$M$59,MATCH(K167,Épopées!$A$6:$A$59,0))</f>
        <v>46451</v>
      </c>
      <c r="T167" s="53" t="s">
        <v>463</v>
      </c>
    </row>
    <row r="168" customFormat="false" ht="15" hidden="false" customHeight="false" outlineLevel="0" collapsed="false">
      <c r="A168" s="31" t="s">
        <v>846</v>
      </c>
      <c r="B168" s="31" t="s">
        <v>301</v>
      </c>
      <c r="C168" s="31" t="s">
        <v>312</v>
      </c>
      <c r="D168" s="31" t="s">
        <v>313</v>
      </c>
      <c r="E168" s="31" t="s">
        <v>847</v>
      </c>
      <c r="F168" s="31" t="s">
        <v>491</v>
      </c>
      <c r="G168" s="31" t="s">
        <v>461</v>
      </c>
      <c r="H168" s="31" t="s">
        <v>39</v>
      </c>
      <c r="I168" s="31" t="n">
        <f aca="false">VLOOKUP(H168,Paramètres!$A$15:$B$19,2,FALSE())</f>
        <v>0.5</v>
      </c>
      <c r="J168" s="31" t="n">
        <v>1</v>
      </c>
      <c r="K168" s="50" t="str">
        <f aca="false">C168&amp;"|"&amp;J168</f>
        <v>API-CAL|1</v>
      </c>
      <c r="L168" s="31" t="s">
        <v>844</v>
      </c>
      <c r="M168" s="31" t="n">
        <v>2</v>
      </c>
      <c r="N168" s="51" t="s">
        <v>462</v>
      </c>
      <c r="O168" s="35" t="s">
        <v>78</v>
      </c>
      <c r="P168" s="52"/>
      <c r="Q168" s="52"/>
      <c r="R168" s="33" t="n">
        <f aca="false">INDEX(Épopées!$L$6:$L$59,MATCH(K168,Épopées!$A$6:$A$59,0))</f>
        <v>46441</v>
      </c>
      <c r="S168" s="33" t="n">
        <f aca="false">INDEX(Épopées!$M$6:$M$59,MATCH(K168,Épopées!$A$6:$A$59,0))</f>
        <v>46451</v>
      </c>
      <c r="T168" s="53" t="s">
        <v>463</v>
      </c>
    </row>
    <row r="169" customFormat="false" ht="15" hidden="false" customHeight="false" outlineLevel="0" collapsed="false">
      <c r="A169" s="31" t="s">
        <v>848</v>
      </c>
      <c r="B169" s="31" t="s">
        <v>301</v>
      </c>
      <c r="C169" s="31" t="s">
        <v>312</v>
      </c>
      <c r="D169" s="31" t="s">
        <v>313</v>
      </c>
      <c r="E169" s="31" t="s">
        <v>849</v>
      </c>
      <c r="F169" s="31" t="s">
        <v>491</v>
      </c>
      <c r="G169" s="31" t="s">
        <v>461</v>
      </c>
      <c r="H169" s="31" t="s">
        <v>39</v>
      </c>
      <c r="I169" s="31" t="n">
        <f aca="false">VLOOKUP(H169,Paramètres!$A$15:$B$19,2,FALSE())</f>
        <v>0.5</v>
      </c>
      <c r="J169" s="31" t="n">
        <v>1</v>
      </c>
      <c r="K169" s="50" t="str">
        <f aca="false">C169&amp;"|"&amp;J169</f>
        <v>API-CAL|1</v>
      </c>
      <c r="L169" s="31" t="s">
        <v>846</v>
      </c>
      <c r="M169" s="31" t="n">
        <v>3</v>
      </c>
      <c r="N169" s="51" t="s">
        <v>462</v>
      </c>
      <c r="O169" s="35" t="s">
        <v>78</v>
      </c>
      <c r="P169" s="52"/>
      <c r="Q169" s="52"/>
      <c r="R169" s="33" t="n">
        <f aca="false">INDEX(Épopées!$L$6:$L$59,MATCH(K169,Épopées!$A$6:$A$59,0))</f>
        <v>46441</v>
      </c>
      <c r="S169" s="33" t="n">
        <f aca="false">INDEX(Épopées!$M$6:$M$59,MATCH(K169,Épopées!$A$6:$A$59,0))</f>
        <v>46451</v>
      </c>
      <c r="T169" s="53" t="s">
        <v>463</v>
      </c>
    </row>
    <row r="170" customFormat="false" ht="15" hidden="false" customHeight="false" outlineLevel="0" collapsed="false">
      <c r="A170" s="31" t="s">
        <v>850</v>
      </c>
      <c r="B170" s="31" t="s">
        <v>301</v>
      </c>
      <c r="C170" s="31" t="s">
        <v>312</v>
      </c>
      <c r="D170" s="31" t="s">
        <v>313</v>
      </c>
      <c r="E170" s="31" t="s">
        <v>851</v>
      </c>
      <c r="F170" s="31" t="s">
        <v>491</v>
      </c>
      <c r="G170" s="31" t="s">
        <v>461</v>
      </c>
      <c r="H170" s="31" t="s">
        <v>41</v>
      </c>
      <c r="I170" s="31" t="n">
        <f aca="false">VLOOKUP(H170,Paramètres!$A$15:$B$19,2,FALSE())</f>
        <v>1</v>
      </c>
      <c r="J170" s="31" t="n">
        <v>1</v>
      </c>
      <c r="K170" s="50" t="str">
        <f aca="false">C170&amp;"|"&amp;J170</f>
        <v>API-CAL|1</v>
      </c>
      <c r="L170" s="31" t="s">
        <v>852</v>
      </c>
      <c r="M170" s="31" t="n">
        <v>3</v>
      </c>
      <c r="N170" s="51" t="s">
        <v>462</v>
      </c>
      <c r="O170" s="35" t="s">
        <v>78</v>
      </c>
      <c r="P170" s="52"/>
      <c r="Q170" s="52"/>
      <c r="R170" s="33" t="n">
        <f aca="false">INDEX(Épopées!$L$6:$L$59,MATCH(K170,Épopées!$A$6:$A$59,0))</f>
        <v>46441</v>
      </c>
      <c r="S170" s="33" t="n">
        <f aca="false">INDEX(Épopées!$M$6:$M$59,MATCH(K170,Épopées!$A$6:$A$59,0))</f>
        <v>46451</v>
      </c>
      <c r="T170" s="53" t="s">
        <v>463</v>
      </c>
    </row>
    <row r="171" customFormat="false" ht="15" hidden="false" customHeight="false" outlineLevel="0" collapsed="false">
      <c r="A171" s="31" t="s">
        <v>853</v>
      </c>
      <c r="B171" s="31" t="s">
        <v>301</v>
      </c>
      <c r="C171" s="31" t="s">
        <v>312</v>
      </c>
      <c r="D171" s="31" t="s">
        <v>313</v>
      </c>
      <c r="E171" s="31" t="s">
        <v>854</v>
      </c>
      <c r="F171" s="31" t="s">
        <v>460</v>
      </c>
      <c r="G171" s="31" t="s">
        <v>461</v>
      </c>
      <c r="H171" s="31" t="s">
        <v>41</v>
      </c>
      <c r="I171" s="31" t="n">
        <f aca="false">VLOOKUP(H171,Paramètres!$A$15:$B$19,2,FALSE())</f>
        <v>1</v>
      </c>
      <c r="J171" s="31" t="n">
        <v>1</v>
      </c>
      <c r="K171" s="50" t="str">
        <f aca="false">C171&amp;"|"&amp;J171</f>
        <v>API-CAL|1</v>
      </c>
      <c r="L171" s="31" t="s">
        <v>855</v>
      </c>
      <c r="M171" s="31" t="n">
        <v>5</v>
      </c>
      <c r="N171" s="51" t="s">
        <v>462</v>
      </c>
      <c r="O171" s="35" t="s">
        <v>78</v>
      </c>
      <c r="P171" s="52"/>
      <c r="Q171" s="52"/>
      <c r="R171" s="33" t="n">
        <f aca="false">INDEX(Épopées!$L$6:$L$59,MATCH(K171,Épopées!$A$6:$A$59,0))</f>
        <v>46441</v>
      </c>
      <c r="S171" s="33" t="n">
        <f aca="false">INDEX(Épopées!$M$6:$M$59,MATCH(K171,Épopées!$A$6:$A$59,0))</f>
        <v>46451</v>
      </c>
      <c r="T171" s="53" t="s">
        <v>463</v>
      </c>
    </row>
    <row r="172" customFormat="false" ht="15" hidden="false" customHeight="false" outlineLevel="0" collapsed="false">
      <c r="A172" s="31" t="s">
        <v>856</v>
      </c>
      <c r="B172" s="31" t="s">
        <v>301</v>
      </c>
      <c r="C172" s="31" t="s">
        <v>312</v>
      </c>
      <c r="D172" s="31" t="s">
        <v>313</v>
      </c>
      <c r="E172" s="31" t="s">
        <v>857</v>
      </c>
      <c r="F172" s="31" t="s">
        <v>460</v>
      </c>
      <c r="G172" s="31" t="s">
        <v>461</v>
      </c>
      <c r="H172" s="31" t="s">
        <v>41</v>
      </c>
      <c r="I172" s="31" t="n">
        <f aca="false">VLOOKUP(H172,Paramètres!$A$15:$B$19,2,FALSE())</f>
        <v>1</v>
      </c>
      <c r="J172" s="31" t="n">
        <v>1</v>
      </c>
      <c r="K172" s="50" t="str">
        <f aca="false">C172&amp;"|"&amp;J172</f>
        <v>API-CAL|1</v>
      </c>
      <c r="L172" s="31" t="s">
        <v>858</v>
      </c>
      <c r="M172" s="31" t="n">
        <v>3</v>
      </c>
      <c r="N172" s="51" t="s">
        <v>462</v>
      </c>
      <c r="O172" s="35" t="s">
        <v>78</v>
      </c>
      <c r="P172" s="52"/>
      <c r="Q172" s="52"/>
      <c r="R172" s="33" t="n">
        <f aca="false">INDEX(Épopées!$L$6:$L$59,MATCH(K172,Épopées!$A$6:$A$59,0))</f>
        <v>46441</v>
      </c>
      <c r="S172" s="33" t="n">
        <f aca="false">INDEX(Épopées!$M$6:$M$59,MATCH(K172,Épopées!$A$6:$A$59,0))</f>
        <v>46451</v>
      </c>
      <c r="T172" s="53" t="s">
        <v>463</v>
      </c>
    </row>
    <row r="173" customFormat="false" ht="15" hidden="false" customHeight="false" outlineLevel="0" collapsed="false">
      <c r="A173" s="31" t="s">
        <v>858</v>
      </c>
      <c r="B173" s="31" t="s">
        <v>301</v>
      </c>
      <c r="C173" s="31" t="s">
        <v>312</v>
      </c>
      <c r="D173" s="31" t="s">
        <v>313</v>
      </c>
      <c r="E173" s="31" t="s">
        <v>859</v>
      </c>
      <c r="F173" s="31" t="s">
        <v>469</v>
      </c>
      <c r="G173" s="31" t="s">
        <v>461</v>
      </c>
      <c r="H173" s="31" t="s">
        <v>39</v>
      </c>
      <c r="I173" s="31" t="n">
        <f aca="false">VLOOKUP(H173,Paramètres!$A$15:$B$19,2,FALSE())</f>
        <v>0.5</v>
      </c>
      <c r="J173" s="31" t="n">
        <v>1</v>
      </c>
      <c r="K173" s="50" t="str">
        <f aca="false">C173&amp;"|"&amp;J173</f>
        <v>API-CAL|1</v>
      </c>
      <c r="L173" s="31"/>
      <c r="M173" s="31" t="n">
        <v>1</v>
      </c>
      <c r="N173" s="51" t="s">
        <v>462</v>
      </c>
      <c r="O173" s="35" t="s">
        <v>78</v>
      </c>
      <c r="P173" s="52"/>
      <c r="Q173" s="52"/>
      <c r="R173" s="33" t="n">
        <f aca="false">INDEX(Épopées!$L$6:$L$59,MATCH(K173,Épopées!$A$6:$A$59,0))</f>
        <v>46441</v>
      </c>
      <c r="S173" s="33" t="n">
        <f aca="false">INDEX(Épopées!$M$6:$M$59,MATCH(K173,Épopées!$A$6:$A$59,0))</f>
        <v>46451</v>
      </c>
      <c r="T173" s="53" t="s">
        <v>463</v>
      </c>
    </row>
    <row r="174" customFormat="false" ht="15" hidden="false" customHeight="false" outlineLevel="0" collapsed="false">
      <c r="A174" s="31" t="s">
        <v>860</v>
      </c>
      <c r="B174" s="31" t="s">
        <v>301</v>
      </c>
      <c r="C174" s="31" t="s">
        <v>312</v>
      </c>
      <c r="D174" s="31" t="s">
        <v>313</v>
      </c>
      <c r="E174" s="31" t="s">
        <v>861</v>
      </c>
      <c r="F174" s="31" t="s">
        <v>460</v>
      </c>
      <c r="G174" s="31" t="s">
        <v>466</v>
      </c>
      <c r="H174" s="31" t="s">
        <v>39</v>
      </c>
      <c r="I174" s="31" t="n">
        <f aca="false">VLOOKUP(H174,Paramètres!$A$15:$B$19,2,FALSE())</f>
        <v>0.5</v>
      </c>
      <c r="J174" s="31" t="n">
        <v>1</v>
      </c>
      <c r="K174" s="50" t="str">
        <f aca="false">C174&amp;"|"&amp;J174</f>
        <v>API-CAL|1</v>
      </c>
      <c r="L174" s="31" t="s">
        <v>862</v>
      </c>
      <c r="M174" s="31" t="n">
        <v>2</v>
      </c>
      <c r="N174" s="51" t="s">
        <v>462</v>
      </c>
      <c r="O174" s="35" t="s">
        <v>78</v>
      </c>
      <c r="P174" s="52"/>
      <c r="Q174" s="52"/>
      <c r="R174" s="33" t="n">
        <f aca="false">INDEX(Épopées!$L$6:$L$59,MATCH(K174,Épopées!$A$6:$A$59,0))</f>
        <v>46441</v>
      </c>
      <c r="S174" s="33" t="n">
        <f aca="false">INDEX(Épopées!$M$6:$M$59,MATCH(K174,Épopées!$A$6:$A$59,0))</f>
        <v>46451</v>
      </c>
      <c r="T174" s="53" t="s">
        <v>463</v>
      </c>
    </row>
    <row r="175" customFormat="false" ht="15" hidden="false" customHeight="false" outlineLevel="0" collapsed="false">
      <c r="A175" s="31" t="s">
        <v>863</v>
      </c>
      <c r="B175" s="31" t="s">
        <v>301</v>
      </c>
      <c r="C175" s="31" t="s">
        <v>312</v>
      </c>
      <c r="D175" s="31" t="s">
        <v>313</v>
      </c>
      <c r="E175" s="31" t="s">
        <v>864</v>
      </c>
      <c r="F175" s="31" t="s">
        <v>460</v>
      </c>
      <c r="G175" s="31" t="s">
        <v>461</v>
      </c>
      <c r="H175" s="31" t="s">
        <v>39</v>
      </c>
      <c r="I175" s="31" t="n">
        <f aca="false">VLOOKUP(H175,Paramètres!$A$15:$B$19,2,FALSE())</f>
        <v>0.5</v>
      </c>
      <c r="J175" s="31" t="n">
        <v>1</v>
      </c>
      <c r="K175" s="50" t="str">
        <f aca="false">C175&amp;"|"&amp;J175</f>
        <v>API-CAL|1</v>
      </c>
      <c r="L175" s="31" t="s">
        <v>865</v>
      </c>
      <c r="M175" s="31" t="n">
        <v>3</v>
      </c>
      <c r="N175" s="51" t="s">
        <v>462</v>
      </c>
      <c r="O175" s="35" t="s">
        <v>78</v>
      </c>
      <c r="P175" s="52"/>
      <c r="Q175" s="52"/>
      <c r="R175" s="33" t="n">
        <f aca="false">INDEX(Épopées!$L$6:$L$59,MATCH(K175,Épopées!$A$6:$A$59,0))</f>
        <v>46441</v>
      </c>
      <c r="S175" s="33" t="n">
        <f aca="false">INDEX(Épopées!$M$6:$M$59,MATCH(K175,Épopées!$A$6:$A$59,0))</f>
        <v>46451</v>
      </c>
      <c r="T175" s="53" t="s">
        <v>463</v>
      </c>
    </row>
    <row r="176" customFormat="false" ht="15" hidden="false" customHeight="false" outlineLevel="0" collapsed="false">
      <c r="A176" s="31" t="s">
        <v>866</v>
      </c>
      <c r="B176" s="31" t="s">
        <v>301</v>
      </c>
      <c r="C176" s="31" t="s">
        <v>312</v>
      </c>
      <c r="D176" s="31" t="s">
        <v>313</v>
      </c>
      <c r="E176" s="31" t="s">
        <v>867</v>
      </c>
      <c r="F176" s="31" t="s">
        <v>460</v>
      </c>
      <c r="G176" s="31" t="s">
        <v>461</v>
      </c>
      <c r="H176" s="31" t="s">
        <v>41</v>
      </c>
      <c r="I176" s="31" t="n">
        <f aca="false">VLOOKUP(H176,Paramètres!$A$15:$B$19,2,FALSE())</f>
        <v>1</v>
      </c>
      <c r="J176" s="31" t="n">
        <v>1</v>
      </c>
      <c r="K176" s="50" t="str">
        <f aca="false">C176&amp;"|"&amp;J176</f>
        <v>API-CAL|1</v>
      </c>
      <c r="L176" s="31" t="s">
        <v>868</v>
      </c>
      <c r="M176" s="31" t="n">
        <v>2</v>
      </c>
      <c r="N176" s="51" t="s">
        <v>462</v>
      </c>
      <c r="O176" s="35" t="s">
        <v>78</v>
      </c>
      <c r="P176" s="52"/>
      <c r="Q176" s="52"/>
      <c r="R176" s="33" t="n">
        <f aca="false">INDEX(Épopées!$L$6:$L$59,MATCH(K176,Épopées!$A$6:$A$59,0))</f>
        <v>46441</v>
      </c>
      <c r="S176" s="33" t="n">
        <f aca="false">INDEX(Épopées!$M$6:$M$59,MATCH(K176,Épopées!$A$6:$A$59,0))</f>
        <v>46451</v>
      </c>
      <c r="T176" s="53" t="s">
        <v>463</v>
      </c>
    </row>
    <row r="177" customFormat="false" ht="15" hidden="false" customHeight="false" outlineLevel="0" collapsed="false">
      <c r="A177" s="31" t="s">
        <v>869</v>
      </c>
      <c r="B177" s="31" t="s">
        <v>301</v>
      </c>
      <c r="C177" s="31" t="s">
        <v>312</v>
      </c>
      <c r="D177" s="31" t="s">
        <v>313</v>
      </c>
      <c r="E177" s="31" t="s">
        <v>870</v>
      </c>
      <c r="F177" s="31" t="s">
        <v>548</v>
      </c>
      <c r="G177" s="31" t="s">
        <v>466</v>
      </c>
      <c r="H177" s="31" t="s">
        <v>41</v>
      </c>
      <c r="I177" s="31" t="n">
        <f aca="false">VLOOKUP(H177,Paramètres!$A$15:$B$19,2,FALSE())</f>
        <v>1</v>
      </c>
      <c r="J177" s="31" t="n">
        <v>1</v>
      </c>
      <c r="K177" s="50" t="str">
        <f aca="false">C177&amp;"|"&amp;J177</f>
        <v>API-CAL|1</v>
      </c>
      <c r="L177" s="31" t="s">
        <v>871</v>
      </c>
      <c r="M177" s="31" t="n">
        <v>4</v>
      </c>
      <c r="N177" s="51" t="s">
        <v>462</v>
      </c>
      <c r="O177" s="35" t="s">
        <v>78</v>
      </c>
      <c r="P177" s="52"/>
      <c r="Q177" s="52"/>
      <c r="R177" s="33" t="n">
        <f aca="false">INDEX(Épopées!$L$6:$L$59,MATCH(K177,Épopées!$A$6:$A$59,0))</f>
        <v>46441</v>
      </c>
      <c r="S177" s="33" t="n">
        <f aca="false">INDEX(Épopées!$M$6:$M$59,MATCH(K177,Épopées!$A$6:$A$59,0))</f>
        <v>46451</v>
      </c>
      <c r="T177" s="53" t="s">
        <v>463</v>
      </c>
    </row>
    <row r="178" customFormat="false" ht="15" hidden="false" customHeight="false" outlineLevel="0" collapsed="false">
      <c r="A178" s="31" t="s">
        <v>872</v>
      </c>
      <c r="B178" s="31" t="s">
        <v>301</v>
      </c>
      <c r="C178" s="31" t="s">
        <v>312</v>
      </c>
      <c r="D178" s="31" t="s">
        <v>313</v>
      </c>
      <c r="E178" s="31" t="s">
        <v>873</v>
      </c>
      <c r="F178" s="31" t="s">
        <v>481</v>
      </c>
      <c r="G178" s="31" t="s">
        <v>466</v>
      </c>
      <c r="H178" s="31" t="s">
        <v>41</v>
      </c>
      <c r="I178" s="31" t="n">
        <f aca="false">VLOOKUP(H178,Paramètres!$A$15:$B$19,2,FALSE())</f>
        <v>1</v>
      </c>
      <c r="J178" s="31" t="n">
        <v>1</v>
      </c>
      <c r="K178" s="50" t="str">
        <f aca="false">C178&amp;"|"&amp;J178</f>
        <v>API-CAL|1</v>
      </c>
      <c r="L178" s="31" t="s">
        <v>874</v>
      </c>
      <c r="M178" s="31" t="n">
        <v>1</v>
      </c>
      <c r="N178" s="51" t="s">
        <v>462</v>
      </c>
      <c r="O178" s="35" t="s">
        <v>78</v>
      </c>
      <c r="P178" s="52"/>
      <c r="Q178" s="52"/>
      <c r="R178" s="33" t="n">
        <f aca="false">INDEX(Épopées!$L$6:$L$59,MATCH(K178,Épopées!$A$6:$A$59,0))</f>
        <v>46441</v>
      </c>
      <c r="S178" s="33" t="n">
        <f aca="false">INDEX(Épopées!$M$6:$M$59,MATCH(K178,Épopées!$A$6:$A$59,0))</f>
        <v>46451</v>
      </c>
      <c r="T178" s="53" t="s">
        <v>463</v>
      </c>
    </row>
    <row r="179" customFormat="false" ht="15" hidden="false" customHeight="false" outlineLevel="0" collapsed="false">
      <c r="A179" s="31" t="s">
        <v>875</v>
      </c>
      <c r="B179" s="31" t="s">
        <v>301</v>
      </c>
      <c r="C179" s="31" t="s">
        <v>312</v>
      </c>
      <c r="D179" s="31" t="s">
        <v>313</v>
      </c>
      <c r="E179" s="31" t="s">
        <v>876</v>
      </c>
      <c r="F179" s="31" t="s">
        <v>579</v>
      </c>
      <c r="G179" s="31" t="s">
        <v>466</v>
      </c>
      <c r="H179" s="31" t="s">
        <v>39</v>
      </c>
      <c r="I179" s="31" t="n">
        <f aca="false">VLOOKUP(H179,Paramètres!$A$15:$B$19,2,FALSE())</f>
        <v>0.5</v>
      </c>
      <c r="J179" s="31" t="n">
        <v>1</v>
      </c>
      <c r="K179" s="50" t="str">
        <f aca="false">C179&amp;"|"&amp;J179</f>
        <v>API-CAL|1</v>
      </c>
      <c r="L179" s="31" t="s">
        <v>856</v>
      </c>
      <c r="M179" s="31" t="n">
        <v>1</v>
      </c>
      <c r="N179" s="51" t="s">
        <v>462</v>
      </c>
      <c r="O179" s="35" t="s">
        <v>78</v>
      </c>
      <c r="P179" s="52"/>
      <c r="Q179" s="52"/>
      <c r="R179" s="33" t="n">
        <f aca="false">INDEX(Épopées!$L$6:$L$59,MATCH(K179,Épopées!$A$6:$A$59,0))</f>
        <v>46441</v>
      </c>
      <c r="S179" s="33" t="n">
        <f aca="false">INDEX(Épopées!$M$6:$M$59,MATCH(K179,Épopées!$A$6:$A$59,0))</f>
        <v>46451</v>
      </c>
      <c r="T179" s="53" t="s">
        <v>463</v>
      </c>
    </row>
    <row r="180" customFormat="false" ht="15" hidden="false" customHeight="false" outlineLevel="0" collapsed="false">
      <c r="A180" s="31" t="s">
        <v>877</v>
      </c>
      <c r="B180" s="31" t="s">
        <v>301</v>
      </c>
      <c r="C180" s="31" t="s">
        <v>312</v>
      </c>
      <c r="D180" s="31" t="s">
        <v>313</v>
      </c>
      <c r="E180" s="31" t="s">
        <v>878</v>
      </c>
      <c r="F180" s="31" t="s">
        <v>472</v>
      </c>
      <c r="G180" s="31" t="s">
        <v>461</v>
      </c>
      <c r="H180" s="31" t="s">
        <v>41</v>
      </c>
      <c r="I180" s="31" t="n">
        <f aca="false">VLOOKUP(H180,Paramètres!$A$15:$B$19,2,FALSE())</f>
        <v>1</v>
      </c>
      <c r="J180" s="31" t="n">
        <v>1</v>
      </c>
      <c r="K180" s="50" t="str">
        <f aca="false">C180&amp;"|"&amp;J180</f>
        <v>API-CAL|1</v>
      </c>
      <c r="L180" s="31" t="s">
        <v>855</v>
      </c>
      <c r="M180" s="31" t="n">
        <v>1</v>
      </c>
      <c r="N180" s="51" t="s">
        <v>462</v>
      </c>
      <c r="O180" s="35" t="s">
        <v>78</v>
      </c>
      <c r="P180" s="52"/>
      <c r="Q180" s="52"/>
      <c r="R180" s="33" t="n">
        <f aca="false">INDEX(Épopées!$L$6:$L$59,MATCH(K180,Épopées!$A$6:$A$59,0))</f>
        <v>46441</v>
      </c>
      <c r="S180" s="33" t="n">
        <f aca="false">INDEX(Épopées!$M$6:$M$59,MATCH(K180,Épopées!$A$6:$A$59,0))</f>
        <v>46451</v>
      </c>
      <c r="T180" s="53" t="s">
        <v>463</v>
      </c>
    </row>
    <row r="181" customFormat="false" ht="15" hidden="false" customHeight="false" outlineLevel="0" collapsed="false">
      <c r="A181" s="31" t="s">
        <v>879</v>
      </c>
      <c r="B181" s="31" t="s">
        <v>301</v>
      </c>
      <c r="C181" s="31" t="s">
        <v>312</v>
      </c>
      <c r="D181" s="31" t="s">
        <v>313</v>
      </c>
      <c r="E181" s="31" t="s">
        <v>880</v>
      </c>
      <c r="F181" s="31" t="s">
        <v>472</v>
      </c>
      <c r="G181" s="31" t="s">
        <v>466</v>
      </c>
      <c r="H181" s="31" t="s">
        <v>41</v>
      </c>
      <c r="I181" s="31" t="n">
        <f aca="false">VLOOKUP(H181,Paramètres!$A$15:$B$19,2,FALSE())</f>
        <v>1</v>
      </c>
      <c r="J181" s="31" t="n">
        <v>1</v>
      </c>
      <c r="K181" s="50" t="str">
        <f aca="false">C181&amp;"|"&amp;J181</f>
        <v>API-CAL|1</v>
      </c>
      <c r="L181" s="31" t="s">
        <v>881</v>
      </c>
      <c r="M181" s="31" t="n">
        <v>10</v>
      </c>
      <c r="N181" s="51" t="s">
        <v>462</v>
      </c>
      <c r="O181" s="35" t="s">
        <v>78</v>
      </c>
      <c r="P181" s="52"/>
      <c r="Q181" s="52"/>
      <c r="R181" s="33" t="n">
        <f aca="false">INDEX(Épopées!$L$6:$L$59,MATCH(K181,Épopées!$A$6:$A$59,0))</f>
        <v>46441</v>
      </c>
      <c r="S181" s="33" t="n">
        <f aca="false">INDEX(Épopées!$M$6:$M$59,MATCH(K181,Épopées!$A$6:$A$59,0))</f>
        <v>46451</v>
      </c>
      <c r="T181" s="53" t="s">
        <v>463</v>
      </c>
    </row>
    <row r="182" customFormat="false" ht="15" hidden="false" customHeight="false" outlineLevel="0" collapsed="false">
      <c r="A182" s="31" t="s">
        <v>882</v>
      </c>
      <c r="B182" s="31" t="s">
        <v>301</v>
      </c>
      <c r="C182" s="31" t="s">
        <v>312</v>
      </c>
      <c r="D182" s="31" t="s">
        <v>313</v>
      </c>
      <c r="E182" s="31" t="s">
        <v>883</v>
      </c>
      <c r="F182" s="31" t="s">
        <v>548</v>
      </c>
      <c r="G182" s="31" t="s">
        <v>466</v>
      </c>
      <c r="H182" s="31" t="s">
        <v>39</v>
      </c>
      <c r="I182" s="31" t="n">
        <f aca="false">VLOOKUP(H182,Paramètres!$A$15:$B$19,2,FALSE())</f>
        <v>0.5</v>
      </c>
      <c r="J182" s="31" t="n">
        <v>1</v>
      </c>
      <c r="K182" s="50" t="str">
        <f aca="false">C182&amp;"|"&amp;J182</f>
        <v>API-CAL|1</v>
      </c>
      <c r="L182" s="31" t="s">
        <v>884</v>
      </c>
      <c r="M182" s="31" t="n">
        <v>2</v>
      </c>
      <c r="N182" s="51" t="s">
        <v>462</v>
      </c>
      <c r="O182" s="35" t="s">
        <v>78</v>
      </c>
      <c r="P182" s="52"/>
      <c r="Q182" s="52"/>
      <c r="R182" s="33" t="n">
        <f aca="false">INDEX(Épopées!$L$6:$L$59,MATCH(K182,Épopées!$A$6:$A$59,0))</f>
        <v>46441</v>
      </c>
      <c r="S182" s="33" t="n">
        <f aca="false">INDEX(Épopées!$M$6:$M$59,MATCH(K182,Épopées!$A$6:$A$59,0))</f>
        <v>46451</v>
      </c>
      <c r="T182" s="53" t="s">
        <v>463</v>
      </c>
    </row>
    <row r="183" customFormat="false" ht="15" hidden="false" customHeight="false" outlineLevel="0" collapsed="false">
      <c r="A183" s="31" t="s">
        <v>885</v>
      </c>
      <c r="B183" s="31" t="s">
        <v>301</v>
      </c>
      <c r="C183" s="31" t="s">
        <v>312</v>
      </c>
      <c r="D183" s="31" t="s">
        <v>313</v>
      </c>
      <c r="E183" s="31" t="s">
        <v>886</v>
      </c>
      <c r="F183" s="31" t="s">
        <v>503</v>
      </c>
      <c r="G183" s="31" t="s">
        <v>612</v>
      </c>
      <c r="H183" s="31" t="s">
        <v>39</v>
      </c>
      <c r="I183" s="31" t="n">
        <f aca="false">VLOOKUP(H183,Paramètres!$A$15:$B$19,2,FALSE())</f>
        <v>0.5</v>
      </c>
      <c r="J183" s="31" t="n">
        <v>1</v>
      </c>
      <c r="K183" s="50" t="str">
        <f aca="false">C183&amp;"|"&amp;J183</f>
        <v>API-CAL|1</v>
      </c>
      <c r="L183" s="31" t="s">
        <v>887</v>
      </c>
      <c r="M183" s="31" t="n">
        <v>3</v>
      </c>
      <c r="N183" s="51" t="s">
        <v>462</v>
      </c>
      <c r="O183" s="35" t="s">
        <v>78</v>
      </c>
      <c r="P183" s="52"/>
      <c r="Q183" s="52"/>
      <c r="R183" s="33" t="n">
        <f aca="false">INDEX(Épopées!$L$6:$L$59,MATCH(K183,Épopées!$A$6:$A$59,0))</f>
        <v>46441</v>
      </c>
      <c r="S183" s="33" t="n">
        <f aca="false">INDEX(Épopées!$M$6:$M$59,MATCH(K183,Épopées!$A$6:$A$59,0))</f>
        <v>46451</v>
      </c>
      <c r="T183" s="53" t="s">
        <v>463</v>
      </c>
    </row>
    <row r="184" customFormat="false" ht="15" hidden="false" customHeight="false" outlineLevel="0" collapsed="false">
      <c r="A184" s="31" t="s">
        <v>888</v>
      </c>
      <c r="B184" s="31" t="s">
        <v>301</v>
      </c>
      <c r="C184" s="31" t="s">
        <v>315</v>
      </c>
      <c r="D184" s="31" t="s">
        <v>316</v>
      </c>
      <c r="E184" s="31" t="s">
        <v>889</v>
      </c>
      <c r="F184" s="31" t="s">
        <v>486</v>
      </c>
      <c r="G184" s="31" t="s">
        <v>461</v>
      </c>
      <c r="H184" s="31" t="s">
        <v>41</v>
      </c>
      <c r="I184" s="31" t="n">
        <f aca="false">VLOOKUP(H184,Paramètres!$A$15:$B$19,2,FALSE())</f>
        <v>1</v>
      </c>
      <c r="J184" s="31" t="n">
        <v>1</v>
      </c>
      <c r="K184" s="50" t="str">
        <f aca="false">C184&amp;"|"&amp;J184</f>
        <v>API-JEUX|1</v>
      </c>
      <c r="L184" s="31"/>
      <c r="M184" s="31" t="n">
        <v>4</v>
      </c>
      <c r="N184" s="51" t="s">
        <v>462</v>
      </c>
      <c r="O184" s="35" t="s">
        <v>78</v>
      </c>
      <c r="P184" s="52"/>
      <c r="Q184" s="52"/>
      <c r="R184" s="33" t="n">
        <f aca="false">INDEX(Épopées!$L$6:$L$59,MATCH(K184,Épopées!$A$6:$A$59,0))</f>
        <v>46454</v>
      </c>
      <c r="S184" s="33" t="n">
        <f aca="false">INDEX(Épopées!$M$6:$M$59,MATCH(K184,Épopées!$A$6:$A$59,0))</f>
        <v>46484</v>
      </c>
      <c r="T184" s="53" t="s">
        <v>463</v>
      </c>
    </row>
    <row r="185" customFormat="false" ht="15" hidden="false" customHeight="false" outlineLevel="0" collapsed="false">
      <c r="A185" s="31" t="s">
        <v>890</v>
      </c>
      <c r="B185" s="31" t="s">
        <v>301</v>
      </c>
      <c r="C185" s="31" t="s">
        <v>315</v>
      </c>
      <c r="D185" s="31" t="s">
        <v>316</v>
      </c>
      <c r="E185" s="31" t="s">
        <v>891</v>
      </c>
      <c r="F185" s="31" t="s">
        <v>481</v>
      </c>
      <c r="G185" s="31" t="s">
        <v>461</v>
      </c>
      <c r="H185" s="31" t="s">
        <v>43</v>
      </c>
      <c r="I185" s="31" t="n">
        <f aca="false">VLOOKUP(H185,Paramètres!$A$15:$B$19,2,FALSE())</f>
        <v>2</v>
      </c>
      <c r="J185" s="31" t="n">
        <v>1</v>
      </c>
      <c r="K185" s="50" t="str">
        <f aca="false">C185&amp;"|"&amp;J185</f>
        <v>API-JEUX|1</v>
      </c>
      <c r="L185" s="31" t="s">
        <v>888</v>
      </c>
      <c r="M185" s="31" t="n">
        <v>2</v>
      </c>
      <c r="N185" s="51" t="s">
        <v>462</v>
      </c>
      <c r="O185" s="35" t="s">
        <v>78</v>
      </c>
      <c r="P185" s="52"/>
      <c r="Q185" s="52"/>
      <c r="R185" s="33" t="n">
        <f aca="false">INDEX(Épopées!$L$6:$L$59,MATCH(K185,Épopées!$A$6:$A$59,0))</f>
        <v>46454</v>
      </c>
      <c r="S185" s="33" t="n">
        <f aca="false">INDEX(Épopées!$M$6:$M$59,MATCH(K185,Épopées!$A$6:$A$59,0))</f>
        <v>46484</v>
      </c>
      <c r="T185" s="53" t="s">
        <v>463</v>
      </c>
    </row>
    <row r="186" customFormat="false" ht="15" hidden="false" customHeight="false" outlineLevel="0" collapsed="false">
      <c r="A186" s="31" t="s">
        <v>892</v>
      </c>
      <c r="B186" s="31" t="s">
        <v>301</v>
      </c>
      <c r="C186" s="31" t="s">
        <v>315</v>
      </c>
      <c r="D186" s="31" t="s">
        <v>316</v>
      </c>
      <c r="E186" s="31" t="s">
        <v>893</v>
      </c>
      <c r="F186" s="31" t="s">
        <v>491</v>
      </c>
      <c r="G186" s="31" t="s">
        <v>461</v>
      </c>
      <c r="H186" s="31" t="s">
        <v>41</v>
      </c>
      <c r="I186" s="31" t="n">
        <f aca="false">VLOOKUP(H186,Paramètres!$A$15:$B$19,2,FALSE())</f>
        <v>1</v>
      </c>
      <c r="J186" s="31" t="n">
        <v>1</v>
      </c>
      <c r="K186" s="50" t="str">
        <f aca="false">C186&amp;"|"&amp;J186</f>
        <v>API-JEUX|1</v>
      </c>
      <c r="L186" s="31" t="s">
        <v>888</v>
      </c>
      <c r="M186" s="31" t="n">
        <v>1</v>
      </c>
      <c r="N186" s="51" t="s">
        <v>462</v>
      </c>
      <c r="O186" s="35" t="s">
        <v>78</v>
      </c>
      <c r="P186" s="52"/>
      <c r="Q186" s="52"/>
      <c r="R186" s="33" t="n">
        <f aca="false">INDEX(Épopées!$L$6:$L$59,MATCH(K186,Épopées!$A$6:$A$59,0))</f>
        <v>46454</v>
      </c>
      <c r="S186" s="33" t="n">
        <f aca="false">INDEX(Épopées!$M$6:$M$59,MATCH(K186,Épopées!$A$6:$A$59,0))</f>
        <v>46484</v>
      </c>
      <c r="T186" s="53" t="s">
        <v>463</v>
      </c>
    </row>
    <row r="187" customFormat="false" ht="15" hidden="false" customHeight="false" outlineLevel="0" collapsed="false">
      <c r="A187" s="31" t="s">
        <v>894</v>
      </c>
      <c r="B187" s="31" t="s">
        <v>301</v>
      </c>
      <c r="C187" s="31" t="s">
        <v>315</v>
      </c>
      <c r="D187" s="31" t="s">
        <v>316</v>
      </c>
      <c r="E187" s="31" t="s">
        <v>895</v>
      </c>
      <c r="F187" s="31" t="s">
        <v>491</v>
      </c>
      <c r="G187" s="31" t="s">
        <v>461</v>
      </c>
      <c r="H187" s="31" t="s">
        <v>41</v>
      </c>
      <c r="I187" s="31" t="n">
        <f aca="false">VLOOKUP(H187,Paramètres!$A$15:$B$19,2,FALSE())</f>
        <v>1</v>
      </c>
      <c r="J187" s="31" t="n">
        <v>1</v>
      </c>
      <c r="K187" s="50" t="str">
        <f aca="false">C187&amp;"|"&amp;J187</f>
        <v>API-JEUX|1</v>
      </c>
      <c r="L187" s="31" t="s">
        <v>888</v>
      </c>
      <c r="M187" s="31" t="n">
        <v>4</v>
      </c>
      <c r="N187" s="51" t="s">
        <v>462</v>
      </c>
      <c r="O187" s="35" t="s">
        <v>78</v>
      </c>
      <c r="P187" s="52"/>
      <c r="Q187" s="52"/>
      <c r="R187" s="33" t="n">
        <f aca="false">INDEX(Épopées!$L$6:$L$59,MATCH(K187,Épopées!$A$6:$A$59,0))</f>
        <v>46454</v>
      </c>
      <c r="S187" s="33" t="n">
        <f aca="false">INDEX(Épopées!$M$6:$M$59,MATCH(K187,Épopées!$A$6:$A$59,0))</f>
        <v>46484</v>
      </c>
      <c r="T187" s="53" t="s">
        <v>463</v>
      </c>
    </row>
    <row r="188" customFormat="false" ht="15" hidden="false" customHeight="false" outlineLevel="0" collapsed="false">
      <c r="A188" s="31" t="s">
        <v>896</v>
      </c>
      <c r="B188" s="31" t="s">
        <v>301</v>
      </c>
      <c r="C188" s="31" t="s">
        <v>315</v>
      </c>
      <c r="D188" s="31" t="s">
        <v>316</v>
      </c>
      <c r="E188" s="31" t="s">
        <v>897</v>
      </c>
      <c r="F188" s="31" t="s">
        <v>460</v>
      </c>
      <c r="G188" s="31" t="s">
        <v>461</v>
      </c>
      <c r="H188" s="31" t="s">
        <v>41</v>
      </c>
      <c r="I188" s="31" t="n">
        <f aca="false">VLOOKUP(H188,Paramètres!$A$15:$B$19,2,FALSE())</f>
        <v>1</v>
      </c>
      <c r="J188" s="31" t="n">
        <v>1</v>
      </c>
      <c r="K188" s="50" t="str">
        <f aca="false">C188&amp;"|"&amp;J188</f>
        <v>API-JEUX|1</v>
      </c>
      <c r="L188" s="31" t="s">
        <v>898</v>
      </c>
      <c r="M188" s="31" t="n">
        <v>7</v>
      </c>
      <c r="N188" s="51" t="s">
        <v>462</v>
      </c>
      <c r="O188" s="35" t="s">
        <v>78</v>
      </c>
      <c r="P188" s="52"/>
      <c r="Q188" s="52"/>
      <c r="R188" s="33" t="n">
        <f aca="false">INDEX(Épopées!$L$6:$L$59,MATCH(K188,Épopées!$A$6:$A$59,0))</f>
        <v>46454</v>
      </c>
      <c r="S188" s="33" t="n">
        <f aca="false">INDEX(Épopées!$M$6:$M$59,MATCH(K188,Épopées!$A$6:$A$59,0))</f>
        <v>46484</v>
      </c>
      <c r="T188" s="53" t="s">
        <v>463</v>
      </c>
    </row>
    <row r="189" customFormat="false" ht="15" hidden="false" customHeight="false" outlineLevel="0" collapsed="false">
      <c r="A189" s="31" t="s">
        <v>899</v>
      </c>
      <c r="B189" s="31" t="s">
        <v>301</v>
      </c>
      <c r="C189" s="31" t="s">
        <v>315</v>
      </c>
      <c r="D189" s="31" t="s">
        <v>316</v>
      </c>
      <c r="E189" s="31" t="s">
        <v>900</v>
      </c>
      <c r="F189" s="31" t="s">
        <v>460</v>
      </c>
      <c r="G189" s="31" t="s">
        <v>461</v>
      </c>
      <c r="H189" s="31" t="s">
        <v>39</v>
      </c>
      <c r="I189" s="31" t="n">
        <f aca="false">VLOOKUP(H189,Paramètres!$A$15:$B$19,2,FALSE())</f>
        <v>0.5</v>
      </c>
      <c r="J189" s="31" t="n">
        <v>1</v>
      </c>
      <c r="K189" s="50" t="str">
        <f aca="false">C189&amp;"|"&amp;J189</f>
        <v>API-JEUX|1</v>
      </c>
      <c r="L189" s="31" t="s">
        <v>896</v>
      </c>
      <c r="M189" s="31" t="n">
        <v>1</v>
      </c>
      <c r="N189" s="51" t="s">
        <v>462</v>
      </c>
      <c r="O189" s="35" t="s">
        <v>78</v>
      </c>
      <c r="P189" s="52"/>
      <c r="Q189" s="52"/>
      <c r="R189" s="33" t="n">
        <f aca="false">INDEX(Épopées!$L$6:$L$59,MATCH(K189,Épopées!$A$6:$A$59,0))</f>
        <v>46454</v>
      </c>
      <c r="S189" s="33" t="n">
        <f aca="false">INDEX(Épopées!$M$6:$M$59,MATCH(K189,Épopées!$A$6:$A$59,0))</f>
        <v>46484</v>
      </c>
      <c r="T189" s="53" t="s">
        <v>463</v>
      </c>
    </row>
    <row r="190" customFormat="false" ht="15" hidden="false" customHeight="false" outlineLevel="0" collapsed="false">
      <c r="A190" s="31" t="s">
        <v>901</v>
      </c>
      <c r="B190" s="31" t="s">
        <v>301</v>
      </c>
      <c r="C190" s="31" t="s">
        <v>315</v>
      </c>
      <c r="D190" s="31" t="s">
        <v>316</v>
      </c>
      <c r="E190" s="31" t="s">
        <v>902</v>
      </c>
      <c r="F190" s="31" t="s">
        <v>460</v>
      </c>
      <c r="G190" s="31" t="s">
        <v>461</v>
      </c>
      <c r="H190" s="31" t="s">
        <v>43</v>
      </c>
      <c r="I190" s="31" t="n">
        <f aca="false">VLOOKUP(H190,Paramètres!$A$15:$B$19,2,FALSE())</f>
        <v>2</v>
      </c>
      <c r="J190" s="31" t="n">
        <v>1</v>
      </c>
      <c r="K190" s="50" t="str">
        <f aca="false">C190&amp;"|"&amp;J190</f>
        <v>API-JEUX|1</v>
      </c>
      <c r="L190" s="31" t="s">
        <v>903</v>
      </c>
      <c r="M190" s="31" t="n">
        <v>7</v>
      </c>
      <c r="N190" s="51" t="s">
        <v>462</v>
      </c>
      <c r="O190" s="35" t="s">
        <v>78</v>
      </c>
      <c r="P190" s="52"/>
      <c r="Q190" s="52"/>
      <c r="R190" s="33" t="n">
        <f aca="false">INDEX(Épopées!$L$6:$L$59,MATCH(K190,Épopées!$A$6:$A$59,0))</f>
        <v>46454</v>
      </c>
      <c r="S190" s="33" t="n">
        <f aca="false">INDEX(Épopées!$M$6:$M$59,MATCH(K190,Épopées!$A$6:$A$59,0))</f>
        <v>46484</v>
      </c>
      <c r="T190" s="53" t="s">
        <v>463</v>
      </c>
    </row>
    <row r="191" customFormat="false" ht="15" hidden="false" customHeight="false" outlineLevel="0" collapsed="false">
      <c r="A191" s="31" t="s">
        <v>904</v>
      </c>
      <c r="B191" s="31" t="s">
        <v>301</v>
      </c>
      <c r="C191" s="31" t="s">
        <v>315</v>
      </c>
      <c r="D191" s="31" t="s">
        <v>316</v>
      </c>
      <c r="E191" s="31" t="s">
        <v>905</v>
      </c>
      <c r="F191" s="31" t="s">
        <v>469</v>
      </c>
      <c r="G191" s="31" t="s">
        <v>461</v>
      </c>
      <c r="H191" s="31" t="s">
        <v>41</v>
      </c>
      <c r="I191" s="31" t="n">
        <f aca="false">VLOOKUP(H191,Paramètres!$A$15:$B$19,2,FALSE())</f>
        <v>1</v>
      </c>
      <c r="J191" s="31" t="n">
        <v>1</v>
      </c>
      <c r="K191" s="50" t="str">
        <f aca="false">C191&amp;"|"&amp;J191</f>
        <v>API-JEUX|1</v>
      </c>
      <c r="L191" s="31" t="s">
        <v>901</v>
      </c>
      <c r="M191" s="31" t="n">
        <v>3</v>
      </c>
      <c r="N191" s="51" t="s">
        <v>462</v>
      </c>
      <c r="O191" s="35" t="s">
        <v>78</v>
      </c>
      <c r="P191" s="52"/>
      <c r="Q191" s="52"/>
      <c r="R191" s="33" t="n">
        <f aca="false">INDEX(Épopées!$L$6:$L$59,MATCH(K191,Épopées!$A$6:$A$59,0))</f>
        <v>46454</v>
      </c>
      <c r="S191" s="33" t="n">
        <f aca="false">INDEX(Épopées!$M$6:$M$59,MATCH(K191,Épopées!$A$6:$A$59,0))</f>
        <v>46484</v>
      </c>
      <c r="T191" s="53" t="s">
        <v>463</v>
      </c>
    </row>
    <row r="192" customFormat="false" ht="15" hidden="false" customHeight="false" outlineLevel="0" collapsed="false">
      <c r="A192" s="31" t="s">
        <v>906</v>
      </c>
      <c r="B192" s="31" t="s">
        <v>301</v>
      </c>
      <c r="C192" s="31" t="s">
        <v>315</v>
      </c>
      <c r="D192" s="31" t="s">
        <v>316</v>
      </c>
      <c r="E192" s="31" t="s">
        <v>907</v>
      </c>
      <c r="F192" s="31" t="s">
        <v>491</v>
      </c>
      <c r="G192" s="31" t="s">
        <v>461</v>
      </c>
      <c r="H192" s="31" t="s">
        <v>41</v>
      </c>
      <c r="I192" s="31" t="n">
        <f aca="false">VLOOKUP(H192,Paramètres!$A$15:$B$19,2,FALSE())</f>
        <v>1</v>
      </c>
      <c r="J192" s="31" t="n">
        <v>1</v>
      </c>
      <c r="K192" s="50" t="str">
        <f aca="false">C192&amp;"|"&amp;J192</f>
        <v>API-JEUX|1</v>
      </c>
      <c r="L192" s="31" t="s">
        <v>888</v>
      </c>
      <c r="M192" s="31" t="n">
        <v>3</v>
      </c>
      <c r="N192" s="51" t="s">
        <v>462</v>
      </c>
      <c r="O192" s="35" t="s">
        <v>78</v>
      </c>
      <c r="P192" s="52"/>
      <c r="Q192" s="52"/>
      <c r="R192" s="33" t="n">
        <f aca="false">INDEX(Épopées!$L$6:$L$59,MATCH(K192,Épopées!$A$6:$A$59,0))</f>
        <v>46454</v>
      </c>
      <c r="S192" s="33" t="n">
        <f aca="false">INDEX(Épopées!$M$6:$M$59,MATCH(K192,Épopées!$A$6:$A$59,0))</f>
        <v>46484</v>
      </c>
      <c r="T192" s="53" t="s">
        <v>463</v>
      </c>
    </row>
    <row r="193" customFormat="false" ht="15" hidden="false" customHeight="false" outlineLevel="0" collapsed="false">
      <c r="A193" s="31" t="s">
        <v>908</v>
      </c>
      <c r="B193" s="31" t="s">
        <v>301</v>
      </c>
      <c r="C193" s="31" t="s">
        <v>315</v>
      </c>
      <c r="D193" s="31" t="s">
        <v>316</v>
      </c>
      <c r="E193" s="31" t="s">
        <v>909</v>
      </c>
      <c r="F193" s="31" t="s">
        <v>460</v>
      </c>
      <c r="G193" s="31" t="s">
        <v>466</v>
      </c>
      <c r="H193" s="31" t="s">
        <v>41</v>
      </c>
      <c r="I193" s="31" t="n">
        <f aca="false">VLOOKUP(H193,Paramètres!$A$15:$B$19,2,FALSE())</f>
        <v>1</v>
      </c>
      <c r="J193" s="31" t="n">
        <v>1</v>
      </c>
      <c r="K193" s="50" t="str">
        <f aca="false">C193&amp;"|"&amp;J193</f>
        <v>API-JEUX|1</v>
      </c>
      <c r="L193" s="31" t="s">
        <v>901</v>
      </c>
      <c r="M193" s="31" t="n">
        <v>2</v>
      </c>
      <c r="N193" s="51" t="s">
        <v>462</v>
      </c>
      <c r="O193" s="35" t="s">
        <v>78</v>
      </c>
      <c r="P193" s="52"/>
      <c r="Q193" s="52"/>
      <c r="R193" s="33" t="n">
        <f aca="false">INDEX(Épopées!$L$6:$L$59,MATCH(K193,Épopées!$A$6:$A$59,0))</f>
        <v>46454</v>
      </c>
      <c r="S193" s="33" t="n">
        <f aca="false">INDEX(Épopées!$M$6:$M$59,MATCH(K193,Épopées!$A$6:$A$59,0))</f>
        <v>46484</v>
      </c>
      <c r="T193" s="53" t="s">
        <v>463</v>
      </c>
    </row>
    <row r="194" customFormat="false" ht="15" hidden="false" customHeight="false" outlineLevel="0" collapsed="false">
      <c r="A194" s="31" t="s">
        <v>910</v>
      </c>
      <c r="B194" s="31" t="s">
        <v>301</v>
      </c>
      <c r="C194" s="31" t="s">
        <v>315</v>
      </c>
      <c r="D194" s="31" t="s">
        <v>316</v>
      </c>
      <c r="E194" s="31" t="s">
        <v>911</v>
      </c>
      <c r="F194" s="31" t="s">
        <v>486</v>
      </c>
      <c r="G194" s="31" t="s">
        <v>461</v>
      </c>
      <c r="H194" s="31" t="s">
        <v>43</v>
      </c>
      <c r="I194" s="31" t="n">
        <f aca="false">VLOOKUP(H194,Paramètres!$A$15:$B$19,2,FALSE())</f>
        <v>2</v>
      </c>
      <c r="J194" s="31" t="n">
        <v>1</v>
      </c>
      <c r="K194" s="50" t="str">
        <f aca="false">C194&amp;"|"&amp;J194</f>
        <v>API-JEUX|1</v>
      </c>
      <c r="L194" s="31"/>
      <c r="M194" s="31" t="n">
        <v>4</v>
      </c>
      <c r="N194" s="51" t="s">
        <v>462</v>
      </c>
      <c r="O194" s="35" t="s">
        <v>78</v>
      </c>
      <c r="P194" s="52"/>
      <c r="Q194" s="52"/>
      <c r="R194" s="33" t="n">
        <f aca="false">INDEX(Épopées!$L$6:$L$59,MATCH(K194,Épopées!$A$6:$A$59,0))</f>
        <v>46454</v>
      </c>
      <c r="S194" s="33" t="n">
        <f aca="false">INDEX(Épopées!$M$6:$M$59,MATCH(K194,Épopées!$A$6:$A$59,0))</f>
        <v>46484</v>
      </c>
      <c r="T194" s="53" t="s">
        <v>463</v>
      </c>
    </row>
    <row r="195" customFormat="false" ht="15" hidden="false" customHeight="false" outlineLevel="0" collapsed="false">
      <c r="A195" s="31" t="s">
        <v>912</v>
      </c>
      <c r="B195" s="31" t="s">
        <v>301</v>
      </c>
      <c r="C195" s="31" t="s">
        <v>315</v>
      </c>
      <c r="D195" s="31" t="s">
        <v>316</v>
      </c>
      <c r="E195" s="31" t="s">
        <v>913</v>
      </c>
      <c r="F195" s="31" t="s">
        <v>491</v>
      </c>
      <c r="G195" s="31" t="s">
        <v>461</v>
      </c>
      <c r="H195" s="31" t="s">
        <v>43</v>
      </c>
      <c r="I195" s="31" t="n">
        <f aca="false">VLOOKUP(H195,Paramètres!$A$15:$B$19,2,FALSE())</f>
        <v>2</v>
      </c>
      <c r="J195" s="31" t="n">
        <v>1</v>
      </c>
      <c r="K195" s="50" t="str">
        <f aca="false">C195&amp;"|"&amp;J195</f>
        <v>API-JEUX|1</v>
      </c>
      <c r="L195" s="31" t="s">
        <v>910</v>
      </c>
      <c r="M195" s="31" t="n">
        <v>4</v>
      </c>
      <c r="N195" s="51" t="s">
        <v>462</v>
      </c>
      <c r="O195" s="35" t="s">
        <v>78</v>
      </c>
      <c r="P195" s="52"/>
      <c r="Q195" s="52"/>
      <c r="R195" s="33" t="n">
        <f aca="false">INDEX(Épopées!$L$6:$L$59,MATCH(K195,Épopées!$A$6:$A$59,0))</f>
        <v>46454</v>
      </c>
      <c r="S195" s="33" t="n">
        <f aca="false">INDEX(Épopées!$M$6:$M$59,MATCH(K195,Épopées!$A$6:$A$59,0))</f>
        <v>46484</v>
      </c>
      <c r="T195" s="53" t="s">
        <v>463</v>
      </c>
    </row>
    <row r="196" customFormat="false" ht="15" hidden="false" customHeight="false" outlineLevel="0" collapsed="false">
      <c r="A196" s="31" t="s">
        <v>914</v>
      </c>
      <c r="B196" s="31" t="s">
        <v>301</v>
      </c>
      <c r="C196" s="31" t="s">
        <v>315</v>
      </c>
      <c r="D196" s="31" t="s">
        <v>316</v>
      </c>
      <c r="E196" s="31" t="s">
        <v>915</v>
      </c>
      <c r="F196" s="31" t="s">
        <v>491</v>
      </c>
      <c r="G196" s="31" t="s">
        <v>461</v>
      </c>
      <c r="H196" s="31" t="s">
        <v>41</v>
      </c>
      <c r="I196" s="31" t="n">
        <f aca="false">VLOOKUP(H196,Paramètres!$A$15:$B$19,2,FALSE())</f>
        <v>1</v>
      </c>
      <c r="J196" s="31" t="n">
        <v>1</v>
      </c>
      <c r="K196" s="50" t="str">
        <f aca="false">C196&amp;"|"&amp;J196</f>
        <v>API-JEUX|1</v>
      </c>
      <c r="L196" s="31" t="s">
        <v>916</v>
      </c>
      <c r="M196" s="31" t="n">
        <v>4</v>
      </c>
      <c r="N196" s="51" t="s">
        <v>462</v>
      </c>
      <c r="O196" s="35" t="s">
        <v>78</v>
      </c>
      <c r="P196" s="52"/>
      <c r="Q196" s="52"/>
      <c r="R196" s="33" t="n">
        <f aca="false">INDEX(Épopées!$L$6:$L$59,MATCH(K196,Épopées!$A$6:$A$59,0))</f>
        <v>46454</v>
      </c>
      <c r="S196" s="33" t="n">
        <f aca="false">INDEX(Épopées!$M$6:$M$59,MATCH(K196,Épopées!$A$6:$A$59,0))</f>
        <v>46484</v>
      </c>
      <c r="T196" s="53" t="s">
        <v>463</v>
      </c>
    </row>
    <row r="197" customFormat="false" ht="15" hidden="false" customHeight="false" outlineLevel="0" collapsed="false">
      <c r="A197" s="31" t="s">
        <v>917</v>
      </c>
      <c r="B197" s="31" t="s">
        <v>301</v>
      </c>
      <c r="C197" s="31" t="s">
        <v>315</v>
      </c>
      <c r="D197" s="31" t="s">
        <v>316</v>
      </c>
      <c r="E197" s="31" t="s">
        <v>918</v>
      </c>
      <c r="F197" s="31" t="s">
        <v>460</v>
      </c>
      <c r="G197" s="31" t="s">
        <v>461</v>
      </c>
      <c r="H197" s="31" t="s">
        <v>43</v>
      </c>
      <c r="I197" s="31" t="n">
        <f aca="false">VLOOKUP(H197,Paramètres!$A$15:$B$19,2,FALSE())</f>
        <v>2</v>
      </c>
      <c r="J197" s="31" t="n">
        <v>1</v>
      </c>
      <c r="K197" s="50" t="str">
        <f aca="false">C197&amp;"|"&amp;J197</f>
        <v>API-JEUX|1</v>
      </c>
      <c r="L197" s="31" t="s">
        <v>919</v>
      </c>
      <c r="M197" s="31" t="n">
        <v>5</v>
      </c>
      <c r="N197" s="51" t="s">
        <v>462</v>
      </c>
      <c r="O197" s="35" t="s">
        <v>78</v>
      </c>
      <c r="P197" s="52"/>
      <c r="Q197" s="52"/>
      <c r="R197" s="33" t="n">
        <f aca="false">INDEX(Épopées!$L$6:$L$59,MATCH(K197,Épopées!$A$6:$A$59,0))</f>
        <v>46454</v>
      </c>
      <c r="S197" s="33" t="n">
        <f aca="false">INDEX(Épopées!$M$6:$M$59,MATCH(K197,Épopées!$A$6:$A$59,0))</f>
        <v>46484</v>
      </c>
      <c r="T197" s="53" t="s">
        <v>463</v>
      </c>
    </row>
    <row r="198" customFormat="false" ht="15" hidden="false" customHeight="false" outlineLevel="0" collapsed="false">
      <c r="A198" s="31" t="s">
        <v>920</v>
      </c>
      <c r="B198" s="31" t="s">
        <v>301</v>
      </c>
      <c r="C198" s="31" t="s">
        <v>315</v>
      </c>
      <c r="D198" s="31" t="s">
        <v>316</v>
      </c>
      <c r="E198" s="31" t="s">
        <v>921</v>
      </c>
      <c r="F198" s="31" t="s">
        <v>460</v>
      </c>
      <c r="G198" s="31" t="s">
        <v>466</v>
      </c>
      <c r="H198" s="31" t="s">
        <v>41</v>
      </c>
      <c r="I198" s="31" t="n">
        <f aca="false">VLOOKUP(H198,Paramètres!$A$15:$B$19,2,FALSE())</f>
        <v>1</v>
      </c>
      <c r="J198" s="31" t="n">
        <v>1</v>
      </c>
      <c r="K198" s="50" t="str">
        <f aca="false">C198&amp;"|"&amp;J198</f>
        <v>API-JEUX|1</v>
      </c>
      <c r="L198" s="31" t="s">
        <v>914</v>
      </c>
      <c r="M198" s="31" t="n">
        <v>2</v>
      </c>
      <c r="N198" s="51" t="s">
        <v>462</v>
      </c>
      <c r="O198" s="35" t="s">
        <v>78</v>
      </c>
      <c r="P198" s="52"/>
      <c r="Q198" s="52"/>
      <c r="R198" s="33" t="n">
        <f aca="false">INDEX(Épopées!$L$6:$L$59,MATCH(K198,Épopées!$A$6:$A$59,0))</f>
        <v>46454</v>
      </c>
      <c r="S198" s="33" t="n">
        <f aca="false">INDEX(Épopées!$M$6:$M$59,MATCH(K198,Épopées!$A$6:$A$59,0))</f>
        <v>46484</v>
      </c>
      <c r="T198" s="53" t="s">
        <v>463</v>
      </c>
    </row>
    <row r="199" customFormat="false" ht="15" hidden="false" customHeight="false" outlineLevel="0" collapsed="false">
      <c r="A199" s="31" t="s">
        <v>922</v>
      </c>
      <c r="B199" s="31" t="s">
        <v>301</v>
      </c>
      <c r="C199" s="31" t="s">
        <v>315</v>
      </c>
      <c r="D199" s="31" t="s">
        <v>316</v>
      </c>
      <c r="E199" s="31" t="s">
        <v>923</v>
      </c>
      <c r="F199" s="31" t="s">
        <v>460</v>
      </c>
      <c r="G199" s="31" t="s">
        <v>461</v>
      </c>
      <c r="H199" s="31" t="s">
        <v>43</v>
      </c>
      <c r="I199" s="31" t="n">
        <f aca="false">VLOOKUP(H199,Paramètres!$A$15:$B$19,2,FALSE())</f>
        <v>2</v>
      </c>
      <c r="J199" s="31" t="n">
        <v>1</v>
      </c>
      <c r="K199" s="50" t="str">
        <f aca="false">C199&amp;"|"&amp;J199</f>
        <v>API-JEUX|1</v>
      </c>
      <c r="L199" s="31" t="s">
        <v>924</v>
      </c>
      <c r="M199" s="31" t="n">
        <v>5</v>
      </c>
      <c r="N199" s="51" t="s">
        <v>462</v>
      </c>
      <c r="O199" s="35" t="s">
        <v>78</v>
      </c>
      <c r="P199" s="52"/>
      <c r="Q199" s="52"/>
      <c r="R199" s="33" t="n">
        <f aca="false">INDEX(Épopées!$L$6:$L$59,MATCH(K199,Épopées!$A$6:$A$59,0))</f>
        <v>46454</v>
      </c>
      <c r="S199" s="33" t="n">
        <f aca="false">INDEX(Épopées!$M$6:$M$59,MATCH(K199,Épopées!$A$6:$A$59,0))</f>
        <v>46484</v>
      </c>
      <c r="T199" s="53" t="s">
        <v>463</v>
      </c>
    </row>
    <row r="200" customFormat="false" ht="15" hidden="false" customHeight="false" outlineLevel="0" collapsed="false">
      <c r="A200" s="31" t="s">
        <v>925</v>
      </c>
      <c r="B200" s="31" t="s">
        <v>301</v>
      </c>
      <c r="C200" s="31" t="s">
        <v>315</v>
      </c>
      <c r="D200" s="31" t="s">
        <v>316</v>
      </c>
      <c r="E200" s="31" t="s">
        <v>926</v>
      </c>
      <c r="F200" s="31" t="s">
        <v>460</v>
      </c>
      <c r="G200" s="31" t="s">
        <v>461</v>
      </c>
      <c r="H200" s="31" t="s">
        <v>41</v>
      </c>
      <c r="I200" s="31" t="n">
        <f aca="false">VLOOKUP(H200,Paramètres!$A$15:$B$19,2,FALSE())</f>
        <v>1</v>
      </c>
      <c r="J200" s="31" t="n">
        <v>1</v>
      </c>
      <c r="K200" s="50" t="str">
        <f aca="false">C200&amp;"|"&amp;J200</f>
        <v>API-JEUX|1</v>
      </c>
      <c r="L200" s="31" t="s">
        <v>927</v>
      </c>
      <c r="M200" s="31" t="n">
        <v>4</v>
      </c>
      <c r="N200" s="51" t="s">
        <v>462</v>
      </c>
      <c r="O200" s="35" t="s">
        <v>78</v>
      </c>
      <c r="P200" s="52"/>
      <c r="Q200" s="52"/>
      <c r="R200" s="33" t="n">
        <f aca="false">INDEX(Épopées!$L$6:$L$59,MATCH(K200,Épopées!$A$6:$A$59,0))</f>
        <v>46454</v>
      </c>
      <c r="S200" s="33" t="n">
        <f aca="false">INDEX(Épopées!$M$6:$M$59,MATCH(K200,Épopées!$A$6:$A$59,0))</f>
        <v>46484</v>
      </c>
      <c r="T200" s="53" t="s">
        <v>463</v>
      </c>
    </row>
    <row r="201" customFormat="false" ht="15" hidden="false" customHeight="false" outlineLevel="0" collapsed="false">
      <c r="A201" s="31" t="s">
        <v>928</v>
      </c>
      <c r="B201" s="31" t="s">
        <v>301</v>
      </c>
      <c r="C201" s="31" t="s">
        <v>315</v>
      </c>
      <c r="D201" s="31" t="s">
        <v>316</v>
      </c>
      <c r="E201" s="31" t="s">
        <v>929</v>
      </c>
      <c r="F201" s="31" t="s">
        <v>460</v>
      </c>
      <c r="G201" s="31" t="s">
        <v>461</v>
      </c>
      <c r="H201" s="31" t="s">
        <v>41</v>
      </c>
      <c r="I201" s="31" t="n">
        <f aca="false">VLOOKUP(H201,Paramètres!$A$15:$B$19,2,FALSE())</f>
        <v>1</v>
      </c>
      <c r="J201" s="31" t="n">
        <v>1</v>
      </c>
      <c r="K201" s="50" t="str">
        <f aca="false">C201&amp;"|"&amp;J201</f>
        <v>API-JEUX|1</v>
      </c>
      <c r="L201" s="31" t="s">
        <v>930</v>
      </c>
      <c r="M201" s="31" t="n">
        <v>4</v>
      </c>
      <c r="N201" s="51" t="s">
        <v>462</v>
      </c>
      <c r="O201" s="35" t="s">
        <v>78</v>
      </c>
      <c r="P201" s="52"/>
      <c r="Q201" s="52"/>
      <c r="R201" s="33" t="n">
        <f aca="false">INDEX(Épopées!$L$6:$L$59,MATCH(K201,Épopées!$A$6:$A$59,0))</f>
        <v>46454</v>
      </c>
      <c r="S201" s="33" t="n">
        <f aca="false">INDEX(Épopées!$M$6:$M$59,MATCH(K201,Épopées!$A$6:$A$59,0))</f>
        <v>46484</v>
      </c>
      <c r="T201" s="53" t="s">
        <v>463</v>
      </c>
    </row>
    <row r="202" customFormat="false" ht="15" hidden="false" customHeight="false" outlineLevel="0" collapsed="false">
      <c r="A202" s="31" t="s">
        <v>931</v>
      </c>
      <c r="B202" s="31" t="s">
        <v>301</v>
      </c>
      <c r="C202" s="31" t="s">
        <v>315</v>
      </c>
      <c r="D202" s="31" t="s">
        <v>316</v>
      </c>
      <c r="E202" s="31" t="s">
        <v>932</v>
      </c>
      <c r="F202" s="31" t="s">
        <v>491</v>
      </c>
      <c r="G202" s="31" t="s">
        <v>461</v>
      </c>
      <c r="H202" s="31" t="s">
        <v>41</v>
      </c>
      <c r="I202" s="31" t="n">
        <f aca="false">VLOOKUP(H202,Paramètres!$A$15:$B$19,2,FALSE())</f>
        <v>1</v>
      </c>
      <c r="J202" s="31" t="n">
        <v>1</v>
      </c>
      <c r="K202" s="50" t="str">
        <f aca="false">C202&amp;"|"&amp;J202</f>
        <v>API-JEUX|1</v>
      </c>
      <c r="L202" s="31"/>
      <c r="M202" s="31" t="n">
        <v>5</v>
      </c>
      <c r="N202" s="51" t="s">
        <v>462</v>
      </c>
      <c r="O202" s="35" t="s">
        <v>78</v>
      </c>
      <c r="P202" s="52"/>
      <c r="Q202" s="52"/>
      <c r="R202" s="33" t="n">
        <f aca="false">INDEX(Épopées!$L$6:$L$59,MATCH(K202,Épopées!$A$6:$A$59,0))</f>
        <v>46454</v>
      </c>
      <c r="S202" s="33" t="n">
        <f aca="false">INDEX(Épopées!$M$6:$M$59,MATCH(K202,Épopées!$A$6:$A$59,0))</f>
        <v>46484</v>
      </c>
      <c r="T202" s="53" t="s">
        <v>463</v>
      </c>
    </row>
    <row r="203" customFormat="false" ht="15" hidden="false" customHeight="false" outlineLevel="0" collapsed="false">
      <c r="A203" s="31" t="s">
        <v>933</v>
      </c>
      <c r="B203" s="31" t="s">
        <v>301</v>
      </c>
      <c r="C203" s="31" t="s">
        <v>315</v>
      </c>
      <c r="D203" s="31" t="s">
        <v>316</v>
      </c>
      <c r="E203" s="31" t="s">
        <v>934</v>
      </c>
      <c r="F203" s="31" t="s">
        <v>491</v>
      </c>
      <c r="G203" s="31" t="s">
        <v>461</v>
      </c>
      <c r="H203" s="31" t="s">
        <v>43</v>
      </c>
      <c r="I203" s="31" t="n">
        <f aca="false">VLOOKUP(H203,Paramètres!$A$15:$B$19,2,FALSE())</f>
        <v>2</v>
      </c>
      <c r="J203" s="31" t="n">
        <v>1</v>
      </c>
      <c r="K203" s="50" t="str">
        <f aca="false">C203&amp;"|"&amp;J203</f>
        <v>API-JEUX|1</v>
      </c>
      <c r="L203" s="31"/>
      <c r="M203" s="31" t="n">
        <v>3</v>
      </c>
      <c r="N203" s="51" t="s">
        <v>462</v>
      </c>
      <c r="O203" s="35" t="s">
        <v>78</v>
      </c>
      <c r="P203" s="52"/>
      <c r="Q203" s="52"/>
      <c r="R203" s="33" t="n">
        <f aca="false">INDEX(Épopées!$L$6:$L$59,MATCH(K203,Épopées!$A$6:$A$59,0))</f>
        <v>46454</v>
      </c>
      <c r="S203" s="33" t="n">
        <f aca="false">INDEX(Épopées!$M$6:$M$59,MATCH(K203,Épopées!$A$6:$A$59,0))</f>
        <v>46484</v>
      </c>
      <c r="T203" s="53" t="s">
        <v>463</v>
      </c>
    </row>
    <row r="204" customFormat="false" ht="15" hidden="false" customHeight="false" outlineLevel="0" collapsed="false">
      <c r="A204" s="31" t="s">
        <v>935</v>
      </c>
      <c r="B204" s="31" t="s">
        <v>301</v>
      </c>
      <c r="C204" s="31" t="s">
        <v>315</v>
      </c>
      <c r="D204" s="31" t="s">
        <v>316</v>
      </c>
      <c r="E204" s="31" t="s">
        <v>936</v>
      </c>
      <c r="F204" s="31" t="s">
        <v>460</v>
      </c>
      <c r="G204" s="31" t="s">
        <v>461</v>
      </c>
      <c r="H204" s="31" t="s">
        <v>43</v>
      </c>
      <c r="I204" s="31" t="n">
        <f aca="false">VLOOKUP(H204,Paramètres!$A$15:$B$19,2,FALSE())</f>
        <v>2</v>
      </c>
      <c r="J204" s="31" t="n">
        <v>1</v>
      </c>
      <c r="K204" s="50" t="str">
        <f aca="false">C204&amp;"|"&amp;J204</f>
        <v>API-JEUX|1</v>
      </c>
      <c r="L204" s="31" t="s">
        <v>937</v>
      </c>
      <c r="M204" s="31" t="n">
        <v>3</v>
      </c>
      <c r="N204" s="51" t="s">
        <v>462</v>
      </c>
      <c r="O204" s="35" t="s">
        <v>78</v>
      </c>
      <c r="P204" s="52"/>
      <c r="Q204" s="52"/>
      <c r="R204" s="33" t="n">
        <f aca="false">INDEX(Épopées!$L$6:$L$59,MATCH(K204,Épopées!$A$6:$A$59,0))</f>
        <v>46454</v>
      </c>
      <c r="S204" s="33" t="n">
        <f aca="false">INDEX(Épopées!$M$6:$M$59,MATCH(K204,Épopées!$A$6:$A$59,0))</f>
        <v>46484</v>
      </c>
      <c r="T204" s="53" t="s">
        <v>463</v>
      </c>
    </row>
    <row r="205" customFormat="false" ht="15" hidden="false" customHeight="false" outlineLevel="0" collapsed="false">
      <c r="A205" s="31" t="s">
        <v>938</v>
      </c>
      <c r="B205" s="31" t="s">
        <v>301</v>
      </c>
      <c r="C205" s="31" t="s">
        <v>315</v>
      </c>
      <c r="D205" s="31" t="s">
        <v>316</v>
      </c>
      <c r="E205" s="31" t="s">
        <v>939</v>
      </c>
      <c r="F205" s="31" t="s">
        <v>481</v>
      </c>
      <c r="G205" s="31" t="s">
        <v>466</v>
      </c>
      <c r="H205" s="31" t="s">
        <v>41</v>
      </c>
      <c r="I205" s="31" t="n">
        <f aca="false">VLOOKUP(H205,Paramètres!$A$15:$B$19,2,FALSE())</f>
        <v>1</v>
      </c>
      <c r="J205" s="31" t="n">
        <v>1</v>
      </c>
      <c r="K205" s="50" t="str">
        <f aca="false">C205&amp;"|"&amp;J205</f>
        <v>API-JEUX|1</v>
      </c>
      <c r="L205" s="31" t="s">
        <v>933</v>
      </c>
      <c r="M205" s="31" t="n">
        <v>2</v>
      </c>
      <c r="N205" s="51" t="s">
        <v>462</v>
      </c>
      <c r="O205" s="35" t="s">
        <v>78</v>
      </c>
      <c r="P205" s="52"/>
      <c r="Q205" s="52"/>
      <c r="R205" s="33" t="n">
        <f aca="false">INDEX(Épopées!$L$6:$L$59,MATCH(K205,Épopées!$A$6:$A$59,0))</f>
        <v>46454</v>
      </c>
      <c r="S205" s="33" t="n">
        <f aca="false">INDEX(Épopées!$M$6:$M$59,MATCH(K205,Épopées!$A$6:$A$59,0))</f>
        <v>46484</v>
      </c>
      <c r="T205" s="53" t="s">
        <v>463</v>
      </c>
    </row>
    <row r="206" customFormat="false" ht="15" hidden="false" customHeight="false" outlineLevel="0" collapsed="false">
      <c r="A206" s="31" t="s">
        <v>940</v>
      </c>
      <c r="B206" s="31" t="s">
        <v>301</v>
      </c>
      <c r="C206" s="31" t="s">
        <v>315</v>
      </c>
      <c r="D206" s="31" t="s">
        <v>316</v>
      </c>
      <c r="E206" s="31" t="s">
        <v>941</v>
      </c>
      <c r="F206" s="31" t="s">
        <v>486</v>
      </c>
      <c r="G206" s="31" t="s">
        <v>466</v>
      </c>
      <c r="H206" s="31" t="s">
        <v>39</v>
      </c>
      <c r="I206" s="31" t="n">
        <f aca="false">VLOOKUP(H206,Paramètres!$A$15:$B$19,2,FALSE())</f>
        <v>0.5</v>
      </c>
      <c r="J206" s="31" t="n">
        <v>1</v>
      </c>
      <c r="K206" s="50" t="str">
        <f aca="false">C206&amp;"|"&amp;J206</f>
        <v>API-JEUX|1</v>
      </c>
      <c r="L206" s="31" t="s">
        <v>910</v>
      </c>
      <c r="M206" s="31" t="n">
        <v>3</v>
      </c>
      <c r="N206" s="51" t="s">
        <v>462</v>
      </c>
      <c r="O206" s="35" t="s">
        <v>78</v>
      </c>
      <c r="P206" s="52"/>
      <c r="Q206" s="52"/>
      <c r="R206" s="33" t="n">
        <f aca="false">INDEX(Épopées!$L$6:$L$59,MATCH(K206,Épopées!$A$6:$A$59,0))</f>
        <v>46454</v>
      </c>
      <c r="S206" s="33" t="n">
        <f aca="false">INDEX(Épopées!$M$6:$M$59,MATCH(K206,Épopées!$A$6:$A$59,0))</f>
        <v>46484</v>
      </c>
      <c r="T206" s="53" t="s">
        <v>463</v>
      </c>
    </row>
    <row r="207" customFormat="false" ht="15" hidden="false" customHeight="false" outlineLevel="0" collapsed="false">
      <c r="A207" s="31" t="s">
        <v>942</v>
      </c>
      <c r="B207" s="31" t="s">
        <v>301</v>
      </c>
      <c r="C207" s="31" t="s">
        <v>315</v>
      </c>
      <c r="D207" s="31" t="s">
        <v>316</v>
      </c>
      <c r="E207" s="31" t="s">
        <v>943</v>
      </c>
      <c r="F207" s="31" t="s">
        <v>460</v>
      </c>
      <c r="G207" s="31" t="s">
        <v>466</v>
      </c>
      <c r="H207" s="31" t="s">
        <v>43</v>
      </c>
      <c r="I207" s="31" t="n">
        <f aca="false">VLOOKUP(H207,Paramètres!$A$15:$B$19,2,FALSE())</f>
        <v>2</v>
      </c>
      <c r="J207" s="31" t="n">
        <v>1</v>
      </c>
      <c r="K207" s="50" t="str">
        <f aca="false">C207&amp;"|"&amp;J207</f>
        <v>API-JEUX|1</v>
      </c>
      <c r="L207" s="31" t="s">
        <v>944</v>
      </c>
      <c r="M207" s="31" t="n">
        <v>3</v>
      </c>
      <c r="N207" s="51" t="s">
        <v>462</v>
      </c>
      <c r="O207" s="35" t="s">
        <v>78</v>
      </c>
      <c r="P207" s="52"/>
      <c r="Q207" s="52"/>
      <c r="R207" s="33" t="n">
        <f aca="false">INDEX(Épopées!$L$6:$L$59,MATCH(K207,Épopées!$A$6:$A$59,0))</f>
        <v>46454</v>
      </c>
      <c r="S207" s="33" t="n">
        <f aca="false">INDEX(Épopées!$M$6:$M$59,MATCH(K207,Épopées!$A$6:$A$59,0))</f>
        <v>46484</v>
      </c>
      <c r="T207" s="53" t="s">
        <v>463</v>
      </c>
    </row>
    <row r="208" customFormat="false" ht="15" hidden="false" customHeight="false" outlineLevel="0" collapsed="false">
      <c r="A208" s="31" t="s">
        <v>945</v>
      </c>
      <c r="B208" s="31" t="s">
        <v>301</v>
      </c>
      <c r="C208" s="31" t="s">
        <v>315</v>
      </c>
      <c r="D208" s="31" t="s">
        <v>316</v>
      </c>
      <c r="E208" s="31" t="s">
        <v>946</v>
      </c>
      <c r="F208" s="31" t="s">
        <v>460</v>
      </c>
      <c r="G208" s="31" t="s">
        <v>461</v>
      </c>
      <c r="H208" s="31" t="s">
        <v>43</v>
      </c>
      <c r="I208" s="31" t="n">
        <f aca="false">VLOOKUP(H208,Paramètres!$A$15:$B$19,2,FALSE())</f>
        <v>2</v>
      </c>
      <c r="J208" s="31" t="n">
        <v>1</v>
      </c>
      <c r="K208" s="50" t="str">
        <f aca="false">C208&amp;"|"&amp;J208</f>
        <v>API-JEUX|1</v>
      </c>
      <c r="L208" s="31" t="s">
        <v>910</v>
      </c>
      <c r="M208" s="31" t="n">
        <v>2</v>
      </c>
      <c r="N208" s="51" t="s">
        <v>462</v>
      </c>
      <c r="O208" s="35" t="s">
        <v>78</v>
      </c>
      <c r="P208" s="52"/>
      <c r="Q208" s="52"/>
      <c r="R208" s="33" t="n">
        <f aca="false">INDEX(Épopées!$L$6:$L$59,MATCH(K208,Épopées!$A$6:$A$59,0))</f>
        <v>46454</v>
      </c>
      <c r="S208" s="33" t="n">
        <f aca="false">INDEX(Épopées!$M$6:$M$59,MATCH(K208,Épopées!$A$6:$A$59,0))</f>
        <v>46484</v>
      </c>
      <c r="T208" s="53" t="s">
        <v>463</v>
      </c>
    </row>
    <row r="209" customFormat="false" ht="15" hidden="false" customHeight="false" outlineLevel="0" collapsed="false">
      <c r="A209" s="31" t="s">
        <v>947</v>
      </c>
      <c r="B209" s="31" t="s">
        <v>301</v>
      </c>
      <c r="C209" s="31" t="s">
        <v>315</v>
      </c>
      <c r="D209" s="31" t="s">
        <v>316</v>
      </c>
      <c r="E209" s="31" t="s">
        <v>948</v>
      </c>
      <c r="F209" s="31" t="s">
        <v>460</v>
      </c>
      <c r="G209" s="31" t="s">
        <v>466</v>
      </c>
      <c r="H209" s="31" t="s">
        <v>41</v>
      </c>
      <c r="I209" s="31" t="n">
        <f aca="false">VLOOKUP(H209,Paramètres!$A$15:$B$19,2,FALSE())</f>
        <v>1</v>
      </c>
      <c r="J209" s="31" t="n">
        <v>1</v>
      </c>
      <c r="K209" s="50" t="str">
        <f aca="false">C209&amp;"|"&amp;J209</f>
        <v>API-JEUX|1</v>
      </c>
      <c r="L209" s="31" t="s">
        <v>945</v>
      </c>
      <c r="M209" s="31" t="n">
        <v>1</v>
      </c>
      <c r="N209" s="51" t="s">
        <v>462</v>
      </c>
      <c r="O209" s="35" t="s">
        <v>78</v>
      </c>
      <c r="P209" s="52"/>
      <c r="Q209" s="52"/>
      <c r="R209" s="33" t="n">
        <f aca="false">INDEX(Épopées!$L$6:$L$59,MATCH(K209,Épopées!$A$6:$A$59,0))</f>
        <v>46454</v>
      </c>
      <c r="S209" s="33" t="n">
        <f aca="false">INDEX(Épopées!$M$6:$M$59,MATCH(K209,Épopées!$A$6:$A$59,0))</f>
        <v>46484</v>
      </c>
      <c r="T209" s="53" t="s">
        <v>463</v>
      </c>
    </row>
    <row r="210" customFormat="false" ht="15" hidden="false" customHeight="false" outlineLevel="0" collapsed="false">
      <c r="A210" s="31" t="s">
        <v>949</v>
      </c>
      <c r="B210" s="31" t="s">
        <v>301</v>
      </c>
      <c r="C210" s="31" t="s">
        <v>315</v>
      </c>
      <c r="D210" s="31" t="s">
        <v>316</v>
      </c>
      <c r="E210" s="31" t="s">
        <v>950</v>
      </c>
      <c r="F210" s="31" t="s">
        <v>460</v>
      </c>
      <c r="G210" s="31" t="s">
        <v>461</v>
      </c>
      <c r="H210" s="31" t="s">
        <v>43</v>
      </c>
      <c r="I210" s="31" t="n">
        <f aca="false">VLOOKUP(H210,Paramètres!$A$15:$B$19,2,FALSE())</f>
        <v>2</v>
      </c>
      <c r="J210" s="31" t="n">
        <v>1</v>
      </c>
      <c r="K210" s="50" t="str">
        <f aca="false">C210&amp;"|"&amp;J210</f>
        <v>API-JEUX|1</v>
      </c>
      <c r="L210" s="31" t="s">
        <v>945</v>
      </c>
      <c r="M210" s="31" t="n">
        <v>3</v>
      </c>
      <c r="N210" s="51" t="s">
        <v>462</v>
      </c>
      <c r="O210" s="35" t="s">
        <v>78</v>
      </c>
      <c r="P210" s="52"/>
      <c r="Q210" s="52"/>
      <c r="R210" s="33" t="n">
        <f aca="false">INDEX(Épopées!$L$6:$L$59,MATCH(K210,Épopées!$A$6:$A$59,0))</f>
        <v>46454</v>
      </c>
      <c r="S210" s="33" t="n">
        <f aca="false">INDEX(Épopées!$M$6:$M$59,MATCH(K210,Épopées!$A$6:$A$59,0))</f>
        <v>46484</v>
      </c>
      <c r="T210" s="53" t="s">
        <v>463</v>
      </c>
    </row>
    <row r="211" customFormat="false" ht="15" hidden="false" customHeight="false" outlineLevel="0" collapsed="false">
      <c r="A211" s="31" t="s">
        <v>951</v>
      </c>
      <c r="B211" s="31" t="s">
        <v>301</v>
      </c>
      <c r="C211" s="31" t="s">
        <v>315</v>
      </c>
      <c r="D211" s="31" t="s">
        <v>316</v>
      </c>
      <c r="E211" s="31" t="s">
        <v>952</v>
      </c>
      <c r="F211" s="31" t="s">
        <v>481</v>
      </c>
      <c r="G211" s="31" t="s">
        <v>466</v>
      </c>
      <c r="H211" s="31" t="s">
        <v>41</v>
      </c>
      <c r="I211" s="31" t="n">
        <f aca="false">VLOOKUP(H211,Paramètres!$A$15:$B$19,2,FALSE())</f>
        <v>1</v>
      </c>
      <c r="J211" s="31" t="n">
        <v>1</v>
      </c>
      <c r="K211" s="50" t="str">
        <f aca="false">C211&amp;"|"&amp;J211</f>
        <v>API-JEUX|1</v>
      </c>
      <c r="L211" s="31" t="s">
        <v>949</v>
      </c>
      <c r="M211" s="31" t="n">
        <v>1</v>
      </c>
      <c r="N211" s="51" t="s">
        <v>462</v>
      </c>
      <c r="O211" s="35" t="s">
        <v>78</v>
      </c>
      <c r="P211" s="52"/>
      <c r="Q211" s="52"/>
      <c r="R211" s="33" t="n">
        <f aca="false">INDEX(Épopées!$L$6:$L$59,MATCH(K211,Épopées!$A$6:$A$59,0))</f>
        <v>46454</v>
      </c>
      <c r="S211" s="33" t="n">
        <f aca="false">INDEX(Épopées!$M$6:$M$59,MATCH(K211,Épopées!$A$6:$A$59,0))</f>
        <v>46484</v>
      </c>
      <c r="T211" s="53" t="s">
        <v>463</v>
      </c>
    </row>
    <row r="212" customFormat="false" ht="15" hidden="false" customHeight="false" outlineLevel="0" collapsed="false">
      <c r="A212" s="31" t="s">
        <v>953</v>
      </c>
      <c r="B212" s="31" t="s">
        <v>301</v>
      </c>
      <c r="C212" s="31" t="s">
        <v>315</v>
      </c>
      <c r="D212" s="31" t="s">
        <v>316</v>
      </c>
      <c r="E212" s="31" t="s">
        <v>954</v>
      </c>
      <c r="F212" s="31" t="s">
        <v>491</v>
      </c>
      <c r="G212" s="31" t="s">
        <v>466</v>
      </c>
      <c r="H212" s="31" t="s">
        <v>41</v>
      </c>
      <c r="I212" s="31" t="n">
        <f aca="false">VLOOKUP(H212,Paramètres!$A$15:$B$19,2,FALSE())</f>
        <v>1</v>
      </c>
      <c r="J212" s="31" t="n">
        <v>1</v>
      </c>
      <c r="K212" s="50" t="str">
        <f aca="false">C212&amp;"|"&amp;J212</f>
        <v>API-JEUX|1</v>
      </c>
      <c r="L212" s="31" t="s">
        <v>922</v>
      </c>
      <c r="M212" s="31" t="n">
        <v>3</v>
      </c>
      <c r="N212" s="51" t="s">
        <v>462</v>
      </c>
      <c r="O212" s="35" t="s">
        <v>78</v>
      </c>
      <c r="P212" s="52"/>
      <c r="Q212" s="52"/>
      <c r="R212" s="33" t="n">
        <f aca="false">INDEX(Épopées!$L$6:$L$59,MATCH(K212,Épopées!$A$6:$A$59,0))</f>
        <v>46454</v>
      </c>
      <c r="S212" s="33" t="n">
        <f aca="false">INDEX(Épopées!$M$6:$M$59,MATCH(K212,Épopées!$A$6:$A$59,0))</f>
        <v>46484</v>
      </c>
      <c r="T212" s="53" t="s">
        <v>463</v>
      </c>
    </row>
    <row r="213" customFormat="false" ht="15" hidden="false" customHeight="false" outlineLevel="0" collapsed="false">
      <c r="A213" s="31" t="s">
        <v>955</v>
      </c>
      <c r="B213" s="31" t="s">
        <v>301</v>
      </c>
      <c r="C213" s="31" t="s">
        <v>315</v>
      </c>
      <c r="D213" s="31" t="s">
        <v>316</v>
      </c>
      <c r="E213" s="31" t="s">
        <v>956</v>
      </c>
      <c r="F213" s="31" t="s">
        <v>460</v>
      </c>
      <c r="G213" s="31" t="s">
        <v>466</v>
      </c>
      <c r="H213" s="31" t="s">
        <v>41</v>
      </c>
      <c r="I213" s="31" t="n">
        <f aca="false">VLOOKUP(H213,Paramètres!$A$15:$B$19,2,FALSE())</f>
        <v>1</v>
      </c>
      <c r="J213" s="31" t="n">
        <v>1</v>
      </c>
      <c r="K213" s="50" t="str">
        <f aca="false">C213&amp;"|"&amp;J213</f>
        <v>API-JEUX|1</v>
      </c>
      <c r="L213" s="31" t="s">
        <v>953</v>
      </c>
      <c r="M213" s="31" t="n">
        <v>2</v>
      </c>
      <c r="N213" s="51" t="s">
        <v>462</v>
      </c>
      <c r="O213" s="35" t="s">
        <v>78</v>
      </c>
      <c r="P213" s="52"/>
      <c r="Q213" s="52"/>
      <c r="R213" s="33" t="n">
        <f aca="false">INDEX(Épopées!$L$6:$L$59,MATCH(K213,Épopées!$A$6:$A$59,0))</f>
        <v>46454</v>
      </c>
      <c r="S213" s="33" t="n">
        <f aca="false">INDEX(Épopées!$M$6:$M$59,MATCH(K213,Épopées!$A$6:$A$59,0))</f>
        <v>46484</v>
      </c>
      <c r="T213" s="53" t="s">
        <v>463</v>
      </c>
    </row>
    <row r="214" customFormat="false" ht="15" hidden="false" customHeight="false" outlineLevel="0" collapsed="false">
      <c r="A214" s="31" t="s">
        <v>957</v>
      </c>
      <c r="B214" s="31" t="s">
        <v>301</v>
      </c>
      <c r="C214" s="31" t="s">
        <v>315</v>
      </c>
      <c r="D214" s="31" t="s">
        <v>316</v>
      </c>
      <c r="E214" s="31" t="s">
        <v>958</v>
      </c>
      <c r="F214" s="31" t="s">
        <v>460</v>
      </c>
      <c r="G214" s="31" t="s">
        <v>466</v>
      </c>
      <c r="H214" s="31" t="s">
        <v>41</v>
      </c>
      <c r="I214" s="31" t="n">
        <f aca="false">VLOOKUP(H214,Paramètres!$A$15:$B$19,2,FALSE())</f>
        <v>1</v>
      </c>
      <c r="J214" s="31" t="n">
        <v>1</v>
      </c>
      <c r="K214" s="50" t="str">
        <f aca="false">C214&amp;"|"&amp;J214</f>
        <v>API-JEUX|1</v>
      </c>
      <c r="L214" s="31" t="s">
        <v>959</v>
      </c>
      <c r="M214" s="31" t="n">
        <v>2</v>
      </c>
      <c r="N214" s="51" t="s">
        <v>462</v>
      </c>
      <c r="O214" s="35" t="s">
        <v>78</v>
      </c>
      <c r="P214" s="52"/>
      <c r="Q214" s="52"/>
      <c r="R214" s="33" t="n">
        <f aca="false">INDEX(Épopées!$L$6:$L$59,MATCH(K214,Épopées!$A$6:$A$59,0))</f>
        <v>46454</v>
      </c>
      <c r="S214" s="33" t="n">
        <f aca="false">INDEX(Épopées!$M$6:$M$59,MATCH(K214,Épopées!$A$6:$A$59,0))</f>
        <v>46484</v>
      </c>
      <c r="T214" s="53" t="s">
        <v>463</v>
      </c>
    </row>
    <row r="215" customFormat="false" ht="15" hidden="false" customHeight="false" outlineLevel="0" collapsed="false">
      <c r="A215" s="31" t="s">
        <v>960</v>
      </c>
      <c r="B215" s="31" t="s">
        <v>301</v>
      </c>
      <c r="C215" s="31" t="s">
        <v>315</v>
      </c>
      <c r="D215" s="31" t="s">
        <v>316</v>
      </c>
      <c r="E215" s="31" t="s">
        <v>961</v>
      </c>
      <c r="F215" s="31" t="s">
        <v>548</v>
      </c>
      <c r="G215" s="31" t="s">
        <v>466</v>
      </c>
      <c r="H215" s="31" t="s">
        <v>41</v>
      </c>
      <c r="I215" s="31" t="n">
        <f aca="false">VLOOKUP(H215,Paramètres!$A$15:$B$19,2,FALSE())</f>
        <v>1</v>
      </c>
      <c r="J215" s="31" t="n">
        <v>1</v>
      </c>
      <c r="K215" s="50" t="str">
        <f aca="false">C215&amp;"|"&amp;J215</f>
        <v>API-JEUX|1</v>
      </c>
      <c r="L215" s="31" t="s">
        <v>962</v>
      </c>
      <c r="M215" s="31" t="n">
        <v>3</v>
      </c>
      <c r="N215" s="51" t="s">
        <v>462</v>
      </c>
      <c r="O215" s="35" t="s">
        <v>78</v>
      </c>
      <c r="P215" s="52"/>
      <c r="Q215" s="52"/>
      <c r="R215" s="33" t="n">
        <f aca="false">INDEX(Épopées!$L$6:$L$59,MATCH(K215,Épopées!$A$6:$A$59,0))</f>
        <v>46454</v>
      </c>
      <c r="S215" s="33" t="n">
        <f aca="false">INDEX(Épopées!$M$6:$M$59,MATCH(K215,Épopées!$A$6:$A$59,0))</f>
        <v>46484</v>
      </c>
      <c r="T215" s="53" t="s">
        <v>463</v>
      </c>
    </row>
    <row r="216" customFormat="false" ht="15" hidden="false" customHeight="false" outlineLevel="0" collapsed="false">
      <c r="A216" s="31" t="s">
        <v>963</v>
      </c>
      <c r="B216" s="31" t="s">
        <v>301</v>
      </c>
      <c r="C216" s="31" t="s">
        <v>315</v>
      </c>
      <c r="D216" s="31" t="s">
        <v>316</v>
      </c>
      <c r="E216" s="31" t="s">
        <v>964</v>
      </c>
      <c r="F216" s="31" t="s">
        <v>579</v>
      </c>
      <c r="G216" s="31" t="s">
        <v>466</v>
      </c>
      <c r="H216" s="31" t="s">
        <v>41</v>
      </c>
      <c r="I216" s="31" t="n">
        <f aca="false">VLOOKUP(H216,Paramètres!$A$15:$B$19,2,FALSE())</f>
        <v>1</v>
      </c>
      <c r="J216" s="31" t="n">
        <v>1</v>
      </c>
      <c r="K216" s="50" t="str">
        <f aca="false">C216&amp;"|"&amp;J216</f>
        <v>API-JEUX|1</v>
      </c>
      <c r="L216" s="31" t="s">
        <v>965</v>
      </c>
      <c r="M216" s="31" t="n">
        <v>2</v>
      </c>
      <c r="N216" s="51" t="s">
        <v>462</v>
      </c>
      <c r="O216" s="35" t="s">
        <v>78</v>
      </c>
      <c r="P216" s="52"/>
      <c r="Q216" s="52"/>
      <c r="R216" s="33" t="n">
        <f aca="false">INDEX(Épopées!$L$6:$L$59,MATCH(K216,Épopées!$A$6:$A$59,0))</f>
        <v>46454</v>
      </c>
      <c r="S216" s="33" t="n">
        <f aca="false">INDEX(Épopées!$M$6:$M$59,MATCH(K216,Épopées!$A$6:$A$59,0))</f>
        <v>46484</v>
      </c>
      <c r="T216" s="53" t="s">
        <v>463</v>
      </c>
    </row>
    <row r="217" customFormat="false" ht="15" hidden="false" customHeight="false" outlineLevel="0" collapsed="false">
      <c r="A217" s="31" t="s">
        <v>966</v>
      </c>
      <c r="B217" s="31" t="s">
        <v>301</v>
      </c>
      <c r="C217" s="31" t="s">
        <v>315</v>
      </c>
      <c r="D217" s="31" t="s">
        <v>316</v>
      </c>
      <c r="E217" s="31" t="s">
        <v>967</v>
      </c>
      <c r="F217" s="31" t="s">
        <v>503</v>
      </c>
      <c r="G217" s="31" t="s">
        <v>466</v>
      </c>
      <c r="H217" s="31" t="s">
        <v>41</v>
      </c>
      <c r="I217" s="31" t="n">
        <f aca="false">VLOOKUP(H217,Paramètres!$A$15:$B$19,2,FALSE())</f>
        <v>1</v>
      </c>
      <c r="J217" s="31" t="n">
        <v>1</v>
      </c>
      <c r="K217" s="50" t="str">
        <f aca="false">C217&amp;"|"&amp;J217</f>
        <v>API-JEUX|1</v>
      </c>
      <c r="L217" s="31" t="s">
        <v>945</v>
      </c>
      <c r="M217" s="31" t="n">
        <v>2</v>
      </c>
      <c r="N217" s="51" t="s">
        <v>462</v>
      </c>
      <c r="O217" s="35" t="s">
        <v>78</v>
      </c>
      <c r="P217" s="52"/>
      <c r="Q217" s="52"/>
      <c r="R217" s="33" t="n">
        <f aca="false">INDEX(Épopées!$L$6:$L$59,MATCH(K217,Épopées!$A$6:$A$59,0))</f>
        <v>46454</v>
      </c>
      <c r="S217" s="33" t="n">
        <f aca="false">INDEX(Épopées!$M$6:$M$59,MATCH(K217,Épopées!$A$6:$A$59,0))</f>
        <v>46484</v>
      </c>
      <c r="T217" s="53" t="s">
        <v>463</v>
      </c>
    </row>
    <row r="218" customFormat="false" ht="15" hidden="false" customHeight="false" outlineLevel="0" collapsed="false">
      <c r="A218" s="31" t="s">
        <v>968</v>
      </c>
      <c r="B218" s="31" t="s">
        <v>301</v>
      </c>
      <c r="C218" s="31" t="s">
        <v>315</v>
      </c>
      <c r="D218" s="31" t="s">
        <v>316</v>
      </c>
      <c r="E218" s="31" t="s">
        <v>969</v>
      </c>
      <c r="F218" s="31" t="s">
        <v>472</v>
      </c>
      <c r="G218" s="31" t="s">
        <v>461</v>
      </c>
      <c r="H218" s="31" t="s">
        <v>43</v>
      </c>
      <c r="I218" s="31" t="n">
        <f aca="false">VLOOKUP(H218,Paramètres!$A$15:$B$19,2,FALSE())</f>
        <v>2</v>
      </c>
      <c r="J218" s="31" t="n">
        <v>1</v>
      </c>
      <c r="K218" s="50" t="str">
        <f aca="false">C218&amp;"|"&amp;J218</f>
        <v>API-JEUX|1</v>
      </c>
      <c r="L218" s="31" t="s">
        <v>970</v>
      </c>
      <c r="M218" s="31" t="n">
        <v>15</v>
      </c>
      <c r="N218" s="51" t="s">
        <v>462</v>
      </c>
      <c r="O218" s="35" t="s">
        <v>78</v>
      </c>
      <c r="P218" s="52"/>
      <c r="Q218" s="52"/>
      <c r="R218" s="33" t="n">
        <f aca="false">INDEX(Épopées!$L$6:$L$59,MATCH(K218,Épopées!$A$6:$A$59,0))</f>
        <v>46454</v>
      </c>
      <c r="S218" s="33" t="n">
        <f aca="false">INDEX(Épopées!$M$6:$M$59,MATCH(K218,Épopées!$A$6:$A$59,0))</f>
        <v>46484</v>
      </c>
      <c r="T218" s="53" t="s">
        <v>463</v>
      </c>
    </row>
    <row r="219" customFormat="false" ht="15" hidden="false" customHeight="false" outlineLevel="0" collapsed="false">
      <c r="A219" s="31" t="s">
        <v>971</v>
      </c>
      <c r="B219" s="31" t="s">
        <v>301</v>
      </c>
      <c r="C219" s="31" t="s">
        <v>315</v>
      </c>
      <c r="D219" s="31" t="s">
        <v>316</v>
      </c>
      <c r="E219" s="31" t="s">
        <v>972</v>
      </c>
      <c r="F219" s="31" t="s">
        <v>472</v>
      </c>
      <c r="G219" s="31" t="s">
        <v>466</v>
      </c>
      <c r="H219" s="31" t="s">
        <v>41</v>
      </c>
      <c r="I219" s="31" t="n">
        <f aca="false">VLOOKUP(H219,Paramètres!$A$15:$B$19,2,FALSE())</f>
        <v>1</v>
      </c>
      <c r="J219" s="31" t="n">
        <v>1</v>
      </c>
      <c r="K219" s="50" t="str">
        <f aca="false">C219&amp;"|"&amp;J219</f>
        <v>API-JEUX|1</v>
      </c>
      <c r="L219" s="31" t="s">
        <v>973</v>
      </c>
      <c r="M219" s="31" t="n">
        <v>3</v>
      </c>
      <c r="N219" s="51" t="s">
        <v>462</v>
      </c>
      <c r="O219" s="35" t="s">
        <v>78</v>
      </c>
      <c r="P219" s="52"/>
      <c r="Q219" s="52"/>
      <c r="R219" s="33" t="n">
        <f aca="false">INDEX(Épopées!$L$6:$L$59,MATCH(K219,Épopées!$A$6:$A$59,0))</f>
        <v>46454</v>
      </c>
      <c r="S219" s="33" t="n">
        <f aca="false">INDEX(Épopées!$M$6:$M$59,MATCH(K219,Épopées!$A$6:$A$59,0))</f>
        <v>46484</v>
      </c>
      <c r="T219" s="53" t="s">
        <v>463</v>
      </c>
    </row>
    <row r="220" customFormat="false" ht="15" hidden="false" customHeight="false" outlineLevel="0" collapsed="false">
      <c r="A220" s="31" t="s">
        <v>974</v>
      </c>
      <c r="B220" s="31" t="s">
        <v>301</v>
      </c>
      <c r="C220" s="31" t="s">
        <v>315</v>
      </c>
      <c r="D220" s="31" t="s">
        <v>316</v>
      </c>
      <c r="E220" s="31" t="s">
        <v>975</v>
      </c>
      <c r="F220" s="31" t="s">
        <v>472</v>
      </c>
      <c r="G220" s="31" t="s">
        <v>466</v>
      </c>
      <c r="H220" s="31" t="s">
        <v>41</v>
      </c>
      <c r="I220" s="31" t="n">
        <f aca="false">VLOOKUP(H220,Paramètres!$A$15:$B$19,2,FALSE())</f>
        <v>1</v>
      </c>
      <c r="J220" s="31" t="n">
        <v>1</v>
      </c>
      <c r="K220" s="50" t="str">
        <f aca="false">C220&amp;"|"&amp;J220</f>
        <v>API-JEUX|1</v>
      </c>
      <c r="L220" s="31" t="s">
        <v>976</v>
      </c>
      <c r="M220" s="31" t="n">
        <v>4</v>
      </c>
      <c r="N220" s="51" t="s">
        <v>462</v>
      </c>
      <c r="O220" s="35" t="s">
        <v>78</v>
      </c>
      <c r="P220" s="52"/>
      <c r="Q220" s="52"/>
      <c r="R220" s="33" t="n">
        <f aca="false">INDEX(Épopées!$L$6:$L$59,MATCH(K220,Épopées!$A$6:$A$59,0))</f>
        <v>46454</v>
      </c>
      <c r="S220" s="33" t="n">
        <f aca="false">INDEX(Épopées!$M$6:$M$59,MATCH(K220,Épopées!$A$6:$A$59,0))</f>
        <v>46484</v>
      </c>
      <c r="T220" s="53" t="s">
        <v>463</v>
      </c>
    </row>
    <row r="221" customFormat="false" ht="15" hidden="false" customHeight="false" outlineLevel="0" collapsed="false">
      <c r="A221" s="31" t="s">
        <v>977</v>
      </c>
      <c r="B221" s="31" t="s">
        <v>301</v>
      </c>
      <c r="C221" s="31" t="s">
        <v>318</v>
      </c>
      <c r="D221" s="31" t="s">
        <v>319</v>
      </c>
      <c r="E221" s="31" t="s">
        <v>978</v>
      </c>
      <c r="F221" s="31" t="s">
        <v>486</v>
      </c>
      <c r="G221" s="31" t="s">
        <v>461</v>
      </c>
      <c r="H221" s="31" t="s">
        <v>41</v>
      </c>
      <c r="I221" s="31" t="n">
        <f aca="false">VLOOKUP(H221,Paramètres!$A$15:$B$19,2,FALSE())</f>
        <v>1</v>
      </c>
      <c r="J221" s="31" t="n">
        <v>1</v>
      </c>
      <c r="K221" s="50" t="str">
        <f aca="false">C221&amp;"|"&amp;J221</f>
        <v>API-NOTIF|1</v>
      </c>
      <c r="L221" s="31"/>
      <c r="M221" s="31" t="n">
        <v>4</v>
      </c>
      <c r="N221" s="51" t="s">
        <v>462</v>
      </c>
      <c r="O221" s="35" t="s">
        <v>78</v>
      </c>
      <c r="P221" s="52"/>
      <c r="Q221" s="52"/>
      <c r="R221" s="33" t="n">
        <f aca="false">INDEX(Épopées!$L$6:$L$59,MATCH(K221,Épopées!$A$6:$A$59,0))</f>
        <v>46485</v>
      </c>
      <c r="S221" s="33" t="n">
        <f aca="false">INDEX(Épopées!$M$6:$M$59,MATCH(K221,Épopées!$A$6:$A$59,0))</f>
        <v>46505</v>
      </c>
      <c r="T221" s="53" t="s">
        <v>463</v>
      </c>
    </row>
    <row r="222" customFormat="false" ht="15" hidden="false" customHeight="false" outlineLevel="0" collapsed="false">
      <c r="A222" s="31" t="s">
        <v>979</v>
      </c>
      <c r="B222" s="31" t="s">
        <v>301</v>
      </c>
      <c r="C222" s="31" t="s">
        <v>318</v>
      </c>
      <c r="D222" s="31" t="s">
        <v>319</v>
      </c>
      <c r="E222" s="31" t="s">
        <v>980</v>
      </c>
      <c r="F222" s="31" t="s">
        <v>460</v>
      </c>
      <c r="G222" s="31" t="s">
        <v>461</v>
      </c>
      <c r="H222" s="31" t="s">
        <v>41</v>
      </c>
      <c r="I222" s="31" t="n">
        <f aca="false">VLOOKUP(H222,Paramètres!$A$15:$B$19,2,FALSE())</f>
        <v>1</v>
      </c>
      <c r="J222" s="31" t="n">
        <v>1</v>
      </c>
      <c r="K222" s="50" t="str">
        <f aca="false">C222&amp;"|"&amp;J222</f>
        <v>API-NOTIF|1</v>
      </c>
      <c r="L222" s="31" t="s">
        <v>977</v>
      </c>
      <c r="M222" s="31" t="n">
        <v>2</v>
      </c>
      <c r="N222" s="51" t="s">
        <v>462</v>
      </c>
      <c r="O222" s="35" t="s">
        <v>78</v>
      </c>
      <c r="P222" s="52"/>
      <c r="Q222" s="52"/>
      <c r="R222" s="33" t="n">
        <f aca="false">INDEX(Épopées!$L$6:$L$59,MATCH(K222,Épopées!$A$6:$A$59,0))</f>
        <v>46485</v>
      </c>
      <c r="S222" s="33" t="n">
        <f aca="false">INDEX(Épopées!$M$6:$M$59,MATCH(K222,Épopées!$A$6:$A$59,0))</f>
        <v>46505</v>
      </c>
      <c r="T222" s="53" t="s">
        <v>463</v>
      </c>
    </row>
    <row r="223" customFormat="false" ht="15" hidden="false" customHeight="false" outlineLevel="0" collapsed="false">
      <c r="A223" s="31" t="s">
        <v>981</v>
      </c>
      <c r="B223" s="31" t="s">
        <v>301</v>
      </c>
      <c r="C223" s="31" t="s">
        <v>318</v>
      </c>
      <c r="D223" s="31" t="s">
        <v>319</v>
      </c>
      <c r="E223" s="31" t="s">
        <v>982</v>
      </c>
      <c r="F223" s="31" t="s">
        <v>460</v>
      </c>
      <c r="G223" s="31" t="s">
        <v>461</v>
      </c>
      <c r="H223" s="31" t="s">
        <v>39</v>
      </c>
      <c r="I223" s="31" t="n">
        <f aca="false">VLOOKUP(H223,Paramètres!$A$15:$B$19,2,FALSE())</f>
        <v>0.5</v>
      </c>
      <c r="J223" s="31" t="n">
        <v>1</v>
      </c>
      <c r="K223" s="50" t="str">
        <f aca="false">C223&amp;"|"&amp;J223</f>
        <v>API-NOTIF|1</v>
      </c>
      <c r="L223" s="31" t="s">
        <v>979</v>
      </c>
      <c r="M223" s="31" t="n">
        <v>1</v>
      </c>
      <c r="N223" s="51" t="s">
        <v>462</v>
      </c>
      <c r="O223" s="35" t="s">
        <v>78</v>
      </c>
      <c r="P223" s="52"/>
      <c r="Q223" s="52"/>
      <c r="R223" s="33" t="n">
        <f aca="false">INDEX(Épopées!$L$6:$L$59,MATCH(K223,Épopées!$A$6:$A$59,0))</f>
        <v>46485</v>
      </c>
      <c r="S223" s="33" t="n">
        <f aca="false">INDEX(Épopées!$M$6:$M$59,MATCH(K223,Épopées!$A$6:$A$59,0))</f>
        <v>46505</v>
      </c>
      <c r="T223" s="53" t="s">
        <v>463</v>
      </c>
    </row>
    <row r="224" customFormat="false" ht="15" hidden="false" customHeight="false" outlineLevel="0" collapsed="false">
      <c r="A224" s="31" t="s">
        <v>983</v>
      </c>
      <c r="B224" s="31" t="s">
        <v>301</v>
      </c>
      <c r="C224" s="31" t="s">
        <v>318</v>
      </c>
      <c r="D224" s="31" t="s">
        <v>319</v>
      </c>
      <c r="E224" s="31" t="s">
        <v>984</v>
      </c>
      <c r="F224" s="31" t="s">
        <v>460</v>
      </c>
      <c r="G224" s="31" t="s">
        <v>461</v>
      </c>
      <c r="H224" s="31" t="s">
        <v>41</v>
      </c>
      <c r="I224" s="31" t="n">
        <f aca="false">VLOOKUP(H224,Paramètres!$A$15:$B$19,2,FALSE())</f>
        <v>1</v>
      </c>
      <c r="J224" s="31" t="n">
        <v>1</v>
      </c>
      <c r="K224" s="50" t="str">
        <f aca="false">C224&amp;"|"&amp;J224</f>
        <v>API-NOTIF|1</v>
      </c>
      <c r="L224" s="31" t="s">
        <v>977</v>
      </c>
      <c r="M224" s="31" t="n">
        <v>5</v>
      </c>
      <c r="N224" s="51" t="s">
        <v>462</v>
      </c>
      <c r="O224" s="35" t="s">
        <v>78</v>
      </c>
      <c r="P224" s="52"/>
      <c r="Q224" s="52"/>
      <c r="R224" s="33" t="n">
        <f aca="false">INDEX(Épopées!$L$6:$L$59,MATCH(K224,Épopées!$A$6:$A$59,0))</f>
        <v>46485</v>
      </c>
      <c r="S224" s="33" t="n">
        <f aca="false">INDEX(Épopées!$M$6:$M$59,MATCH(K224,Épopées!$A$6:$A$59,0))</f>
        <v>46505</v>
      </c>
      <c r="T224" s="53" t="s">
        <v>463</v>
      </c>
    </row>
    <row r="225" customFormat="false" ht="15" hidden="false" customHeight="false" outlineLevel="0" collapsed="false">
      <c r="A225" s="31" t="s">
        <v>985</v>
      </c>
      <c r="B225" s="31" t="s">
        <v>301</v>
      </c>
      <c r="C225" s="31" t="s">
        <v>318</v>
      </c>
      <c r="D225" s="31" t="s">
        <v>319</v>
      </c>
      <c r="E225" s="31" t="s">
        <v>986</v>
      </c>
      <c r="F225" s="31" t="s">
        <v>491</v>
      </c>
      <c r="G225" s="31" t="s">
        <v>461</v>
      </c>
      <c r="H225" s="31" t="s">
        <v>41</v>
      </c>
      <c r="I225" s="31" t="n">
        <f aca="false">VLOOKUP(H225,Paramètres!$A$15:$B$19,2,FALSE())</f>
        <v>1</v>
      </c>
      <c r="J225" s="31" t="n">
        <v>1</v>
      </c>
      <c r="K225" s="50" t="str">
        <f aca="false">C225&amp;"|"&amp;J225</f>
        <v>API-NOTIF|1</v>
      </c>
      <c r="L225" s="31" t="s">
        <v>983</v>
      </c>
      <c r="M225" s="31" t="n">
        <v>3</v>
      </c>
      <c r="N225" s="51" t="s">
        <v>462</v>
      </c>
      <c r="O225" s="35" t="s">
        <v>78</v>
      </c>
      <c r="P225" s="52"/>
      <c r="Q225" s="52"/>
      <c r="R225" s="33" t="n">
        <f aca="false">INDEX(Épopées!$L$6:$L$59,MATCH(K225,Épopées!$A$6:$A$59,0))</f>
        <v>46485</v>
      </c>
      <c r="S225" s="33" t="n">
        <f aca="false">INDEX(Épopées!$M$6:$M$59,MATCH(K225,Épopées!$A$6:$A$59,0))</f>
        <v>46505</v>
      </c>
      <c r="T225" s="53" t="s">
        <v>463</v>
      </c>
    </row>
    <row r="226" customFormat="false" ht="15" hidden="false" customHeight="false" outlineLevel="0" collapsed="false">
      <c r="A226" s="31" t="s">
        <v>987</v>
      </c>
      <c r="B226" s="31" t="s">
        <v>301</v>
      </c>
      <c r="C226" s="31" t="s">
        <v>318</v>
      </c>
      <c r="D226" s="31" t="s">
        <v>319</v>
      </c>
      <c r="E226" s="31" t="s">
        <v>988</v>
      </c>
      <c r="F226" s="31" t="s">
        <v>579</v>
      </c>
      <c r="G226" s="31" t="s">
        <v>461</v>
      </c>
      <c r="H226" s="31" t="s">
        <v>41</v>
      </c>
      <c r="I226" s="31" t="n">
        <f aca="false">VLOOKUP(H226,Paramètres!$A$15:$B$19,2,FALSE())</f>
        <v>1</v>
      </c>
      <c r="J226" s="31" t="n">
        <v>1</v>
      </c>
      <c r="K226" s="50" t="str">
        <f aca="false">C226&amp;"|"&amp;J226</f>
        <v>API-NOTIF|1</v>
      </c>
      <c r="L226" s="31" t="s">
        <v>979</v>
      </c>
      <c r="M226" s="31" t="n">
        <v>2</v>
      </c>
      <c r="N226" s="51" t="s">
        <v>462</v>
      </c>
      <c r="O226" s="35" t="s">
        <v>78</v>
      </c>
      <c r="P226" s="52"/>
      <c r="Q226" s="52"/>
      <c r="R226" s="33" t="n">
        <f aca="false">INDEX(Épopées!$L$6:$L$59,MATCH(K226,Épopées!$A$6:$A$59,0))</f>
        <v>46485</v>
      </c>
      <c r="S226" s="33" t="n">
        <f aca="false">INDEX(Épopées!$M$6:$M$59,MATCH(K226,Épopées!$A$6:$A$59,0))</f>
        <v>46505</v>
      </c>
      <c r="T226" s="53" t="s">
        <v>463</v>
      </c>
    </row>
    <row r="227" customFormat="false" ht="15" hidden="false" customHeight="false" outlineLevel="0" collapsed="false">
      <c r="A227" s="31" t="s">
        <v>989</v>
      </c>
      <c r="B227" s="31" t="s">
        <v>301</v>
      </c>
      <c r="C227" s="31" t="s">
        <v>318</v>
      </c>
      <c r="D227" s="31" t="s">
        <v>319</v>
      </c>
      <c r="E227" s="31" t="s">
        <v>990</v>
      </c>
      <c r="F227" s="31" t="s">
        <v>481</v>
      </c>
      <c r="G227" s="31" t="s">
        <v>461</v>
      </c>
      <c r="H227" s="31" t="s">
        <v>41</v>
      </c>
      <c r="I227" s="31" t="n">
        <f aca="false">VLOOKUP(H227,Paramètres!$A$15:$B$19,2,FALSE())</f>
        <v>1</v>
      </c>
      <c r="J227" s="31" t="n">
        <v>1</v>
      </c>
      <c r="K227" s="50" t="str">
        <f aca="false">C227&amp;"|"&amp;J227</f>
        <v>API-NOTIF|1</v>
      </c>
      <c r="L227" s="31" t="s">
        <v>977</v>
      </c>
      <c r="M227" s="31" t="n">
        <v>3</v>
      </c>
      <c r="N227" s="51" t="s">
        <v>462</v>
      </c>
      <c r="O227" s="35" t="s">
        <v>78</v>
      </c>
      <c r="P227" s="52"/>
      <c r="Q227" s="52"/>
      <c r="R227" s="33" t="n">
        <f aca="false">INDEX(Épopées!$L$6:$L$59,MATCH(K227,Épopées!$A$6:$A$59,0))</f>
        <v>46485</v>
      </c>
      <c r="S227" s="33" t="n">
        <f aca="false">INDEX(Épopées!$M$6:$M$59,MATCH(K227,Épopées!$A$6:$A$59,0))</f>
        <v>46505</v>
      </c>
      <c r="T227" s="53" t="s">
        <v>463</v>
      </c>
    </row>
    <row r="228" customFormat="false" ht="15" hidden="false" customHeight="false" outlineLevel="0" collapsed="false">
      <c r="A228" s="31" t="s">
        <v>991</v>
      </c>
      <c r="B228" s="31" t="s">
        <v>301</v>
      </c>
      <c r="C228" s="31" t="s">
        <v>318</v>
      </c>
      <c r="D228" s="31" t="s">
        <v>319</v>
      </c>
      <c r="E228" s="31" t="s">
        <v>992</v>
      </c>
      <c r="F228" s="31" t="s">
        <v>481</v>
      </c>
      <c r="G228" s="31" t="s">
        <v>461</v>
      </c>
      <c r="H228" s="31" t="s">
        <v>43</v>
      </c>
      <c r="I228" s="31" t="n">
        <f aca="false">VLOOKUP(H228,Paramètres!$A$15:$B$19,2,FALSE())</f>
        <v>2</v>
      </c>
      <c r="J228" s="31" t="n">
        <v>1</v>
      </c>
      <c r="K228" s="50" t="str">
        <f aca="false">C228&amp;"|"&amp;J228</f>
        <v>API-NOTIF|1</v>
      </c>
      <c r="L228" s="31" t="s">
        <v>993</v>
      </c>
      <c r="M228" s="31" t="n">
        <v>3</v>
      </c>
      <c r="N228" s="51" t="s">
        <v>462</v>
      </c>
      <c r="O228" s="35" t="s">
        <v>78</v>
      </c>
      <c r="P228" s="52"/>
      <c r="Q228" s="52"/>
      <c r="R228" s="33" t="n">
        <f aca="false">INDEX(Épopées!$L$6:$L$59,MATCH(K228,Épopées!$A$6:$A$59,0))</f>
        <v>46485</v>
      </c>
      <c r="S228" s="33" t="n">
        <f aca="false">INDEX(Épopées!$M$6:$M$59,MATCH(K228,Épopées!$A$6:$A$59,0))</f>
        <v>46505</v>
      </c>
      <c r="T228" s="53" t="s">
        <v>463</v>
      </c>
    </row>
    <row r="229" customFormat="false" ht="15" hidden="false" customHeight="false" outlineLevel="0" collapsed="false">
      <c r="A229" s="31" t="s">
        <v>994</v>
      </c>
      <c r="B229" s="31" t="s">
        <v>301</v>
      </c>
      <c r="C229" s="31" t="s">
        <v>318</v>
      </c>
      <c r="D229" s="31" t="s">
        <v>319</v>
      </c>
      <c r="E229" s="31" t="s">
        <v>995</v>
      </c>
      <c r="F229" s="31" t="s">
        <v>548</v>
      </c>
      <c r="G229" s="31" t="s">
        <v>461</v>
      </c>
      <c r="H229" s="31" t="s">
        <v>41</v>
      </c>
      <c r="I229" s="31" t="n">
        <f aca="false">VLOOKUP(H229,Paramètres!$A$15:$B$19,2,FALSE())</f>
        <v>1</v>
      </c>
      <c r="J229" s="31" t="n">
        <v>1</v>
      </c>
      <c r="K229" s="50" t="str">
        <f aca="false">C229&amp;"|"&amp;J229</f>
        <v>API-NOTIF|1</v>
      </c>
      <c r="L229" s="31" t="s">
        <v>991</v>
      </c>
      <c r="M229" s="31" t="n">
        <v>1</v>
      </c>
      <c r="N229" s="51" t="s">
        <v>462</v>
      </c>
      <c r="O229" s="35" t="s">
        <v>78</v>
      </c>
      <c r="P229" s="52"/>
      <c r="Q229" s="52"/>
      <c r="R229" s="33" t="n">
        <f aca="false">INDEX(Épopées!$L$6:$L$59,MATCH(K229,Épopées!$A$6:$A$59,0))</f>
        <v>46485</v>
      </c>
      <c r="S229" s="33" t="n">
        <f aca="false">INDEX(Épopées!$M$6:$M$59,MATCH(K229,Épopées!$A$6:$A$59,0))</f>
        <v>46505</v>
      </c>
      <c r="T229" s="53" t="s">
        <v>463</v>
      </c>
    </row>
    <row r="230" customFormat="false" ht="15" hidden="false" customHeight="false" outlineLevel="0" collapsed="false">
      <c r="A230" s="31" t="s">
        <v>996</v>
      </c>
      <c r="B230" s="31" t="s">
        <v>301</v>
      </c>
      <c r="C230" s="31" t="s">
        <v>318</v>
      </c>
      <c r="D230" s="31" t="s">
        <v>319</v>
      </c>
      <c r="E230" s="31" t="s">
        <v>997</v>
      </c>
      <c r="F230" s="31" t="s">
        <v>481</v>
      </c>
      <c r="G230" s="31" t="s">
        <v>461</v>
      </c>
      <c r="H230" s="31" t="s">
        <v>41</v>
      </c>
      <c r="I230" s="31" t="n">
        <f aca="false">VLOOKUP(H230,Paramètres!$A$15:$B$19,2,FALSE())</f>
        <v>1</v>
      </c>
      <c r="J230" s="31" t="n">
        <v>1</v>
      </c>
      <c r="K230" s="50" t="str">
        <f aca="false">C230&amp;"|"&amp;J230</f>
        <v>API-NOTIF|1</v>
      </c>
      <c r="L230" s="31" t="s">
        <v>991</v>
      </c>
      <c r="M230" s="31" t="n">
        <v>1</v>
      </c>
      <c r="N230" s="51" t="s">
        <v>462</v>
      </c>
      <c r="O230" s="35" t="s">
        <v>78</v>
      </c>
      <c r="P230" s="52"/>
      <c r="Q230" s="52"/>
      <c r="R230" s="33" t="n">
        <f aca="false">INDEX(Épopées!$L$6:$L$59,MATCH(K230,Épopées!$A$6:$A$59,0))</f>
        <v>46485</v>
      </c>
      <c r="S230" s="33" t="n">
        <f aca="false">INDEX(Épopées!$M$6:$M$59,MATCH(K230,Épopées!$A$6:$A$59,0))</f>
        <v>46505</v>
      </c>
      <c r="T230" s="53" t="s">
        <v>463</v>
      </c>
    </row>
    <row r="231" customFormat="false" ht="15" hidden="false" customHeight="false" outlineLevel="0" collapsed="false">
      <c r="A231" s="31" t="s">
        <v>998</v>
      </c>
      <c r="B231" s="31" t="s">
        <v>301</v>
      </c>
      <c r="C231" s="31" t="s">
        <v>318</v>
      </c>
      <c r="D231" s="31" t="s">
        <v>319</v>
      </c>
      <c r="E231" s="31" t="s">
        <v>999</v>
      </c>
      <c r="F231" s="31" t="s">
        <v>491</v>
      </c>
      <c r="G231" s="31" t="s">
        <v>461</v>
      </c>
      <c r="H231" s="31" t="s">
        <v>39</v>
      </c>
      <c r="I231" s="31" t="n">
        <f aca="false">VLOOKUP(H231,Paramètres!$A$15:$B$19,2,FALSE())</f>
        <v>0.5</v>
      </c>
      <c r="J231" s="31" t="n">
        <v>1</v>
      </c>
      <c r="K231" s="50" t="str">
        <f aca="false">C231&amp;"|"&amp;J231</f>
        <v>API-NOTIF|1</v>
      </c>
      <c r="L231" s="31" t="s">
        <v>994</v>
      </c>
      <c r="M231" s="31" t="n">
        <v>1</v>
      </c>
      <c r="N231" s="51" t="s">
        <v>462</v>
      </c>
      <c r="O231" s="35" t="s">
        <v>78</v>
      </c>
      <c r="P231" s="52"/>
      <c r="Q231" s="52"/>
      <c r="R231" s="33" t="n">
        <f aca="false">INDEX(Épopées!$L$6:$L$59,MATCH(K231,Épopées!$A$6:$A$59,0))</f>
        <v>46485</v>
      </c>
      <c r="S231" s="33" t="n">
        <f aca="false">INDEX(Épopées!$M$6:$M$59,MATCH(K231,Épopées!$A$6:$A$59,0))</f>
        <v>46505</v>
      </c>
      <c r="T231" s="53" t="s">
        <v>463</v>
      </c>
    </row>
    <row r="232" customFormat="false" ht="15" hidden="false" customHeight="false" outlineLevel="0" collapsed="false">
      <c r="A232" s="31" t="s">
        <v>1000</v>
      </c>
      <c r="B232" s="31" t="s">
        <v>301</v>
      </c>
      <c r="C232" s="31" t="s">
        <v>318</v>
      </c>
      <c r="D232" s="31" t="s">
        <v>319</v>
      </c>
      <c r="E232" s="31" t="s">
        <v>1001</v>
      </c>
      <c r="F232" s="31" t="s">
        <v>588</v>
      </c>
      <c r="G232" s="31" t="s">
        <v>461</v>
      </c>
      <c r="H232" s="31" t="s">
        <v>41</v>
      </c>
      <c r="I232" s="31" t="n">
        <f aca="false">VLOOKUP(H232,Paramètres!$A$15:$B$19,2,FALSE())</f>
        <v>1</v>
      </c>
      <c r="J232" s="31" t="n">
        <v>1</v>
      </c>
      <c r="K232" s="50" t="str">
        <f aca="false">C232&amp;"|"&amp;J232</f>
        <v>API-NOTIF|1</v>
      </c>
      <c r="L232" s="31" t="s">
        <v>989</v>
      </c>
      <c r="M232" s="31" t="n">
        <v>4</v>
      </c>
      <c r="N232" s="51" t="s">
        <v>462</v>
      </c>
      <c r="O232" s="35" t="s">
        <v>78</v>
      </c>
      <c r="P232" s="52"/>
      <c r="Q232" s="52"/>
      <c r="R232" s="33" t="n">
        <f aca="false">INDEX(Épopées!$L$6:$L$59,MATCH(K232,Épopées!$A$6:$A$59,0))</f>
        <v>46485</v>
      </c>
      <c r="S232" s="33" t="n">
        <f aca="false">INDEX(Épopées!$M$6:$M$59,MATCH(K232,Épopées!$A$6:$A$59,0))</f>
        <v>46505</v>
      </c>
      <c r="T232" s="53" t="s">
        <v>463</v>
      </c>
    </row>
    <row r="233" customFormat="false" ht="15" hidden="false" customHeight="false" outlineLevel="0" collapsed="false">
      <c r="A233" s="31" t="s">
        <v>1002</v>
      </c>
      <c r="B233" s="31" t="s">
        <v>301</v>
      </c>
      <c r="C233" s="31" t="s">
        <v>318</v>
      </c>
      <c r="D233" s="31" t="s">
        <v>319</v>
      </c>
      <c r="E233" s="31" t="s">
        <v>1003</v>
      </c>
      <c r="F233" s="31" t="s">
        <v>491</v>
      </c>
      <c r="G233" s="31" t="s">
        <v>461</v>
      </c>
      <c r="H233" s="31" t="s">
        <v>41</v>
      </c>
      <c r="I233" s="31" t="n">
        <f aca="false">VLOOKUP(H233,Paramètres!$A$15:$B$19,2,FALSE())</f>
        <v>1</v>
      </c>
      <c r="J233" s="31" t="n">
        <v>1</v>
      </c>
      <c r="K233" s="50" t="str">
        <f aca="false">C233&amp;"|"&amp;J233</f>
        <v>API-NOTIF|1</v>
      </c>
      <c r="L233" s="31" t="s">
        <v>1004</v>
      </c>
      <c r="M233" s="31" t="n">
        <v>2</v>
      </c>
      <c r="N233" s="51" t="s">
        <v>462</v>
      </c>
      <c r="O233" s="35" t="s">
        <v>78</v>
      </c>
      <c r="P233" s="52"/>
      <c r="Q233" s="52"/>
      <c r="R233" s="33" t="n">
        <f aca="false">INDEX(Épopées!$L$6:$L$59,MATCH(K233,Épopées!$A$6:$A$59,0))</f>
        <v>46485</v>
      </c>
      <c r="S233" s="33" t="n">
        <f aca="false">INDEX(Épopées!$M$6:$M$59,MATCH(K233,Épopées!$A$6:$A$59,0))</f>
        <v>46505</v>
      </c>
      <c r="T233" s="53" t="s">
        <v>463</v>
      </c>
    </row>
    <row r="234" customFormat="false" ht="15" hidden="false" customHeight="false" outlineLevel="0" collapsed="false">
      <c r="A234" s="31" t="s">
        <v>1005</v>
      </c>
      <c r="B234" s="31" t="s">
        <v>301</v>
      </c>
      <c r="C234" s="31" t="s">
        <v>318</v>
      </c>
      <c r="D234" s="31" t="s">
        <v>319</v>
      </c>
      <c r="E234" s="31" t="s">
        <v>1006</v>
      </c>
      <c r="F234" s="31" t="s">
        <v>491</v>
      </c>
      <c r="G234" s="31" t="s">
        <v>461</v>
      </c>
      <c r="H234" s="31" t="s">
        <v>43</v>
      </c>
      <c r="I234" s="31" t="n">
        <f aca="false">VLOOKUP(H234,Paramètres!$A$15:$B$19,2,FALSE())</f>
        <v>2</v>
      </c>
      <c r="J234" s="31" t="n">
        <v>1</v>
      </c>
      <c r="K234" s="50" t="str">
        <f aca="false">C234&amp;"|"&amp;J234</f>
        <v>API-NOTIF|1</v>
      </c>
      <c r="L234" s="31" t="s">
        <v>1004</v>
      </c>
      <c r="M234" s="31" t="n">
        <v>3</v>
      </c>
      <c r="N234" s="51" t="s">
        <v>462</v>
      </c>
      <c r="O234" s="35" t="s">
        <v>78</v>
      </c>
      <c r="P234" s="52"/>
      <c r="Q234" s="52"/>
      <c r="R234" s="33" t="n">
        <f aca="false">INDEX(Épopées!$L$6:$L$59,MATCH(K234,Épopées!$A$6:$A$59,0))</f>
        <v>46485</v>
      </c>
      <c r="S234" s="33" t="n">
        <f aca="false">INDEX(Épopées!$M$6:$M$59,MATCH(K234,Épopées!$A$6:$A$59,0))</f>
        <v>46505</v>
      </c>
      <c r="T234" s="53" t="s">
        <v>463</v>
      </c>
    </row>
    <row r="235" customFormat="false" ht="15" hidden="false" customHeight="false" outlineLevel="0" collapsed="false">
      <c r="A235" s="31" t="s">
        <v>1007</v>
      </c>
      <c r="B235" s="31" t="s">
        <v>301</v>
      </c>
      <c r="C235" s="31" t="s">
        <v>318</v>
      </c>
      <c r="D235" s="31" t="s">
        <v>319</v>
      </c>
      <c r="E235" s="31" t="s">
        <v>1008</v>
      </c>
      <c r="F235" s="31" t="s">
        <v>491</v>
      </c>
      <c r="G235" s="31" t="s">
        <v>466</v>
      </c>
      <c r="H235" s="31" t="s">
        <v>39</v>
      </c>
      <c r="I235" s="31" t="n">
        <f aca="false">VLOOKUP(H235,Paramètres!$A$15:$B$19,2,FALSE())</f>
        <v>0.5</v>
      </c>
      <c r="J235" s="31" t="n">
        <v>1</v>
      </c>
      <c r="K235" s="50" t="str">
        <f aca="false">C235&amp;"|"&amp;J235</f>
        <v>API-NOTIF|1</v>
      </c>
      <c r="L235" s="31" t="s">
        <v>1004</v>
      </c>
      <c r="M235" s="31" t="n">
        <v>2</v>
      </c>
      <c r="N235" s="51" t="s">
        <v>462</v>
      </c>
      <c r="O235" s="35" t="s">
        <v>78</v>
      </c>
      <c r="P235" s="52"/>
      <c r="Q235" s="52"/>
      <c r="R235" s="33" t="n">
        <f aca="false">INDEX(Épopées!$L$6:$L$59,MATCH(K235,Épopées!$A$6:$A$59,0))</f>
        <v>46485</v>
      </c>
      <c r="S235" s="33" t="n">
        <f aca="false">INDEX(Épopées!$M$6:$M$59,MATCH(K235,Épopées!$A$6:$A$59,0))</f>
        <v>46505</v>
      </c>
      <c r="T235" s="53" t="s">
        <v>463</v>
      </c>
    </row>
    <row r="236" customFormat="false" ht="15" hidden="false" customHeight="false" outlineLevel="0" collapsed="false">
      <c r="A236" s="31" t="s">
        <v>1009</v>
      </c>
      <c r="B236" s="31" t="s">
        <v>301</v>
      </c>
      <c r="C236" s="31" t="s">
        <v>318</v>
      </c>
      <c r="D236" s="31" t="s">
        <v>319</v>
      </c>
      <c r="E236" s="31" t="s">
        <v>1010</v>
      </c>
      <c r="F236" s="31" t="s">
        <v>491</v>
      </c>
      <c r="G236" s="31" t="s">
        <v>461</v>
      </c>
      <c r="H236" s="31" t="s">
        <v>41</v>
      </c>
      <c r="I236" s="31" t="n">
        <f aca="false">VLOOKUP(H236,Paramètres!$A$15:$B$19,2,FALSE())</f>
        <v>1</v>
      </c>
      <c r="J236" s="31" t="n">
        <v>1</v>
      </c>
      <c r="K236" s="50" t="str">
        <f aca="false">C236&amp;"|"&amp;J236</f>
        <v>API-NOTIF|1</v>
      </c>
      <c r="L236" s="31" t="s">
        <v>1011</v>
      </c>
      <c r="M236" s="31" t="n">
        <v>3</v>
      </c>
      <c r="N236" s="51" t="s">
        <v>462</v>
      </c>
      <c r="O236" s="35" t="s">
        <v>78</v>
      </c>
      <c r="P236" s="52"/>
      <c r="Q236" s="52"/>
      <c r="R236" s="33" t="n">
        <f aca="false">INDEX(Épopées!$L$6:$L$59,MATCH(K236,Épopées!$A$6:$A$59,0))</f>
        <v>46485</v>
      </c>
      <c r="S236" s="33" t="n">
        <f aca="false">INDEX(Épopées!$M$6:$M$59,MATCH(K236,Épopées!$A$6:$A$59,0))</f>
        <v>46505</v>
      </c>
      <c r="T236" s="53" t="s">
        <v>463</v>
      </c>
    </row>
    <row r="237" customFormat="false" ht="15" hidden="false" customHeight="false" outlineLevel="0" collapsed="false">
      <c r="A237" s="31" t="s">
        <v>1012</v>
      </c>
      <c r="B237" s="31" t="s">
        <v>301</v>
      </c>
      <c r="C237" s="31" t="s">
        <v>318</v>
      </c>
      <c r="D237" s="31" t="s">
        <v>319</v>
      </c>
      <c r="E237" s="31" t="s">
        <v>1013</v>
      </c>
      <c r="F237" s="31" t="s">
        <v>491</v>
      </c>
      <c r="G237" s="31" t="s">
        <v>466</v>
      </c>
      <c r="H237" s="31" t="s">
        <v>41</v>
      </c>
      <c r="I237" s="31" t="n">
        <f aca="false">VLOOKUP(H237,Paramètres!$A$15:$B$19,2,FALSE())</f>
        <v>1</v>
      </c>
      <c r="J237" s="31" t="n">
        <v>1</v>
      </c>
      <c r="K237" s="50" t="str">
        <f aca="false">C237&amp;"|"&amp;J237</f>
        <v>API-NOTIF|1</v>
      </c>
      <c r="L237" s="31" t="s">
        <v>1004</v>
      </c>
      <c r="M237" s="31" t="n">
        <v>2</v>
      </c>
      <c r="N237" s="51" t="s">
        <v>462</v>
      </c>
      <c r="O237" s="35" t="s">
        <v>78</v>
      </c>
      <c r="P237" s="52"/>
      <c r="Q237" s="52"/>
      <c r="R237" s="33" t="n">
        <f aca="false">INDEX(Épopées!$L$6:$L$59,MATCH(K237,Épopées!$A$6:$A$59,0))</f>
        <v>46485</v>
      </c>
      <c r="S237" s="33" t="n">
        <f aca="false">INDEX(Épopées!$M$6:$M$59,MATCH(K237,Épopées!$A$6:$A$59,0))</f>
        <v>46505</v>
      </c>
      <c r="T237" s="53" t="s">
        <v>463</v>
      </c>
    </row>
    <row r="238" customFormat="false" ht="15" hidden="false" customHeight="false" outlineLevel="0" collapsed="false">
      <c r="A238" s="31" t="s">
        <v>1014</v>
      </c>
      <c r="B238" s="31" t="s">
        <v>301</v>
      </c>
      <c r="C238" s="31" t="s">
        <v>318</v>
      </c>
      <c r="D238" s="31" t="s">
        <v>319</v>
      </c>
      <c r="E238" s="31" t="s">
        <v>1015</v>
      </c>
      <c r="F238" s="31" t="s">
        <v>491</v>
      </c>
      <c r="G238" s="31" t="s">
        <v>466</v>
      </c>
      <c r="H238" s="31" t="s">
        <v>41</v>
      </c>
      <c r="I238" s="31" t="n">
        <f aca="false">VLOOKUP(H238,Paramètres!$A$15:$B$19,2,FALSE())</f>
        <v>1</v>
      </c>
      <c r="J238" s="31" t="n">
        <v>1</v>
      </c>
      <c r="K238" s="50" t="str">
        <f aca="false">C238&amp;"|"&amp;J238</f>
        <v>API-NOTIF|1</v>
      </c>
      <c r="L238" s="31" t="s">
        <v>1004</v>
      </c>
      <c r="M238" s="31" t="n">
        <v>2</v>
      </c>
      <c r="N238" s="51" t="s">
        <v>462</v>
      </c>
      <c r="O238" s="35" t="s">
        <v>78</v>
      </c>
      <c r="P238" s="52"/>
      <c r="Q238" s="52"/>
      <c r="R238" s="33" t="n">
        <f aca="false">INDEX(Épopées!$L$6:$L$59,MATCH(K238,Épopées!$A$6:$A$59,0))</f>
        <v>46485</v>
      </c>
      <c r="S238" s="33" t="n">
        <f aca="false">INDEX(Épopées!$M$6:$M$59,MATCH(K238,Épopées!$A$6:$A$59,0))</f>
        <v>46505</v>
      </c>
      <c r="T238" s="53" t="s">
        <v>463</v>
      </c>
    </row>
    <row r="239" customFormat="false" ht="15" hidden="false" customHeight="false" outlineLevel="0" collapsed="false">
      <c r="A239" s="31" t="s">
        <v>1016</v>
      </c>
      <c r="B239" s="31" t="s">
        <v>301</v>
      </c>
      <c r="C239" s="31" t="s">
        <v>318</v>
      </c>
      <c r="D239" s="31" t="s">
        <v>319</v>
      </c>
      <c r="E239" s="31" t="s">
        <v>1017</v>
      </c>
      <c r="F239" s="31" t="s">
        <v>491</v>
      </c>
      <c r="G239" s="31" t="s">
        <v>466</v>
      </c>
      <c r="H239" s="31" t="s">
        <v>39</v>
      </c>
      <c r="I239" s="31" t="n">
        <f aca="false">VLOOKUP(H239,Paramètres!$A$15:$B$19,2,FALSE())</f>
        <v>0.5</v>
      </c>
      <c r="J239" s="31" t="n">
        <v>1</v>
      </c>
      <c r="K239" s="50" t="str">
        <f aca="false">C239&amp;"|"&amp;J239</f>
        <v>API-NOTIF|1</v>
      </c>
      <c r="L239" s="31" t="s">
        <v>1004</v>
      </c>
      <c r="M239" s="31" t="n">
        <v>1</v>
      </c>
      <c r="N239" s="51" t="s">
        <v>462</v>
      </c>
      <c r="O239" s="35" t="s">
        <v>78</v>
      </c>
      <c r="P239" s="52"/>
      <c r="Q239" s="52"/>
      <c r="R239" s="33" t="n">
        <f aca="false">INDEX(Épopées!$L$6:$L$59,MATCH(K239,Épopées!$A$6:$A$59,0))</f>
        <v>46485</v>
      </c>
      <c r="S239" s="33" t="n">
        <f aca="false">INDEX(Épopées!$M$6:$M$59,MATCH(K239,Épopées!$A$6:$A$59,0))</f>
        <v>46505</v>
      </c>
      <c r="T239" s="53" t="s">
        <v>463</v>
      </c>
    </row>
    <row r="240" customFormat="false" ht="15" hidden="false" customHeight="false" outlineLevel="0" collapsed="false">
      <c r="A240" s="31" t="s">
        <v>1018</v>
      </c>
      <c r="B240" s="31" t="s">
        <v>301</v>
      </c>
      <c r="C240" s="31" t="s">
        <v>318</v>
      </c>
      <c r="D240" s="31" t="s">
        <v>319</v>
      </c>
      <c r="E240" s="31" t="s">
        <v>1019</v>
      </c>
      <c r="F240" s="31" t="s">
        <v>460</v>
      </c>
      <c r="G240" s="31" t="s">
        <v>461</v>
      </c>
      <c r="H240" s="31" t="s">
        <v>41</v>
      </c>
      <c r="I240" s="31" t="n">
        <f aca="false">VLOOKUP(H240,Paramètres!$A$15:$B$19,2,FALSE())</f>
        <v>1</v>
      </c>
      <c r="J240" s="31" t="n">
        <v>1</v>
      </c>
      <c r="K240" s="50" t="str">
        <f aca="false">C240&amp;"|"&amp;J240</f>
        <v>API-NOTIF|1</v>
      </c>
      <c r="L240" s="31" t="s">
        <v>977</v>
      </c>
      <c r="M240" s="31" t="n">
        <v>2</v>
      </c>
      <c r="N240" s="51" t="s">
        <v>462</v>
      </c>
      <c r="O240" s="35" t="s">
        <v>78</v>
      </c>
      <c r="P240" s="52"/>
      <c r="Q240" s="52"/>
      <c r="R240" s="33" t="n">
        <f aca="false">INDEX(Épopées!$L$6:$L$59,MATCH(K240,Épopées!$A$6:$A$59,0))</f>
        <v>46485</v>
      </c>
      <c r="S240" s="33" t="n">
        <f aca="false">INDEX(Épopées!$M$6:$M$59,MATCH(K240,Épopées!$A$6:$A$59,0))</f>
        <v>46505</v>
      </c>
      <c r="T240" s="53" t="s">
        <v>463</v>
      </c>
    </row>
    <row r="241" customFormat="false" ht="15" hidden="false" customHeight="false" outlineLevel="0" collapsed="false">
      <c r="A241" s="31" t="s">
        <v>1020</v>
      </c>
      <c r="B241" s="31" t="s">
        <v>301</v>
      </c>
      <c r="C241" s="31" t="s">
        <v>318</v>
      </c>
      <c r="D241" s="31" t="s">
        <v>319</v>
      </c>
      <c r="E241" s="31" t="s">
        <v>1021</v>
      </c>
      <c r="F241" s="31" t="s">
        <v>460</v>
      </c>
      <c r="G241" s="31" t="s">
        <v>461</v>
      </c>
      <c r="H241" s="31" t="s">
        <v>41</v>
      </c>
      <c r="I241" s="31" t="n">
        <f aca="false">VLOOKUP(H241,Paramètres!$A$15:$B$19,2,FALSE())</f>
        <v>1</v>
      </c>
      <c r="J241" s="31" t="n">
        <v>1</v>
      </c>
      <c r="K241" s="50" t="str">
        <f aca="false">C241&amp;"|"&amp;J241</f>
        <v>API-NOTIF|1</v>
      </c>
      <c r="L241" s="31" t="s">
        <v>1018</v>
      </c>
      <c r="M241" s="31" t="n">
        <v>2</v>
      </c>
      <c r="N241" s="51" t="s">
        <v>462</v>
      </c>
      <c r="O241" s="35" t="s">
        <v>78</v>
      </c>
      <c r="P241" s="52"/>
      <c r="Q241" s="52"/>
      <c r="R241" s="33" t="n">
        <f aca="false">INDEX(Épopées!$L$6:$L$59,MATCH(K241,Épopées!$A$6:$A$59,0))</f>
        <v>46485</v>
      </c>
      <c r="S241" s="33" t="n">
        <f aca="false">INDEX(Épopées!$M$6:$M$59,MATCH(K241,Épopées!$A$6:$A$59,0))</f>
        <v>46505</v>
      </c>
      <c r="T241" s="53" t="s">
        <v>463</v>
      </c>
    </row>
    <row r="242" customFormat="false" ht="15" hidden="false" customHeight="false" outlineLevel="0" collapsed="false">
      <c r="A242" s="31" t="s">
        <v>1022</v>
      </c>
      <c r="B242" s="31" t="s">
        <v>301</v>
      </c>
      <c r="C242" s="31" t="s">
        <v>318</v>
      </c>
      <c r="D242" s="31" t="s">
        <v>319</v>
      </c>
      <c r="E242" s="31" t="s">
        <v>1023</v>
      </c>
      <c r="F242" s="31" t="s">
        <v>460</v>
      </c>
      <c r="G242" s="31" t="s">
        <v>461</v>
      </c>
      <c r="H242" s="31" t="s">
        <v>41</v>
      </c>
      <c r="I242" s="31" t="n">
        <f aca="false">VLOOKUP(H242,Paramètres!$A$15:$B$19,2,FALSE())</f>
        <v>1</v>
      </c>
      <c r="J242" s="31" t="n">
        <v>1</v>
      </c>
      <c r="K242" s="50" t="str">
        <f aca="false">C242&amp;"|"&amp;J242</f>
        <v>API-NOTIF|1</v>
      </c>
      <c r="L242" s="31" t="s">
        <v>1024</v>
      </c>
      <c r="M242" s="31" t="n">
        <v>1</v>
      </c>
      <c r="N242" s="51" t="s">
        <v>462</v>
      </c>
      <c r="O242" s="35" t="s">
        <v>78</v>
      </c>
      <c r="P242" s="52"/>
      <c r="Q242" s="52"/>
      <c r="R242" s="33" t="n">
        <f aca="false">INDEX(Épopées!$L$6:$L$59,MATCH(K242,Épopées!$A$6:$A$59,0))</f>
        <v>46485</v>
      </c>
      <c r="S242" s="33" t="n">
        <f aca="false">INDEX(Épopées!$M$6:$M$59,MATCH(K242,Épopées!$A$6:$A$59,0))</f>
        <v>46505</v>
      </c>
      <c r="T242" s="53" t="s">
        <v>463</v>
      </c>
    </row>
    <row r="243" customFormat="false" ht="15" hidden="false" customHeight="false" outlineLevel="0" collapsed="false">
      <c r="A243" s="31" t="s">
        <v>1025</v>
      </c>
      <c r="B243" s="31" t="s">
        <v>301</v>
      </c>
      <c r="C243" s="31" t="s">
        <v>318</v>
      </c>
      <c r="D243" s="31" t="s">
        <v>319</v>
      </c>
      <c r="E243" s="31" t="s">
        <v>1026</v>
      </c>
      <c r="F243" s="31" t="s">
        <v>460</v>
      </c>
      <c r="G243" s="31" t="s">
        <v>461</v>
      </c>
      <c r="H243" s="31" t="s">
        <v>41</v>
      </c>
      <c r="I243" s="31" t="n">
        <f aca="false">VLOOKUP(H243,Paramètres!$A$15:$B$19,2,FALSE())</f>
        <v>1</v>
      </c>
      <c r="J243" s="31" t="n">
        <v>1</v>
      </c>
      <c r="K243" s="50" t="str">
        <f aca="false">C243&amp;"|"&amp;J243</f>
        <v>API-NOTIF|1</v>
      </c>
      <c r="L243" s="31" t="s">
        <v>1027</v>
      </c>
      <c r="M243" s="31" t="n">
        <v>2</v>
      </c>
      <c r="N243" s="51" t="s">
        <v>462</v>
      </c>
      <c r="O243" s="35" t="s">
        <v>78</v>
      </c>
      <c r="P243" s="52"/>
      <c r="Q243" s="52"/>
      <c r="R243" s="33" t="n">
        <f aca="false">INDEX(Épopées!$L$6:$L$59,MATCH(K243,Épopées!$A$6:$A$59,0))</f>
        <v>46485</v>
      </c>
      <c r="S243" s="33" t="n">
        <f aca="false">INDEX(Épopées!$M$6:$M$59,MATCH(K243,Épopées!$A$6:$A$59,0))</f>
        <v>46505</v>
      </c>
      <c r="T243" s="53" t="s">
        <v>463</v>
      </c>
    </row>
    <row r="244" customFormat="false" ht="15" hidden="false" customHeight="false" outlineLevel="0" collapsed="false">
      <c r="A244" s="31" t="s">
        <v>1028</v>
      </c>
      <c r="B244" s="31" t="s">
        <v>301</v>
      </c>
      <c r="C244" s="31" t="s">
        <v>318</v>
      </c>
      <c r="D244" s="31" t="s">
        <v>319</v>
      </c>
      <c r="E244" s="31" t="s">
        <v>1029</v>
      </c>
      <c r="F244" s="31" t="s">
        <v>469</v>
      </c>
      <c r="G244" s="31" t="s">
        <v>461</v>
      </c>
      <c r="H244" s="31" t="s">
        <v>41</v>
      </c>
      <c r="I244" s="31" t="n">
        <f aca="false">VLOOKUP(H244,Paramètres!$A$15:$B$19,2,FALSE())</f>
        <v>1</v>
      </c>
      <c r="J244" s="31" t="n">
        <v>1</v>
      </c>
      <c r="K244" s="50" t="str">
        <f aca="false">C244&amp;"|"&amp;J244</f>
        <v>API-NOTIF|1</v>
      </c>
      <c r="L244" s="31" t="s">
        <v>1030</v>
      </c>
      <c r="M244" s="31" t="n">
        <v>2</v>
      </c>
      <c r="N244" s="51" t="s">
        <v>462</v>
      </c>
      <c r="O244" s="35" t="s">
        <v>78</v>
      </c>
      <c r="P244" s="52"/>
      <c r="Q244" s="52"/>
      <c r="R244" s="33" t="n">
        <f aca="false">INDEX(Épopées!$L$6:$L$59,MATCH(K244,Épopées!$A$6:$A$59,0))</f>
        <v>46485</v>
      </c>
      <c r="S244" s="33" t="n">
        <f aca="false">INDEX(Épopées!$M$6:$M$59,MATCH(K244,Épopées!$A$6:$A$59,0))</f>
        <v>46505</v>
      </c>
      <c r="T244" s="53" t="s">
        <v>463</v>
      </c>
    </row>
    <row r="245" customFormat="false" ht="15" hidden="false" customHeight="false" outlineLevel="0" collapsed="false">
      <c r="A245" s="31" t="s">
        <v>1031</v>
      </c>
      <c r="B245" s="31" t="s">
        <v>301</v>
      </c>
      <c r="C245" s="31" t="s">
        <v>318</v>
      </c>
      <c r="D245" s="31" t="s">
        <v>319</v>
      </c>
      <c r="E245" s="31" t="s">
        <v>1032</v>
      </c>
      <c r="F245" s="31" t="s">
        <v>491</v>
      </c>
      <c r="G245" s="31" t="s">
        <v>466</v>
      </c>
      <c r="H245" s="31" t="s">
        <v>39</v>
      </c>
      <c r="I245" s="31" t="n">
        <f aca="false">VLOOKUP(H245,Paramètres!$A$15:$B$19,2,FALSE())</f>
        <v>0.5</v>
      </c>
      <c r="J245" s="31" t="n">
        <v>1</v>
      </c>
      <c r="K245" s="50" t="str">
        <f aca="false">C245&amp;"|"&amp;J245</f>
        <v>API-NOTIF|1</v>
      </c>
      <c r="L245" s="31" t="s">
        <v>1028</v>
      </c>
      <c r="M245" s="31" t="n">
        <v>1</v>
      </c>
      <c r="N245" s="51" t="s">
        <v>462</v>
      </c>
      <c r="O245" s="35" t="s">
        <v>78</v>
      </c>
      <c r="P245" s="52"/>
      <c r="Q245" s="52"/>
      <c r="R245" s="33" t="n">
        <f aca="false">INDEX(Épopées!$L$6:$L$59,MATCH(K245,Épopées!$A$6:$A$59,0))</f>
        <v>46485</v>
      </c>
      <c r="S245" s="33" t="n">
        <f aca="false">INDEX(Épopées!$M$6:$M$59,MATCH(K245,Épopées!$A$6:$A$59,0))</f>
        <v>46505</v>
      </c>
      <c r="T245" s="53" t="s">
        <v>463</v>
      </c>
    </row>
    <row r="246" customFormat="false" ht="15" hidden="false" customHeight="false" outlineLevel="0" collapsed="false">
      <c r="A246" s="31" t="s">
        <v>1033</v>
      </c>
      <c r="B246" s="31" t="s">
        <v>301</v>
      </c>
      <c r="C246" s="31" t="s">
        <v>318</v>
      </c>
      <c r="D246" s="31" t="s">
        <v>319</v>
      </c>
      <c r="E246" s="31" t="s">
        <v>1034</v>
      </c>
      <c r="F246" s="31" t="s">
        <v>460</v>
      </c>
      <c r="G246" s="31" t="s">
        <v>466</v>
      </c>
      <c r="H246" s="31" t="s">
        <v>39</v>
      </c>
      <c r="I246" s="31" t="n">
        <f aca="false">VLOOKUP(H246,Paramètres!$A$15:$B$19,2,FALSE())</f>
        <v>0.5</v>
      </c>
      <c r="J246" s="31" t="n">
        <v>1</v>
      </c>
      <c r="K246" s="50" t="str">
        <f aca="false">C246&amp;"|"&amp;J246</f>
        <v>API-NOTIF|1</v>
      </c>
      <c r="L246" s="31" t="s">
        <v>1028</v>
      </c>
      <c r="M246" s="31" t="n">
        <v>1</v>
      </c>
      <c r="N246" s="51" t="s">
        <v>462</v>
      </c>
      <c r="O246" s="35" t="s">
        <v>78</v>
      </c>
      <c r="P246" s="52"/>
      <c r="Q246" s="52"/>
      <c r="R246" s="33" t="n">
        <f aca="false">INDEX(Épopées!$L$6:$L$59,MATCH(K246,Épopées!$A$6:$A$59,0))</f>
        <v>46485</v>
      </c>
      <c r="S246" s="33" t="n">
        <f aca="false">INDEX(Épopées!$M$6:$M$59,MATCH(K246,Épopées!$A$6:$A$59,0))</f>
        <v>46505</v>
      </c>
      <c r="T246" s="53" t="s">
        <v>463</v>
      </c>
    </row>
    <row r="247" customFormat="false" ht="15" hidden="false" customHeight="false" outlineLevel="0" collapsed="false">
      <c r="A247" s="31" t="s">
        <v>1035</v>
      </c>
      <c r="B247" s="31" t="s">
        <v>301</v>
      </c>
      <c r="C247" s="31" t="s">
        <v>318</v>
      </c>
      <c r="D247" s="31" t="s">
        <v>319</v>
      </c>
      <c r="E247" s="31" t="s">
        <v>1036</v>
      </c>
      <c r="F247" s="31" t="s">
        <v>469</v>
      </c>
      <c r="G247" s="31" t="s">
        <v>466</v>
      </c>
      <c r="H247" s="31" t="s">
        <v>39</v>
      </c>
      <c r="I247" s="31" t="n">
        <f aca="false">VLOOKUP(H247,Paramètres!$A$15:$B$19,2,FALSE())</f>
        <v>0.5</v>
      </c>
      <c r="J247" s="31" t="n">
        <v>1</v>
      </c>
      <c r="K247" s="50" t="str">
        <f aca="false">C247&amp;"|"&amp;J247</f>
        <v>API-NOTIF|1</v>
      </c>
      <c r="L247" s="31" t="s">
        <v>1028</v>
      </c>
      <c r="M247" s="31" t="n">
        <v>2</v>
      </c>
      <c r="N247" s="51" t="s">
        <v>462</v>
      </c>
      <c r="O247" s="35" t="s">
        <v>78</v>
      </c>
      <c r="P247" s="52"/>
      <c r="Q247" s="52"/>
      <c r="R247" s="33" t="n">
        <f aca="false">INDEX(Épopées!$L$6:$L$59,MATCH(K247,Épopées!$A$6:$A$59,0))</f>
        <v>46485</v>
      </c>
      <c r="S247" s="33" t="n">
        <f aca="false">INDEX(Épopées!$M$6:$M$59,MATCH(K247,Épopées!$A$6:$A$59,0))</f>
        <v>46505</v>
      </c>
      <c r="T247" s="53" t="s">
        <v>463</v>
      </c>
    </row>
    <row r="248" customFormat="false" ht="15" hidden="false" customHeight="false" outlineLevel="0" collapsed="false">
      <c r="A248" s="31" t="s">
        <v>1037</v>
      </c>
      <c r="B248" s="31" t="s">
        <v>301</v>
      </c>
      <c r="C248" s="31" t="s">
        <v>318</v>
      </c>
      <c r="D248" s="31" t="s">
        <v>319</v>
      </c>
      <c r="E248" s="31" t="s">
        <v>1038</v>
      </c>
      <c r="F248" s="31" t="s">
        <v>491</v>
      </c>
      <c r="G248" s="31" t="s">
        <v>466</v>
      </c>
      <c r="H248" s="31" t="s">
        <v>41</v>
      </c>
      <c r="I248" s="31" t="n">
        <f aca="false">VLOOKUP(H248,Paramètres!$A$15:$B$19,2,FALSE())</f>
        <v>1</v>
      </c>
      <c r="J248" s="31" t="n">
        <v>1</v>
      </c>
      <c r="K248" s="50" t="str">
        <f aca="false">C248&amp;"|"&amp;J248</f>
        <v>API-NOTIF|1</v>
      </c>
      <c r="L248" s="31" t="s">
        <v>991</v>
      </c>
      <c r="M248" s="31" t="n">
        <v>2</v>
      </c>
      <c r="N248" s="51" t="s">
        <v>462</v>
      </c>
      <c r="O248" s="35" t="s">
        <v>78</v>
      </c>
      <c r="P248" s="52"/>
      <c r="Q248" s="52"/>
      <c r="R248" s="33" t="n">
        <f aca="false">INDEX(Épopées!$L$6:$L$59,MATCH(K248,Épopées!$A$6:$A$59,0))</f>
        <v>46485</v>
      </c>
      <c r="S248" s="33" t="n">
        <f aca="false">INDEX(Épopées!$M$6:$M$59,MATCH(K248,Épopées!$A$6:$A$59,0))</f>
        <v>46505</v>
      </c>
      <c r="T248" s="53" t="s">
        <v>463</v>
      </c>
    </row>
    <row r="249" customFormat="false" ht="15" hidden="false" customHeight="false" outlineLevel="0" collapsed="false">
      <c r="A249" s="31" t="s">
        <v>1039</v>
      </c>
      <c r="B249" s="31" t="s">
        <v>301</v>
      </c>
      <c r="C249" s="31" t="s">
        <v>318</v>
      </c>
      <c r="D249" s="31" t="s">
        <v>319</v>
      </c>
      <c r="E249" s="31" t="s">
        <v>1040</v>
      </c>
      <c r="F249" s="31" t="s">
        <v>472</v>
      </c>
      <c r="G249" s="31" t="s">
        <v>466</v>
      </c>
      <c r="H249" s="31" t="s">
        <v>43</v>
      </c>
      <c r="I249" s="31" t="n">
        <f aca="false">VLOOKUP(H249,Paramètres!$A$15:$B$19,2,FALSE())</f>
        <v>2</v>
      </c>
      <c r="J249" s="31" t="n">
        <v>1</v>
      </c>
      <c r="K249" s="50" t="str">
        <f aca="false">C249&amp;"|"&amp;J249</f>
        <v>API-NOTIF|1</v>
      </c>
      <c r="L249" s="31" t="s">
        <v>1041</v>
      </c>
      <c r="M249" s="31" t="n">
        <v>12</v>
      </c>
      <c r="N249" s="51" t="s">
        <v>462</v>
      </c>
      <c r="O249" s="35" t="s">
        <v>78</v>
      </c>
      <c r="P249" s="52"/>
      <c r="Q249" s="52"/>
      <c r="R249" s="33" t="n">
        <f aca="false">INDEX(Épopées!$L$6:$L$59,MATCH(K249,Épopées!$A$6:$A$59,0))</f>
        <v>46485</v>
      </c>
      <c r="S249" s="33" t="n">
        <f aca="false">INDEX(Épopées!$M$6:$M$59,MATCH(K249,Épopées!$A$6:$A$59,0))</f>
        <v>46505</v>
      </c>
      <c r="T249" s="53" t="s">
        <v>463</v>
      </c>
    </row>
    <row r="250" customFormat="false" ht="15" hidden="false" customHeight="false" outlineLevel="0" collapsed="false">
      <c r="A250" s="31" t="s">
        <v>1042</v>
      </c>
      <c r="B250" s="31" t="s">
        <v>301</v>
      </c>
      <c r="C250" s="31" t="s">
        <v>318</v>
      </c>
      <c r="D250" s="31" t="s">
        <v>319</v>
      </c>
      <c r="E250" s="31" t="s">
        <v>1043</v>
      </c>
      <c r="F250" s="31" t="s">
        <v>548</v>
      </c>
      <c r="G250" s="31" t="s">
        <v>466</v>
      </c>
      <c r="H250" s="31" t="s">
        <v>41</v>
      </c>
      <c r="I250" s="31" t="n">
        <f aca="false">VLOOKUP(H250,Paramètres!$A$15:$B$19,2,FALSE())</f>
        <v>1</v>
      </c>
      <c r="J250" s="31" t="n">
        <v>1</v>
      </c>
      <c r="K250" s="50" t="str">
        <f aca="false">C250&amp;"|"&amp;J250</f>
        <v>API-NOTIF|1</v>
      </c>
      <c r="L250" s="31" t="s">
        <v>1044</v>
      </c>
      <c r="M250" s="31" t="n">
        <v>2</v>
      </c>
      <c r="N250" s="51" t="s">
        <v>462</v>
      </c>
      <c r="O250" s="35" t="s">
        <v>78</v>
      </c>
      <c r="P250" s="52"/>
      <c r="Q250" s="52"/>
      <c r="R250" s="33" t="n">
        <f aca="false">INDEX(Épopées!$L$6:$L$59,MATCH(K250,Épopées!$A$6:$A$59,0))</f>
        <v>46485</v>
      </c>
      <c r="S250" s="33" t="n">
        <f aca="false">INDEX(Épopées!$M$6:$M$59,MATCH(K250,Épopées!$A$6:$A$59,0))</f>
        <v>46505</v>
      </c>
      <c r="T250" s="53" t="s">
        <v>463</v>
      </c>
    </row>
    <row r="251" customFormat="false" ht="15" hidden="false" customHeight="false" outlineLevel="0" collapsed="false">
      <c r="A251" s="31" t="s">
        <v>1045</v>
      </c>
      <c r="B251" s="31" t="s">
        <v>301</v>
      </c>
      <c r="C251" s="31" t="s">
        <v>318</v>
      </c>
      <c r="D251" s="31" t="s">
        <v>319</v>
      </c>
      <c r="E251" s="31" t="s">
        <v>1046</v>
      </c>
      <c r="F251" s="31" t="s">
        <v>503</v>
      </c>
      <c r="G251" s="31" t="s">
        <v>612</v>
      </c>
      <c r="H251" s="31" t="s">
        <v>39</v>
      </c>
      <c r="I251" s="31" t="n">
        <f aca="false">VLOOKUP(H251,Paramètres!$A$15:$B$19,2,FALSE())</f>
        <v>0.5</v>
      </c>
      <c r="J251" s="31" t="n">
        <v>1</v>
      </c>
      <c r="K251" s="50" t="str">
        <f aca="false">C251&amp;"|"&amp;J251</f>
        <v>API-NOTIF|1</v>
      </c>
      <c r="L251" s="31" t="s">
        <v>1047</v>
      </c>
      <c r="M251" s="31" t="n">
        <v>3</v>
      </c>
      <c r="N251" s="51" t="s">
        <v>462</v>
      </c>
      <c r="O251" s="35" t="s">
        <v>78</v>
      </c>
      <c r="P251" s="52"/>
      <c r="Q251" s="52"/>
      <c r="R251" s="33" t="n">
        <f aca="false">INDEX(Épopées!$L$6:$L$59,MATCH(K251,Épopées!$A$6:$A$59,0))</f>
        <v>46485</v>
      </c>
      <c r="S251" s="33" t="n">
        <f aca="false">INDEX(Épopées!$M$6:$M$59,MATCH(K251,Épopées!$A$6:$A$59,0))</f>
        <v>46505</v>
      </c>
      <c r="T251" s="53" t="s">
        <v>463</v>
      </c>
    </row>
    <row r="252" customFormat="false" ht="15" hidden="false" customHeight="false" outlineLevel="0" collapsed="false">
      <c r="A252" s="31" t="s">
        <v>1048</v>
      </c>
      <c r="B252" s="31" t="s">
        <v>301</v>
      </c>
      <c r="C252" s="31" t="s">
        <v>321</v>
      </c>
      <c r="D252" s="31" t="s">
        <v>131</v>
      </c>
      <c r="E252" s="31" t="s">
        <v>1049</v>
      </c>
      <c r="F252" s="31" t="s">
        <v>486</v>
      </c>
      <c r="G252" s="31" t="s">
        <v>461</v>
      </c>
      <c r="H252" s="31" t="s">
        <v>41</v>
      </c>
      <c r="I252" s="31" t="n">
        <f aca="false">VLOOKUP(H252,Paramètres!$A$15:$B$19,2,FALSE())</f>
        <v>1</v>
      </c>
      <c r="J252" s="31" t="n">
        <v>1</v>
      </c>
      <c r="K252" s="50" t="str">
        <f aca="false">C252&amp;"|"&amp;J252</f>
        <v>API-IA|1</v>
      </c>
      <c r="L252" s="31"/>
      <c r="M252" s="31" t="n">
        <v>3</v>
      </c>
      <c r="N252" s="51" t="s">
        <v>462</v>
      </c>
      <c r="O252" s="35" t="s">
        <v>78</v>
      </c>
      <c r="P252" s="52"/>
      <c r="Q252" s="52"/>
      <c r="R252" s="33" t="n">
        <f aca="false">INDEX(Épopées!$L$6:$L$59,MATCH(K252,Épopées!$A$6:$A$59,0))</f>
        <v>46506</v>
      </c>
      <c r="S252" s="33" t="n">
        <f aca="false">INDEX(Épopées!$M$6:$M$59,MATCH(K252,Épopées!$A$6:$A$59,0))</f>
        <v>46526</v>
      </c>
      <c r="T252" s="53" t="s">
        <v>463</v>
      </c>
    </row>
    <row r="253" customFormat="false" ht="15" hidden="false" customHeight="false" outlineLevel="0" collapsed="false">
      <c r="A253" s="31" t="s">
        <v>1050</v>
      </c>
      <c r="B253" s="31" t="s">
        <v>301</v>
      </c>
      <c r="C253" s="31" t="s">
        <v>321</v>
      </c>
      <c r="D253" s="31" t="s">
        <v>131</v>
      </c>
      <c r="E253" s="31" t="s">
        <v>1051</v>
      </c>
      <c r="F253" s="31" t="s">
        <v>486</v>
      </c>
      <c r="G253" s="31" t="s">
        <v>461</v>
      </c>
      <c r="H253" s="31" t="s">
        <v>39</v>
      </c>
      <c r="I253" s="31" t="n">
        <f aca="false">VLOOKUP(H253,Paramètres!$A$15:$B$19,2,FALSE())</f>
        <v>0.5</v>
      </c>
      <c r="J253" s="31" t="n">
        <v>1</v>
      </c>
      <c r="K253" s="50" t="str">
        <f aca="false">C253&amp;"|"&amp;J253</f>
        <v>API-IA|1</v>
      </c>
      <c r="L253" s="31" t="s">
        <v>1048</v>
      </c>
      <c r="M253" s="31" t="n">
        <v>4</v>
      </c>
      <c r="N253" s="51" t="s">
        <v>462</v>
      </c>
      <c r="O253" s="35" t="s">
        <v>78</v>
      </c>
      <c r="P253" s="52"/>
      <c r="Q253" s="52"/>
      <c r="R253" s="33" t="n">
        <f aca="false">INDEX(Épopées!$L$6:$L$59,MATCH(K253,Épopées!$A$6:$A$59,0))</f>
        <v>46506</v>
      </c>
      <c r="S253" s="33" t="n">
        <f aca="false">INDEX(Épopées!$M$6:$M$59,MATCH(K253,Épopées!$A$6:$A$59,0))</f>
        <v>46526</v>
      </c>
      <c r="T253" s="53" t="s">
        <v>463</v>
      </c>
    </row>
    <row r="254" customFormat="false" ht="15" hidden="false" customHeight="false" outlineLevel="0" collapsed="false">
      <c r="A254" s="31" t="s">
        <v>1052</v>
      </c>
      <c r="B254" s="31" t="s">
        <v>301</v>
      </c>
      <c r="C254" s="31" t="s">
        <v>321</v>
      </c>
      <c r="D254" s="31" t="s">
        <v>131</v>
      </c>
      <c r="E254" s="31" t="s">
        <v>1053</v>
      </c>
      <c r="F254" s="31" t="s">
        <v>486</v>
      </c>
      <c r="G254" s="31" t="s">
        <v>461</v>
      </c>
      <c r="H254" s="31" t="s">
        <v>41</v>
      </c>
      <c r="I254" s="31" t="n">
        <f aca="false">VLOOKUP(H254,Paramètres!$A$15:$B$19,2,FALSE())</f>
        <v>1</v>
      </c>
      <c r="J254" s="31" t="n">
        <v>1</v>
      </c>
      <c r="K254" s="50" t="str">
        <f aca="false">C254&amp;"|"&amp;J254</f>
        <v>API-IA|1</v>
      </c>
      <c r="L254" s="31"/>
      <c r="M254" s="31" t="n">
        <v>3</v>
      </c>
      <c r="N254" s="51" t="s">
        <v>462</v>
      </c>
      <c r="O254" s="35" t="s">
        <v>78</v>
      </c>
      <c r="P254" s="52"/>
      <c r="Q254" s="52"/>
      <c r="R254" s="33" t="n">
        <f aca="false">INDEX(Épopées!$L$6:$L$59,MATCH(K254,Épopées!$A$6:$A$59,0))</f>
        <v>46506</v>
      </c>
      <c r="S254" s="33" t="n">
        <f aca="false">INDEX(Épopées!$M$6:$M$59,MATCH(K254,Épopées!$A$6:$A$59,0))</f>
        <v>46526</v>
      </c>
      <c r="T254" s="53" t="s">
        <v>463</v>
      </c>
    </row>
    <row r="255" customFormat="false" ht="15" hidden="false" customHeight="false" outlineLevel="0" collapsed="false">
      <c r="A255" s="31" t="s">
        <v>1054</v>
      </c>
      <c r="B255" s="31" t="s">
        <v>301</v>
      </c>
      <c r="C255" s="31" t="s">
        <v>321</v>
      </c>
      <c r="D255" s="31" t="s">
        <v>131</v>
      </c>
      <c r="E255" s="31" t="s">
        <v>1055</v>
      </c>
      <c r="F255" s="31" t="s">
        <v>486</v>
      </c>
      <c r="G255" s="31" t="s">
        <v>466</v>
      </c>
      <c r="H255" s="31" t="s">
        <v>39</v>
      </c>
      <c r="I255" s="31" t="n">
        <f aca="false">VLOOKUP(H255,Paramètres!$A$15:$B$19,2,FALSE())</f>
        <v>0.5</v>
      </c>
      <c r="J255" s="31" t="n">
        <v>1</v>
      </c>
      <c r="K255" s="50" t="str">
        <f aca="false">C255&amp;"|"&amp;J255</f>
        <v>API-IA|1</v>
      </c>
      <c r="L255" s="31"/>
      <c r="M255" s="31" t="n">
        <v>1</v>
      </c>
      <c r="N255" s="51" t="s">
        <v>462</v>
      </c>
      <c r="O255" s="35" t="s">
        <v>78</v>
      </c>
      <c r="P255" s="52"/>
      <c r="Q255" s="52"/>
      <c r="R255" s="33" t="n">
        <f aca="false">INDEX(Épopées!$L$6:$L$59,MATCH(K255,Épopées!$A$6:$A$59,0))</f>
        <v>46506</v>
      </c>
      <c r="S255" s="33" t="n">
        <f aca="false">INDEX(Épopées!$M$6:$M$59,MATCH(K255,Épopées!$A$6:$A$59,0))</f>
        <v>46526</v>
      </c>
      <c r="T255" s="53" t="s">
        <v>463</v>
      </c>
    </row>
    <row r="256" customFormat="false" ht="15" hidden="false" customHeight="false" outlineLevel="0" collapsed="false">
      <c r="A256" s="31" t="s">
        <v>1056</v>
      </c>
      <c r="B256" s="31" t="s">
        <v>301</v>
      </c>
      <c r="C256" s="31" t="s">
        <v>321</v>
      </c>
      <c r="D256" s="31" t="s">
        <v>131</v>
      </c>
      <c r="E256" s="31" t="s">
        <v>1057</v>
      </c>
      <c r="F256" s="31" t="s">
        <v>481</v>
      </c>
      <c r="G256" s="31" t="s">
        <v>461</v>
      </c>
      <c r="H256" s="31" t="s">
        <v>41</v>
      </c>
      <c r="I256" s="31" t="n">
        <f aca="false">VLOOKUP(H256,Paramètres!$A$15:$B$19,2,FALSE())</f>
        <v>1</v>
      </c>
      <c r="J256" s="31" t="n">
        <v>1</v>
      </c>
      <c r="K256" s="50" t="str">
        <f aca="false">C256&amp;"|"&amp;J256</f>
        <v>API-IA|1</v>
      </c>
      <c r="L256" s="31"/>
      <c r="M256" s="31" t="n">
        <v>2</v>
      </c>
      <c r="N256" s="51" t="s">
        <v>462</v>
      </c>
      <c r="O256" s="35" t="s">
        <v>78</v>
      </c>
      <c r="P256" s="52"/>
      <c r="Q256" s="52"/>
      <c r="R256" s="33" t="n">
        <f aca="false">INDEX(Épopées!$L$6:$L$59,MATCH(K256,Épopées!$A$6:$A$59,0))</f>
        <v>46506</v>
      </c>
      <c r="S256" s="33" t="n">
        <f aca="false">INDEX(Épopées!$M$6:$M$59,MATCH(K256,Épopées!$A$6:$A$59,0))</f>
        <v>46526</v>
      </c>
      <c r="T256" s="53" t="s">
        <v>463</v>
      </c>
    </row>
    <row r="257" customFormat="false" ht="15" hidden="false" customHeight="false" outlineLevel="0" collapsed="false">
      <c r="A257" s="31" t="s">
        <v>1058</v>
      </c>
      <c r="B257" s="31" t="s">
        <v>301</v>
      </c>
      <c r="C257" s="31" t="s">
        <v>321</v>
      </c>
      <c r="D257" s="31" t="s">
        <v>131</v>
      </c>
      <c r="E257" s="31" t="s">
        <v>1059</v>
      </c>
      <c r="F257" s="31" t="s">
        <v>472</v>
      </c>
      <c r="G257" s="31" t="s">
        <v>461</v>
      </c>
      <c r="H257" s="31" t="s">
        <v>39</v>
      </c>
      <c r="I257" s="31" t="n">
        <f aca="false">VLOOKUP(H257,Paramètres!$A$15:$B$19,2,FALSE())</f>
        <v>0.5</v>
      </c>
      <c r="J257" s="31" t="n">
        <v>1</v>
      </c>
      <c r="K257" s="50" t="str">
        <f aca="false">C257&amp;"|"&amp;J257</f>
        <v>API-IA|1</v>
      </c>
      <c r="L257" s="31" t="s">
        <v>1056</v>
      </c>
      <c r="M257" s="31" t="n">
        <v>6</v>
      </c>
      <c r="N257" s="51" t="s">
        <v>462</v>
      </c>
      <c r="O257" s="35" t="s">
        <v>78</v>
      </c>
      <c r="P257" s="52"/>
      <c r="Q257" s="52"/>
      <c r="R257" s="33" t="n">
        <f aca="false">INDEX(Épopées!$L$6:$L$59,MATCH(K257,Épopées!$A$6:$A$59,0))</f>
        <v>46506</v>
      </c>
      <c r="S257" s="33" t="n">
        <f aca="false">INDEX(Épopées!$M$6:$M$59,MATCH(K257,Épopées!$A$6:$A$59,0))</f>
        <v>46526</v>
      </c>
      <c r="T257" s="53" t="s">
        <v>463</v>
      </c>
    </row>
    <row r="258" customFormat="false" ht="15" hidden="false" customHeight="false" outlineLevel="0" collapsed="false">
      <c r="A258" s="31" t="s">
        <v>1060</v>
      </c>
      <c r="B258" s="31" t="s">
        <v>301</v>
      </c>
      <c r="C258" s="31" t="s">
        <v>321</v>
      </c>
      <c r="D258" s="31" t="s">
        <v>131</v>
      </c>
      <c r="E258" s="31" t="s">
        <v>1061</v>
      </c>
      <c r="F258" s="31" t="s">
        <v>481</v>
      </c>
      <c r="G258" s="31" t="s">
        <v>466</v>
      </c>
      <c r="H258" s="31" t="s">
        <v>41</v>
      </c>
      <c r="I258" s="31" t="n">
        <f aca="false">VLOOKUP(H258,Paramètres!$A$15:$B$19,2,FALSE())</f>
        <v>1</v>
      </c>
      <c r="J258" s="31" t="n">
        <v>1</v>
      </c>
      <c r="K258" s="50" t="str">
        <f aca="false">C258&amp;"|"&amp;J258</f>
        <v>API-IA|1</v>
      </c>
      <c r="L258" s="31" t="s">
        <v>1062</v>
      </c>
      <c r="M258" s="31" t="n">
        <v>2</v>
      </c>
      <c r="N258" s="51" t="s">
        <v>462</v>
      </c>
      <c r="O258" s="35" t="s">
        <v>78</v>
      </c>
      <c r="P258" s="52"/>
      <c r="Q258" s="52"/>
      <c r="R258" s="33" t="n">
        <f aca="false">INDEX(Épopées!$L$6:$L$59,MATCH(K258,Épopées!$A$6:$A$59,0))</f>
        <v>46506</v>
      </c>
      <c r="S258" s="33" t="n">
        <f aca="false">INDEX(Épopées!$M$6:$M$59,MATCH(K258,Épopées!$A$6:$A$59,0))</f>
        <v>46526</v>
      </c>
      <c r="T258" s="53" t="s">
        <v>463</v>
      </c>
    </row>
    <row r="259" customFormat="false" ht="15" hidden="false" customHeight="false" outlineLevel="0" collapsed="false">
      <c r="A259" s="31" t="s">
        <v>1063</v>
      </c>
      <c r="B259" s="31" t="s">
        <v>301</v>
      </c>
      <c r="C259" s="31" t="s">
        <v>321</v>
      </c>
      <c r="D259" s="31" t="s">
        <v>131</v>
      </c>
      <c r="E259" s="31" t="s">
        <v>1064</v>
      </c>
      <c r="F259" s="31" t="s">
        <v>491</v>
      </c>
      <c r="G259" s="31" t="s">
        <v>461</v>
      </c>
      <c r="H259" s="31" t="s">
        <v>41</v>
      </c>
      <c r="I259" s="31" t="n">
        <f aca="false">VLOOKUP(H259,Paramètres!$A$15:$B$19,2,FALSE())</f>
        <v>1</v>
      </c>
      <c r="J259" s="31" t="n">
        <v>1</v>
      </c>
      <c r="K259" s="50" t="str">
        <f aca="false">C259&amp;"|"&amp;J259</f>
        <v>API-IA|1</v>
      </c>
      <c r="L259" s="31"/>
      <c r="M259" s="31" t="n">
        <v>3</v>
      </c>
      <c r="N259" s="51" t="s">
        <v>462</v>
      </c>
      <c r="O259" s="35" t="s">
        <v>78</v>
      </c>
      <c r="P259" s="52"/>
      <c r="Q259" s="52"/>
      <c r="R259" s="33" t="n">
        <f aca="false">INDEX(Épopées!$L$6:$L$59,MATCH(K259,Épopées!$A$6:$A$59,0))</f>
        <v>46506</v>
      </c>
      <c r="S259" s="33" t="n">
        <f aca="false">INDEX(Épopées!$M$6:$M$59,MATCH(K259,Épopées!$A$6:$A$59,0))</f>
        <v>46526</v>
      </c>
      <c r="T259" s="53" t="s">
        <v>463</v>
      </c>
    </row>
    <row r="260" customFormat="false" ht="15" hidden="false" customHeight="false" outlineLevel="0" collapsed="false">
      <c r="A260" s="31" t="s">
        <v>1065</v>
      </c>
      <c r="B260" s="31" t="s">
        <v>301</v>
      </c>
      <c r="C260" s="31" t="s">
        <v>321</v>
      </c>
      <c r="D260" s="31" t="s">
        <v>131</v>
      </c>
      <c r="E260" s="31" t="s">
        <v>1066</v>
      </c>
      <c r="F260" s="31" t="s">
        <v>491</v>
      </c>
      <c r="G260" s="31" t="s">
        <v>461</v>
      </c>
      <c r="H260" s="31" t="s">
        <v>41</v>
      </c>
      <c r="I260" s="31" t="n">
        <f aca="false">VLOOKUP(H260,Paramètres!$A$15:$B$19,2,FALSE())</f>
        <v>1</v>
      </c>
      <c r="J260" s="31" t="n">
        <v>1</v>
      </c>
      <c r="K260" s="50" t="str">
        <f aca="false">C260&amp;"|"&amp;J260</f>
        <v>API-IA|1</v>
      </c>
      <c r="L260" s="31" t="s">
        <v>1063</v>
      </c>
      <c r="M260" s="31" t="n">
        <v>4</v>
      </c>
      <c r="N260" s="51" t="s">
        <v>462</v>
      </c>
      <c r="O260" s="35" t="s">
        <v>78</v>
      </c>
      <c r="P260" s="52"/>
      <c r="Q260" s="52"/>
      <c r="R260" s="33" t="n">
        <f aca="false">INDEX(Épopées!$L$6:$L$59,MATCH(K260,Épopées!$A$6:$A$59,0))</f>
        <v>46506</v>
      </c>
      <c r="S260" s="33" t="n">
        <f aca="false">INDEX(Épopées!$M$6:$M$59,MATCH(K260,Épopées!$A$6:$A$59,0))</f>
        <v>46526</v>
      </c>
      <c r="T260" s="53" t="s">
        <v>463</v>
      </c>
    </row>
    <row r="261" customFormat="false" ht="15" hidden="false" customHeight="false" outlineLevel="0" collapsed="false">
      <c r="A261" s="31" t="s">
        <v>1067</v>
      </c>
      <c r="B261" s="31" t="s">
        <v>301</v>
      </c>
      <c r="C261" s="31" t="s">
        <v>321</v>
      </c>
      <c r="D261" s="31" t="s">
        <v>131</v>
      </c>
      <c r="E261" s="31" t="s">
        <v>1068</v>
      </c>
      <c r="F261" s="31" t="s">
        <v>491</v>
      </c>
      <c r="G261" s="31" t="s">
        <v>461</v>
      </c>
      <c r="H261" s="31" t="s">
        <v>43</v>
      </c>
      <c r="I261" s="31" t="n">
        <f aca="false">VLOOKUP(H261,Paramètres!$A$15:$B$19,2,FALSE())</f>
        <v>2</v>
      </c>
      <c r="J261" s="31" t="n">
        <v>1</v>
      </c>
      <c r="K261" s="50" t="str">
        <f aca="false">C261&amp;"|"&amp;J261</f>
        <v>API-IA|1</v>
      </c>
      <c r="L261" s="31" t="s">
        <v>1065</v>
      </c>
      <c r="M261" s="31" t="n">
        <v>5</v>
      </c>
      <c r="N261" s="51" t="s">
        <v>462</v>
      </c>
      <c r="O261" s="35" t="s">
        <v>78</v>
      </c>
      <c r="P261" s="52"/>
      <c r="Q261" s="52"/>
      <c r="R261" s="33" t="n">
        <f aca="false">INDEX(Épopées!$L$6:$L$59,MATCH(K261,Épopées!$A$6:$A$59,0))</f>
        <v>46506</v>
      </c>
      <c r="S261" s="33" t="n">
        <f aca="false">INDEX(Épopées!$M$6:$M$59,MATCH(K261,Épopées!$A$6:$A$59,0))</f>
        <v>46526</v>
      </c>
      <c r="T261" s="53" t="s">
        <v>463</v>
      </c>
    </row>
    <row r="262" customFormat="false" ht="15" hidden="false" customHeight="false" outlineLevel="0" collapsed="false">
      <c r="A262" s="31" t="s">
        <v>1069</v>
      </c>
      <c r="B262" s="31" t="s">
        <v>301</v>
      </c>
      <c r="C262" s="31" t="s">
        <v>321</v>
      </c>
      <c r="D262" s="31" t="s">
        <v>131</v>
      </c>
      <c r="E262" s="31" t="s">
        <v>1070</v>
      </c>
      <c r="F262" s="31" t="s">
        <v>469</v>
      </c>
      <c r="G262" s="31" t="s">
        <v>461</v>
      </c>
      <c r="H262" s="31" t="s">
        <v>41</v>
      </c>
      <c r="I262" s="31" t="n">
        <f aca="false">VLOOKUP(H262,Paramètres!$A$15:$B$19,2,FALSE())</f>
        <v>1</v>
      </c>
      <c r="J262" s="31" t="n">
        <v>1</v>
      </c>
      <c r="K262" s="50" t="str">
        <f aca="false">C262&amp;"|"&amp;J262</f>
        <v>API-IA|1</v>
      </c>
      <c r="L262" s="31" t="s">
        <v>1071</v>
      </c>
      <c r="M262" s="31" t="n">
        <v>1</v>
      </c>
      <c r="N262" s="51" t="s">
        <v>462</v>
      </c>
      <c r="O262" s="35" t="s">
        <v>78</v>
      </c>
      <c r="P262" s="52"/>
      <c r="Q262" s="52"/>
      <c r="R262" s="33" t="n">
        <f aca="false">INDEX(Épopées!$L$6:$L$59,MATCH(K262,Épopées!$A$6:$A$59,0))</f>
        <v>46506</v>
      </c>
      <c r="S262" s="33" t="n">
        <f aca="false">INDEX(Épopées!$M$6:$M$59,MATCH(K262,Épopées!$A$6:$A$59,0))</f>
        <v>46526</v>
      </c>
      <c r="T262" s="53" t="s">
        <v>463</v>
      </c>
    </row>
    <row r="263" customFormat="false" ht="15" hidden="false" customHeight="false" outlineLevel="0" collapsed="false">
      <c r="A263" s="31" t="s">
        <v>1072</v>
      </c>
      <c r="B263" s="31" t="s">
        <v>301</v>
      </c>
      <c r="C263" s="31" t="s">
        <v>321</v>
      </c>
      <c r="D263" s="31" t="s">
        <v>131</v>
      </c>
      <c r="E263" s="31" t="s">
        <v>1073</v>
      </c>
      <c r="F263" s="31" t="s">
        <v>469</v>
      </c>
      <c r="G263" s="31" t="s">
        <v>461</v>
      </c>
      <c r="H263" s="31" t="s">
        <v>41</v>
      </c>
      <c r="I263" s="31" t="n">
        <f aca="false">VLOOKUP(H263,Paramètres!$A$15:$B$19,2,FALSE())</f>
        <v>1</v>
      </c>
      <c r="J263" s="31" t="n">
        <v>1</v>
      </c>
      <c r="K263" s="50" t="str">
        <f aca="false">C263&amp;"|"&amp;J263</f>
        <v>API-IA|1</v>
      </c>
      <c r="L263" s="31" t="s">
        <v>1074</v>
      </c>
      <c r="M263" s="31" t="n">
        <v>3</v>
      </c>
      <c r="N263" s="51" t="s">
        <v>462</v>
      </c>
      <c r="O263" s="35" t="s">
        <v>78</v>
      </c>
      <c r="P263" s="52"/>
      <c r="Q263" s="52"/>
      <c r="R263" s="33" t="n">
        <f aca="false">INDEX(Épopées!$L$6:$L$59,MATCH(K263,Épopées!$A$6:$A$59,0))</f>
        <v>46506</v>
      </c>
      <c r="S263" s="33" t="n">
        <f aca="false">INDEX(Épopées!$M$6:$M$59,MATCH(K263,Épopées!$A$6:$A$59,0))</f>
        <v>46526</v>
      </c>
      <c r="T263" s="53" t="s">
        <v>463</v>
      </c>
    </row>
    <row r="264" customFormat="false" ht="15" hidden="false" customHeight="false" outlineLevel="0" collapsed="false">
      <c r="A264" s="31" t="s">
        <v>1075</v>
      </c>
      <c r="B264" s="31" t="s">
        <v>301</v>
      </c>
      <c r="C264" s="31" t="s">
        <v>321</v>
      </c>
      <c r="D264" s="31" t="s">
        <v>131</v>
      </c>
      <c r="E264" s="31" t="s">
        <v>1076</v>
      </c>
      <c r="F264" s="31" t="s">
        <v>491</v>
      </c>
      <c r="G264" s="31" t="s">
        <v>461</v>
      </c>
      <c r="H264" s="31" t="s">
        <v>39</v>
      </c>
      <c r="I264" s="31" t="n">
        <f aca="false">VLOOKUP(H264,Paramètres!$A$15:$B$19,2,FALSE())</f>
        <v>0.5</v>
      </c>
      <c r="J264" s="31" t="n">
        <v>1</v>
      </c>
      <c r="K264" s="50" t="str">
        <f aca="false">C264&amp;"|"&amp;J264</f>
        <v>API-IA|1</v>
      </c>
      <c r="L264" s="31" t="s">
        <v>1077</v>
      </c>
      <c r="M264" s="31" t="n">
        <v>2</v>
      </c>
      <c r="N264" s="51" t="s">
        <v>462</v>
      </c>
      <c r="O264" s="35" t="s">
        <v>78</v>
      </c>
      <c r="P264" s="52"/>
      <c r="Q264" s="52"/>
      <c r="R264" s="33" t="n">
        <f aca="false">INDEX(Épopées!$L$6:$L$59,MATCH(K264,Épopées!$A$6:$A$59,0))</f>
        <v>46506</v>
      </c>
      <c r="S264" s="33" t="n">
        <f aca="false">INDEX(Épopées!$M$6:$M$59,MATCH(K264,Épopées!$A$6:$A$59,0))</f>
        <v>46526</v>
      </c>
      <c r="T264" s="53" t="s">
        <v>463</v>
      </c>
    </row>
    <row r="265" customFormat="false" ht="15" hidden="false" customHeight="false" outlineLevel="0" collapsed="false">
      <c r="A265" s="31" t="s">
        <v>1078</v>
      </c>
      <c r="B265" s="31" t="s">
        <v>301</v>
      </c>
      <c r="C265" s="31" t="s">
        <v>321</v>
      </c>
      <c r="D265" s="31" t="s">
        <v>131</v>
      </c>
      <c r="E265" s="31" t="s">
        <v>1079</v>
      </c>
      <c r="F265" s="31" t="s">
        <v>491</v>
      </c>
      <c r="G265" s="31" t="s">
        <v>461</v>
      </c>
      <c r="H265" s="31" t="s">
        <v>41</v>
      </c>
      <c r="I265" s="31" t="n">
        <f aca="false">VLOOKUP(H265,Paramètres!$A$15:$B$19,2,FALSE())</f>
        <v>1</v>
      </c>
      <c r="J265" s="31" t="n">
        <v>1</v>
      </c>
      <c r="K265" s="50" t="str">
        <f aca="false">C265&amp;"|"&amp;J265</f>
        <v>API-IA|1</v>
      </c>
      <c r="L265" s="31" t="s">
        <v>1080</v>
      </c>
      <c r="M265" s="31" t="n">
        <v>3</v>
      </c>
      <c r="N265" s="51" t="s">
        <v>462</v>
      </c>
      <c r="O265" s="35" t="s">
        <v>78</v>
      </c>
      <c r="P265" s="52"/>
      <c r="Q265" s="52"/>
      <c r="R265" s="33" t="n">
        <f aca="false">INDEX(Épopées!$L$6:$L$59,MATCH(K265,Épopées!$A$6:$A$59,0))</f>
        <v>46506</v>
      </c>
      <c r="S265" s="33" t="n">
        <f aca="false">INDEX(Épopées!$M$6:$M$59,MATCH(K265,Épopées!$A$6:$A$59,0))</f>
        <v>46526</v>
      </c>
      <c r="T265" s="53" t="s">
        <v>463</v>
      </c>
    </row>
    <row r="266" customFormat="false" ht="15" hidden="false" customHeight="false" outlineLevel="0" collapsed="false">
      <c r="A266" s="31" t="s">
        <v>1081</v>
      </c>
      <c r="B266" s="31" t="s">
        <v>301</v>
      </c>
      <c r="C266" s="31" t="s">
        <v>321</v>
      </c>
      <c r="D266" s="31" t="s">
        <v>131</v>
      </c>
      <c r="E266" s="31" t="s">
        <v>1082</v>
      </c>
      <c r="F266" s="31" t="s">
        <v>491</v>
      </c>
      <c r="G266" s="31" t="s">
        <v>461</v>
      </c>
      <c r="H266" s="31" t="s">
        <v>43</v>
      </c>
      <c r="I266" s="31" t="n">
        <f aca="false">VLOOKUP(H266,Paramètres!$A$15:$B$19,2,FALSE())</f>
        <v>2</v>
      </c>
      <c r="J266" s="31" t="n">
        <v>1</v>
      </c>
      <c r="K266" s="50" t="str">
        <f aca="false">C266&amp;"|"&amp;J266</f>
        <v>API-IA|1</v>
      </c>
      <c r="L266" s="31" t="s">
        <v>1083</v>
      </c>
      <c r="M266" s="31" t="n">
        <v>3</v>
      </c>
      <c r="N266" s="51" t="s">
        <v>462</v>
      </c>
      <c r="O266" s="35" t="s">
        <v>78</v>
      </c>
      <c r="P266" s="52"/>
      <c r="Q266" s="52"/>
      <c r="R266" s="33" t="n">
        <f aca="false">INDEX(Épopées!$L$6:$L$59,MATCH(K266,Épopées!$A$6:$A$59,0))</f>
        <v>46506</v>
      </c>
      <c r="S266" s="33" t="n">
        <f aca="false">INDEX(Épopées!$M$6:$M$59,MATCH(K266,Épopées!$A$6:$A$59,0))</f>
        <v>46526</v>
      </c>
      <c r="T266" s="53" t="s">
        <v>463</v>
      </c>
    </row>
    <row r="267" customFormat="false" ht="15" hidden="false" customHeight="false" outlineLevel="0" collapsed="false">
      <c r="A267" s="31" t="s">
        <v>1084</v>
      </c>
      <c r="B267" s="31" t="s">
        <v>301</v>
      </c>
      <c r="C267" s="31" t="s">
        <v>321</v>
      </c>
      <c r="D267" s="31" t="s">
        <v>131</v>
      </c>
      <c r="E267" s="31" t="s">
        <v>1085</v>
      </c>
      <c r="F267" s="31" t="s">
        <v>460</v>
      </c>
      <c r="G267" s="31" t="s">
        <v>461</v>
      </c>
      <c r="H267" s="31" t="s">
        <v>41</v>
      </c>
      <c r="I267" s="31" t="n">
        <f aca="false">VLOOKUP(H267,Paramètres!$A$15:$B$19,2,FALSE())</f>
        <v>1</v>
      </c>
      <c r="J267" s="31" t="n">
        <v>1</v>
      </c>
      <c r="K267" s="50" t="str">
        <f aca="false">C267&amp;"|"&amp;J267</f>
        <v>API-IA|1</v>
      </c>
      <c r="L267" s="31" t="s">
        <v>1048</v>
      </c>
      <c r="M267" s="31" t="n">
        <v>3</v>
      </c>
      <c r="N267" s="51" t="s">
        <v>462</v>
      </c>
      <c r="O267" s="35" t="s">
        <v>78</v>
      </c>
      <c r="P267" s="52"/>
      <c r="Q267" s="52"/>
      <c r="R267" s="33" t="n">
        <f aca="false">INDEX(Épopées!$L$6:$L$59,MATCH(K267,Épopées!$A$6:$A$59,0))</f>
        <v>46506</v>
      </c>
      <c r="S267" s="33" t="n">
        <f aca="false">INDEX(Épopées!$M$6:$M$59,MATCH(K267,Épopées!$A$6:$A$59,0))</f>
        <v>46526</v>
      </c>
      <c r="T267" s="53" t="s">
        <v>463</v>
      </c>
    </row>
    <row r="268" customFormat="false" ht="15" hidden="false" customHeight="false" outlineLevel="0" collapsed="false">
      <c r="A268" s="31" t="s">
        <v>1086</v>
      </c>
      <c r="B268" s="31" t="s">
        <v>301</v>
      </c>
      <c r="C268" s="31" t="s">
        <v>321</v>
      </c>
      <c r="D268" s="31" t="s">
        <v>131</v>
      </c>
      <c r="E268" s="31" t="s">
        <v>1087</v>
      </c>
      <c r="F268" s="31" t="s">
        <v>460</v>
      </c>
      <c r="G268" s="31" t="s">
        <v>461</v>
      </c>
      <c r="H268" s="31" t="s">
        <v>41</v>
      </c>
      <c r="I268" s="31" t="n">
        <f aca="false">VLOOKUP(H268,Paramètres!$A$15:$B$19,2,FALSE())</f>
        <v>1</v>
      </c>
      <c r="J268" s="31" t="n">
        <v>1</v>
      </c>
      <c r="K268" s="50" t="str">
        <f aca="false">C268&amp;"|"&amp;J268</f>
        <v>API-IA|1</v>
      </c>
      <c r="L268" s="31" t="s">
        <v>1088</v>
      </c>
      <c r="M268" s="31" t="n">
        <v>4</v>
      </c>
      <c r="N268" s="51" t="s">
        <v>462</v>
      </c>
      <c r="O268" s="35" t="s">
        <v>78</v>
      </c>
      <c r="P268" s="52"/>
      <c r="Q268" s="52"/>
      <c r="R268" s="33" t="n">
        <f aca="false">INDEX(Épopées!$L$6:$L$59,MATCH(K268,Épopées!$A$6:$A$59,0))</f>
        <v>46506</v>
      </c>
      <c r="S268" s="33" t="n">
        <f aca="false">INDEX(Épopées!$M$6:$M$59,MATCH(K268,Épopées!$A$6:$A$59,0))</f>
        <v>46526</v>
      </c>
      <c r="T268" s="53" t="s">
        <v>463</v>
      </c>
    </row>
    <row r="269" customFormat="false" ht="15" hidden="false" customHeight="false" outlineLevel="0" collapsed="false">
      <c r="A269" s="31" t="s">
        <v>1089</v>
      </c>
      <c r="B269" s="31" t="s">
        <v>301</v>
      </c>
      <c r="C269" s="31" t="s">
        <v>321</v>
      </c>
      <c r="D269" s="31" t="s">
        <v>131</v>
      </c>
      <c r="E269" s="31" t="s">
        <v>1090</v>
      </c>
      <c r="F269" s="31" t="s">
        <v>460</v>
      </c>
      <c r="G269" s="31" t="s">
        <v>461</v>
      </c>
      <c r="H269" s="31" t="s">
        <v>43</v>
      </c>
      <c r="I269" s="31" t="n">
        <f aca="false">VLOOKUP(H269,Paramètres!$A$15:$B$19,2,FALSE())</f>
        <v>2</v>
      </c>
      <c r="J269" s="31" t="n">
        <v>1</v>
      </c>
      <c r="K269" s="50" t="str">
        <f aca="false">C269&amp;"|"&amp;J269</f>
        <v>API-IA|1</v>
      </c>
      <c r="L269" s="31" t="s">
        <v>1091</v>
      </c>
      <c r="M269" s="31" t="n">
        <v>2</v>
      </c>
      <c r="N269" s="51" t="s">
        <v>462</v>
      </c>
      <c r="O269" s="35" t="s">
        <v>78</v>
      </c>
      <c r="P269" s="52"/>
      <c r="Q269" s="52"/>
      <c r="R269" s="33" t="n">
        <f aca="false">INDEX(Épopées!$L$6:$L$59,MATCH(K269,Épopées!$A$6:$A$59,0))</f>
        <v>46506</v>
      </c>
      <c r="S269" s="33" t="n">
        <f aca="false">INDEX(Épopées!$M$6:$M$59,MATCH(K269,Épopées!$A$6:$A$59,0))</f>
        <v>46526</v>
      </c>
      <c r="T269" s="53" t="s">
        <v>463</v>
      </c>
    </row>
    <row r="270" customFormat="false" ht="15" hidden="false" customHeight="false" outlineLevel="0" collapsed="false">
      <c r="A270" s="31" t="s">
        <v>1092</v>
      </c>
      <c r="B270" s="31" t="s">
        <v>301</v>
      </c>
      <c r="C270" s="31" t="s">
        <v>321</v>
      </c>
      <c r="D270" s="31" t="s">
        <v>131</v>
      </c>
      <c r="E270" s="31" t="s">
        <v>1093</v>
      </c>
      <c r="F270" s="31" t="s">
        <v>491</v>
      </c>
      <c r="G270" s="31" t="s">
        <v>461</v>
      </c>
      <c r="H270" s="31" t="s">
        <v>39</v>
      </c>
      <c r="I270" s="31" t="n">
        <f aca="false">VLOOKUP(H270,Paramètres!$A$15:$B$19,2,FALSE())</f>
        <v>0.5</v>
      </c>
      <c r="J270" s="31" t="n">
        <v>1</v>
      </c>
      <c r="K270" s="50" t="str">
        <f aca="false">C270&amp;"|"&amp;J270</f>
        <v>API-IA|1</v>
      </c>
      <c r="L270" s="31" t="s">
        <v>1094</v>
      </c>
      <c r="M270" s="31" t="n">
        <v>2</v>
      </c>
      <c r="N270" s="51" t="s">
        <v>462</v>
      </c>
      <c r="O270" s="35" t="s">
        <v>78</v>
      </c>
      <c r="P270" s="52"/>
      <c r="Q270" s="52"/>
      <c r="R270" s="33" t="n">
        <f aca="false">INDEX(Épopées!$L$6:$L$59,MATCH(K270,Épopées!$A$6:$A$59,0))</f>
        <v>46506</v>
      </c>
      <c r="S270" s="33" t="n">
        <f aca="false">INDEX(Épopées!$M$6:$M$59,MATCH(K270,Épopées!$A$6:$A$59,0))</f>
        <v>46526</v>
      </c>
      <c r="T270" s="53" t="s">
        <v>463</v>
      </c>
    </row>
    <row r="271" customFormat="false" ht="15" hidden="false" customHeight="false" outlineLevel="0" collapsed="false">
      <c r="A271" s="31" t="s">
        <v>1095</v>
      </c>
      <c r="B271" s="31" t="s">
        <v>301</v>
      </c>
      <c r="C271" s="31" t="s">
        <v>321</v>
      </c>
      <c r="D271" s="31" t="s">
        <v>131</v>
      </c>
      <c r="E271" s="31" t="s">
        <v>1096</v>
      </c>
      <c r="F271" s="31" t="s">
        <v>469</v>
      </c>
      <c r="G271" s="31" t="s">
        <v>461</v>
      </c>
      <c r="H271" s="31" t="s">
        <v>39</v>
      </c>
      <c r="I271" s="31" t="n">
        <f aca="false">VLOOKUP(H271,Paramètres!$A$15:$B$19,2,FALSE())</f>
        <v>0.5</v>
      </c>
      <c r="J271" s="31" t="n">
        <v>1</v>
      </c>
      <c r="K271" s="50" t="str">
        <f aca="false">C271&amp;"|"&amp;J271</f>
        <v>API-IA|1</v>
      </c>
      <c r="L271" s="31" t="s">
        <v>1086</v>
      </c>
      <c r="M271" s="31" t="n">
        <v>2</v>
      </c>
      <c r="N271" s="51" t="s">
        <v>462</v>
      </c>
      <c r="O271" s="35" t="s">
        <v>78</v>
      </c>
      <c r="P271" s="52"/>
      <c r="Q271" s="52"/>
      <c r="R271" s="33" t="n">
        <f aca="false">INDEX(Épopées!$L$6:$L$59,MATCH(K271,Épopées!$A$6:$A$59,0))</f>
        <v>46506</v>
      </c>
      <c r="S271" s="33" t="n">
        <f aca="false">INDEX(Épopées!$M$6:$M$59,MATCH(K271,Épopées!$A$6:$A$59,0))</f>
        <v>46526</v>
      </c>
      <c r="T271" s="53" t="s">
        <v>463</v>
      </c>
    </row>
    <row r="272" customFormat="false" ht="15" hidden="false" customHeight="false" outlineLevel="0" collapsed="false">
      <c r="A272" s="31" t="s">
        <v>1097</v>
      </c>
      <c r="B272" s="31" t="s">
        <v>301</v>
      </c>
      <c r="C272" s="31" t="s">
        <v>321</v>
      </c>
      <c r="D272" s="31" t="s">
        <v>131</v>
      </c>
      <c r="E272" s="31" t="s">
        <v>1098</v>
      </c>
      <c r="F272" s="31" t="s">
        <v>469</v>
      </c>
      <c r="G272" s="31" t="s">
        <v>461</v>
      </c>
      <c r="H272" s="31" t="s">
        <v>39</v>
      </c>
      <c r="I272" s="31" t="n">
        <f aca="false">VLOOKUP(H272,Paramètres!$A$15:$B$19,2,FALSE())</f>
        <v>0.5</v>
      </c>
      <c r="J272" s="31" t="n">
        <v>1</v>
      </c>
      <c r="K272" s="50" t="str">
        <f aca="false">C272&amp;"|"&amp;J272</f>
        <v>API-IA|1</v>
      </c>
      <c r="L272" s="31" t="s">
        <v>1086</v>
      </c>
      <c r="M272" s="31" t="n">
        <v>4</v>
      </c>
      <c r="N272" s="51" t="s">
        <v>462</v>
      </c>
      <c r="O272" s="35" t="s">
        <v>78</v>
      </c>
      <c r="P272" s="52"/>
      <c r="Q272" s="52"/>
      <c r="R272" s="33" t="n">
        <f aca="false">INDEX(Épopées!$L$6:$L$59,MATCH(K272,Épopées!$A$6:$A$59,0))</f>
        <v>46506</v>
      </c>
      <c r="S272" s="33" t="n">
        <f aca="false">INDEX(Épopées!$M$6:$M$59,MATCH(K272,Épopées!$A$6:$A$59,0))</f>
        <v>46526</v>
      </c>
      <c r="T272" s="53" t="s">
        <v>463</v>
      </c>
    </row>
    <row r="273" customFormat="false" ht="15" hidden="false" customHeight="false" outlineLevel="0" collapsed="false">
      <c r="A273" s="31" t="s">
        <v>1099</v>
      </c>
      <c r="B273" s="31" t="s">
        <v>301</v>
      </c>
      <c r="C273" s="31" t="s">
        <v>321</v>
      </c>
      <c r="D273" s="31" t="s">
        <v>131</v>
      </c>
      <c r="E273" s="31" t="s">
        <v>1100</v>
      </c>
      <c r="F273" s="31" t="s">
        <v>491</v>
      </c>
      <c r="G273" s="31" t="s">
        <v>461</v>
      </c>
      <c r="H273" s="31" t="s">
        <v>41</v>
      </c>
      <c r="I273" s="31" t="n">
        <f aca="false">VLOOKUP(H273,Paramètres!$A$15:$B$19,2,FALSE())</f>
        <v>1</v>
      </c>
      <c r="J273" s="31" t="n">
        <v>1</v>
      </c>
      <c r="K273" s="50" t="str">
        <f aca="false">C273&amp;"|"&amp;J273</f>
        <v>API-IA|1</v>
      </c>
      <c r="L273" s="31" t="s">
        <v>1097</v>
      </c>
      <c r="M273" s="31" t="n">
        <v>3</v>
      </c>
      <c r="N273" s="51" t="s">
        <v>462</v>
      </c>
      <c r="O273" s="35" t="s">
        <v>78</v>
      </c>
      <c r="P273" s="52"/>
      <c r="Q273" s="52"/>
      <c r="R273" s="33" t="n">
        <f aca="false">INDEX(Épopées!$L$6:$L$59,MATCH(K273,Épopées!$A$6:$A$59,0))</f>
        <v>46506</v>
      </c>
      <c r="S273" s="33" t="n">
        <f aca="false">INDEX(Épopées!$M$6:$M$59,MATCH(K273,Épopées!$A$6:$A$59,0))</f>
        <v>46526</v>
      </c>
      <c r="T273" s="53" t="s">
        <v>463</v>
      </c>
    </row>
    <row r="274" customFormat="false" ht="15" hidden="false" customHeight="false" outlineLevel="0" collapsed="false">
      <c r="A274" s="31" t="s">
        <v>1101</v>
      </c>
      <c r="B274" s="31" t="s">
        <v>301</v>
      </c>
      <c r="C274" s="31" t="s">
        <v>321</v>
      </c>
      <c r="D274" s="31" t="s">
        <v>131</v>
      </c>
      <c r="E274" s="31" t="s">
        <v>1102</v>
      </c>
      <c r="F274" s="31" t="s">
        <v>460</v>
      </c>
      <c r="G274" s="31" t="s">
        <v>466</v>
      </c>
      <c r="H274" s="31" t="s">
        <v>39</v>
      </c>
      <c r="I274" s="31" t="n">
        <f aca="false">VLOOKUP(H274,Paramètres!$A$15:$B$19,2,FALSE())</f>
        <v>0.5</v>
      </c>
      <c r="J274" s="31" t="n">
        <v>1</v>
      </c>
      <c r="K274" s="50" t="str">
        <f aca="false">C274&amp;"|"&amp;J274</f>
        <v>API-IA|1</v>
      </c>
      <c r="L274" s="31" t="s">
        <v>1052</v>
      </c>
      <c r="M274" s="31" t="n">
        <v>1</v>
      </c>
      <c r="N274" s="51" t="s">
        <v>462</v>
      </c>
      <c r="O274" s="35" t="s">
        <v>78</v>
      </c>
      <c r="P274" s="52"/>
      <c r="Q274" s="52"/>
      <c r="R274" s="33" t="n">
        <f aca="false">INDEX(Épopées!$L$6:$L$59,MATCH(K274,Épopées!$A$6:$A$59,0))</f>
        <v>46506</v>
      </c>
      <c r="S274" s="33" t="n">
        <f aca="false">INDEX(Épopées!$M$6:$M$59,MATCH(K274,Épopées!$A$6:$A$59,0))</f>
        <v>46526</v>
      </c>
      <c r="T274" s="53" t="s">
        <v>463</v>
      </c>
    </row>
    <row r="275" customFormat="false" ht="15" hidden="false" customHeight="false" outlineLevel="0" collapsed="false">
      <c r="A275" s="31" t="s">
        <v>1103</v>
      </c>
      <c r="B275" s="31" t="s">
        <v>301</v>
      </c>
      <c r="C275" s="31" t="s">
        <v>321</v>
      </c>
      <c r="D275" s="31" t="s">
        <v>131</v>
      </c>
      <c r="E275" s="31" t="s">
        <v>1104</v>
      </c>
      <c r="F275" s="31" t="s">
        <v>460</v>
      </c>
      <c r="G275" s="31" t="s">
        <v>466</v>
      </c>
      <c r="H275" s="31" t="s">
        <v>41</v>
      </c>
      <c r="I275" s="31" t="n">
        <f aca="false">VLOOKUP(H275,Paramètres!$A$15:$B$19,2,FALSE())</f>
        <v>1</v>
      </c>
      <c r="J275" s="31" t="n">
        <v>1</v>
      </c>
      <c r="K275" s="50" t="str">
        <f aca="false">C275&amp;"|"&amp;J275</f>
        <v>API-IA|1</v>
      </c>
      <c r="L275" s="31" t="s">
        <v>1054</v>
      </c>
      <c r="M275" s="31" t="n">
        <v>1</v>
      </c>
      <c r="N275" s="51" t="s">
        <v>462</v>
      </c>
      <c r="O275" s="35" t="s">
        <v>78</v>
      </c>
      <c r="P275" s="52"/>
      <c r="Q275" s="52"/>
      <c r="R275" s="33" t="n">
        <f aca="false">INDEX(Épopées!$L$6:$L$59,MATCH(K275,Épopées!$A$6:$A$59,0))</f>
        <v>46506</v>
      </c>
      <c r="S275" s="33" t="n">
        <f aca="false">INDEX(Épopées!$M$6:$M$59,MATCH(K275,Épopées!$A$6:$A$59,0))</f>
        <v>46526</v>
      </c>
      <c r="T275" s="53" t="s">
        <v>463</v>
      </c>
    </row>
    <row r="276" customFormat="false" ht="15" hidden="false" customHeight="false" outlineLevel="0" collapsed="false">
      <c r="A276" s="31" t="s">
        <v>1105</v>
      </c>
      <c r="B276" s="31" t="s">
        <v>301</v>
      </c>
      <c r="C276" s="31" t="s">
        <v>321</v>
      </c>
      <c r="D276" s="31" t="s">
        <v>131</v>
      </c>
      <c r="E276" s="31" t="s">
        <v>1106</v>
      </c>
      <c r="F276" s="31" t="s">
        <v>548</v>
      </c>
      <c r="G276" s="31" t="s">
        <v>466</v>
      </c>
      <c r="H276" s="31" t="s">
        <v>41</v>
      </c>
      <c r="I276" s="31" t="n">
        <f aca="false">VLOOKUP(H276,Paramètres!$A$15:$B$19,2,FALSE())</f>
        <v>1</v>
      </c>
      <c r="J276" s="31" t="n">
        <v>1</v>
      </c>
      <c r="K276" s="50" t="str">
        <f aca="false">C276&amp;"|"&amp;J276</f>
        <v>API-IA|1</v>
      </c>
      <c r="L276" s="31" t="s">
        <v>1081</v>
      </c>
      <c r="M276" s="31" t="n">
        <v>2</v>
      </c>
      <c r="N276" s="51" t="s">
        <v>462</v>
      </c>
      <c r="O276" s="35" t="s">
        <v>78</v>
      </c>
      <c r="P276" s="52"/>
      <c r="Q276" s="52"/>
      <c r="R276" s="33" t="n">
        <f aca="false">INDEX(Épopées!$L$6:$L$59,MATCH(K276,Épopées!$A$6:$A$59,0))</f>
        <v>46506</v>
      </c>
      <c r="S276" s="33" t="n">
        <f aca="false">INDEX(Épopées!$M$6:$M$59,MATCH(K276,Épopées!$A$6:$A$59,0))</f>
        <v>46526</v>
      </c>
      <c r="T276" s="53" t="s">
        <v>463</v>
      </c>
    </row>
    <row r="277" customFormat="false" ht="15" hidden="false" customHeight="false" outlineLevel="0" collapsed="false">
      <c r="A277" s="31" t="s">
        <v>1107</v>
      </c>
      <c r="B277" s="31" t="s">
        <v>301</v>
      </c>
      <c r="C277" s="31" t="s">
        <v>321</v>
      </c>
      <c r="D277" s="31" t="s">
        <v>131</v>
      </c>
      <c r="E277" s="31" t="s">
        <v>1108</v>
      </c>
      <c r="F277" s="31" t="s">
        <v>491</v>
      </c>
      <c r="G277" s="31" t="s">
        <v>612</v>
      </c>
      <c r="H277" s="31" t="s">
        <v>41</v>
      </c>
      <c r="I277" s="31" t="n">
        <f aca="false">VLOOKUP(H277,Paramètres!$A$15:$B$19,2,FALSE())</f>
        <v>1</v>
      </c>
      <c r="J277" s="31" t="n">
        <v>1</v>
      </c>
      <c r="K277" s="50" t="str">
        <f aca="false">C277&amp;"|"&amp;J277</f>
        <v>API-IA|1</v>
      </c>
      <c r="L277" s="31" t="s">
        <v>1081</v>
      </c>
      <c r="M277" s="31" t="n">
        <v>2</v>
      </c>
      <c r="N277" s="51" t="s">
        <v>462</v>
      </c>
      <c r="O277" s="35" t="s">
        <v>78</v>
      </c>
      <c r="P277" s="52"/>
      <c r="Q277" s="52"/>
      <c r="R277" s="33" t="n">
        <f aca="false">INDEX(Épopées!$L$6:$L$59,MATCH(K277,Épopées!$A$6:$A$59,0))</f>
        <v>46506</v>
      </c>
      <c r="S277" s="33" t="n">
        <f aca="false">INDEX(Épopées!$M$6:$M$59,MATCH(K277,Épopées!$A$6:$A$59,0))</f>
        <v>46526</v>
      </c>
      <c r="T277" s="53" t="s">
        <v>463</v>
      </c>
    </row>
    <row r="278" customFormat="false" ht="15" hidden="false" customHeight="false" outlineLevel="0" collapsed="false">
      <c r="A278" s="31" t="s">
        <v>1109</v>
      </c>
      <c r="B278" s="31" t="s">
        <v>301</v>
      </c>
      <c r="C278" s="31" t="s">
        <v>321</v>
      </c>
      <c r="D278" s="31" t="s">
        <v>131</v>
      </c>
      <c r="E278" s="31" t="s">
        <v>1110</v>
      </c>
      <c r="F278" s="31" t="s">
        <v>579</v>
      </c>
      <c r="G278" s="31" t="s">
        <v>466</v>
      </c>
      <c r="H278" s="31" t="s">
        <v>39</v>
      </c>
      <c r="I278" s="31" t="n">
        <f aca="false">VLOOKUP(H278,Paramètres!$A$15:$B$19,2,FALSE())</f>
        <v>0.5</v>
      </c>
      <c r="J278" s="31" t="n">
        <v>1</v>
      </c>
      <c r="K278" s="50" t="str">
        <f aca="false">C278&amp;"|"&amp;J278</f>
        <v>API-IA|1</v>
      </c>
      <c r="L278" s="31" t="s">
        <v>1048</v>
      </c>
      <c r="M278" s="31" t="n">
        <v>1</v>
      </c>
      <c r="N278" s="51" t="s">
        <v>462</v>
      </c>
      <c r="O278" s="35" t="s">
        <v>78</v>
      </c>
      <c r="P278" s="52"/>
      <c r="Q278" s="52"/>
      <c r="R278" s="33" t="n">
        <f aca="false">INDEX(Épopées!$L$6:$L$59,MATCH(K278,Épopées!$A$6:$A$59,0))</f>
        <v>46506</v>
      </c>
      <c r="S278" s="33" t="n">
        <f aca="false">INDEX(Épopées!$M$6:$M$59,MATCH(K278,Épopées!$A$6:$A$59,0))</f>
        <v>46526</v>
      </c>
      <c r="T278" s="53" t="s">
        <v>463</v>
      </c>
    </row>
    <row r="279" customFormat="false" ht="15" hidden="false" customHeight="false" outlineLevel="0" collapsed="false">
      <c r="A279" s="31" t="s">
        <v>1111</v>
      </c>
      <c r="B279" s="31" t="s">
        <v>301</v>
      </c>
      <c r="C279" s="31" t="s">
        <v>321</v>
      </c>
      <c r="D279" s="31" t="s">
        <v>131</v>
      </c>
      <c r="E279" s="31" t="s">
        <v>1112</v>
      </c>
      <c r="F279" s="31" t="s">
        <v>579</v>
      </c>
      <c r="G279" s="31" t="s">
        <v>466</v>
      </c>
      <c r="H279" s="31" t="s">
        <v>41</v>
      </c>
      <c r="I279" s="31" t="n">
        <f aca="false">VLOOKUP(H279,Paramètres!$A$15:$B$19,2,FALSE())</f>
        <v>1</v>
      </c>
      <c r="J279" s="31" t="n">
        <v>1</v>
      </c>
      <c r="K279" s="50" t="str">
        <f aca="false">C279&amp;"|"&amp;J279</f>
        <v>API-IA|1</v>
      </c>
      <c r="L279" s="31" t="s">
        <v>1113</v>
      </c>
      <c r="M279" s="31" t="n">
        <v>1</v>
      </c>
      <c r="N279" s="51" t="s">
        <v>462</v>
      </c>
      <c r="O279" s="35" t="s">
        <v>78</v>
      </c>
      <c r="P279" s="52"/>
      <c r="Q279" s="52"/>
      <c r="R279" s="33" t="n">
        <f aca="false">INDEX(Épopées!$L$6:$L$59,MATCH(K279,Épopées!$A$6:$A$59,0))</f>
        <v>46506</v>
      </c>
      <c r="S279" s="33" t="n">
        <f aca="false">INDEX(Épopées!$M$6:$M$59,MATCH(K279,Épopées!$A$6:$A$59,0))</f>
        <v>46526</v>
      </c>
      <c r="T279" s="53" t="s">
        <v>463</v>
      </c>
    </row>
    <row r="280" customFormat="false" ht="15" hidden="false" customHeight="false" outlineLevel="0" collapsed="false">
      <c r="A280" s="31" t="s">
        <v>1114</v>
      </c>
      <c r="B280" s="31" t="s">
        <v>301</v>
      </c>
      <c r="C280" s="31" t="s">
        <v>321</v>
      </c>
      <c r="D280" s="31" t="s">
        <v>131</v>
      </c>
      <c r="E280" s="31" t="s">
        <v>1115</v>
      </c>
      <c r="F280" s="31" t="s">
        <v>491</v>
      </c>
      <c r="G280" s="31" t="s">
        <v>466</v>
      </c>
      <c r="H280" s="31" t="s">
        <v>39</v>
      </c>
      <c r="I280" s="31" t="n">
        <f aca="false">VLOOKUP(H280,Paramètres!$A$15:$B$19,2,FALSE())</f>
        <v>0.5</v>
      </c>
      <c r="J280" s="31" t="n">
        <v>1</v>
      </c>
      <c r="K280" s="50" t="str">
        <f aca="false">C280&amp;"|"&amp;J280</f>
        <v>API-IA|1</v>
      </c>
      <c r="L280" s="31" t="s">
        <v>1048</v>
      </c>
      <c r="M280" s="31" t="n">
        <v>2</v>
      </c>
      <c r="N280" s="51" t="s">
        <v>462</v>
      </c>
      <c r="O280" s="35" t="s">
        <v>78</v>
      </c>
      <c r="P280" s="52"/>
      <c r="Q280" s="52"/>
      <c r="R280" s="33" t="n">
        <f aca="false">INDEX(Épopées!$L$6:$L$59,MATCH(K280,Épopées!$A$6:$A$59,0))</f>
        <v>46506</v>
      </c>
      <c r="S280" s="33" t="n">
        <f aca="false">INDEX(Épopées!$M$6:$M$59,MATCH(K280,Épopées!$A$6:$A$59,0))</f>
        <v>46526</v>
      </c>
      <c r="T280" s="53" t="s">
        <v>463</v>
      </c>
    </row>
    <row r="281" customFormat="false" ht="15" hidden="false" customHeight="false" outlineLevel="0" collapsed="false">
      <c r="A281" s="31" t="s">
        <v>1116</v>
      </c>
      <c r="B281" s="31" t="s">
        <v>301</v>
      </c>
      <c r="C281" s="31" t="s">
        <v>321</v>
      </c>
      <c r="D281" s="31" t="s">
        <v>131</v>
      </c>
      <c r="E281" s="31" t="s">
        <v>1117</v>
      </c>
      <c r="F281" s="31" t="s">
        <v>481</v>
      </c>
      <c r="G281" s="31" t="s">
        <v>466</v>
      </c>
      <c r="H281" s="31" t="s">
        <v>39</v>
      </c>
      <c r="I281" s="31" t="n">
        <f aca="false">VLOOKUP(H281,Paramètres!$A$15:$B$19,2,FALSE())</f>
        <v>0.5</v>
      </c>
      <c r="J281" s="31" t="n">
        <v>1</v>
      </c>
      <c r="K281" s="50" t="str">
        <f aca="false">C281&amp;"|"&amp;J281</f>
        <v>API-IA|1</v>
      </c>
      <c r="L281" s="31" t="s">
        <v>1081</v>
      </c>
      <c r="M281" s="31" t="n">
        <v>2</v>
      </c>
      <c r="N281" s="51" t="s">
        <v>462</v>
      </c>
      <c r="O281" s="35" t="s">
        <v>78</v>
      </c>
      <c r="P281" s="52"/>
      <c r="Q281" s="52"/>
      <c r="R281" s="33" t="n">
        <f aca="false">INDEX(Épopées!$L$6:$L$59,MATCH(K281,Épopées!$A$6:$A$59,0))</f>
        <v>46506</v>
      </c>
      <c r="S281" s="33" t="n">
        <f aca="false">INDEX(Épopées!$M$6:$M$59,MATCH(K281,Épopées!$A$6:$A$59,0))</f>
        <v>46526</v>
      </c>
      <c r="T281" s="53" t="s">
        <v>463</v>
      </c>
    </row>
    <row r="282" customFormat="false" ht="15" hidden="false" customHeight="false" outlineLevel="0" collapsed="false">
      <c r="A282" s="31" t="s">
        <v>1118</v>
      </c>
      <c r="B282" s="31" t="s">
        <v>301</v>
      </c>
      <c r="C282" s="31" t="s">
        <v>321</v>
      </c>
      <c r="D282" s="31" t="s">
        <v>131</v>
      </c>
      <c r="E282" s="31" t="s">
        <v>1119</v>
      </c>
      <c r="F282" s="31" t="s">
        <v>472</v>
      </c>
      <c r="G282" s="31" t="s">
        <v>461</v>
      </c>
      <c r="H282" s="31" t="s">
        <v>41</v>
      </c>
      <c r="I282" s="31" t="n">
        <f aca="false">VLOOKUP(H282,Paramètres!$A$15:$B$19,2,FALSE())</f>
        <v>1</v>
      </c>
      <c r="J282" s="31" t="n">
        <v>1</v>
      </c>
      <c r="K282" s="50" t="str">
        <f aca="false">C282&amp;"|"&amp;J282</f>
        <v>API-IA|1</v>
      </c>
      <c r="L282" s="31" t="s">
        <v>1120</v>
      </c>
      <c r="M282" s="31" t="n">
        <v>5</v>
      </c>
      <c r="N282" s="51" t="s">
        <v>462</v>
      </c>
      <c r="O282" s="35" t="s">
        <v>78</v>
      </c>
      <c r="P282" s="52"/>
      <c r="Q282" s="52"/>
      <c r="R282" s="33" t="n">
        <f aca="false">INDEX(Épopées!$L$6:$L$59,MATCH(K282,Épopées!$A$6:$A$59,0))</f>
        <v>46506</v>
      </c>
      <c r="S282" s="33" t="n">
        <f aca="false">INDEX(Épopées!$M$6:$M$59,MATCH(K282,Épopées!$A$6:$A$59,0))</f>
        <v>46526</v>
      </c>
      <c r="T282" s="53" t="s">
        <v>463</v>
      </c>
    </row>
    <row r="283" customFormat="false" ht="15" hidden="false" customHeight="false" outlineLevel="0" collapsed="false">
      <c r="A283" s="31" t="s">
        <v>1121</v>
      </c>
      <c r="B283" s="31" t="s">
        <v>301</v>
      </c>
      <c r="C283" s="31" t="s">
        <v>321</v>
      </c>
      <c r="D283" s="31" t="s">
        <v>131</v>
      </c>
      <c r="E283" s="31" t="s">
        <v>1122</v>
      </c>
      <c r="F283" s="31" t="s">
        <v>472</v>
      </c>
      <c r="G283" s="31" t="s">
        <v>461</v>
      </c>
      <c r="H283" s="31" t="s">
        <v>41</v>
      </c>
      <c r="I283" s="31" t="n">
        <f aca="false">VLOOKUP(H283,Paramètres!$A$15:$B$19,2,FALSE())</f>
        <v>1</v>
      </c>
      <c r="J283" s="31" t="n">
        <v>1</v>
      </c>
      <c r="K283" s="50" t="str">
        <f aca="false">C283&amp;"|"&amp;J283</f>
        <v>API-IA|1</v>
      </c>
      <c r="L283" s="31" t="s">
        <v>1123</v>
      </c>
      <c r="M283" s="31" t="n">
        <v>5</v>
      </c>
      <c r="N283" s="51" t="s">
        <v>462</v>
      </c>
      <c r="O283" s="35" t="s">
        <v>78</v>
      </c>
      <c r="P283" s="52"/>
      <c r="Q283" s="52"/>
      <c r="R283" s="33" t="n">
        <f aca="false">INDEX(Épopées!$L$6:$L$59,MATCH(K283,Épopées!$A$6:$A$59,0))</f>
        <v>46506</v>
      </c>
      <c r="S283" s="33" t="n">
        <f aca="false">INDEX(Épopées!$M$6:$M$59,MATCH(K283,Épopées!$A$6:$A$59,0))</f>
        <v>46526</v>
      </c>
      <c r="T283" s="53" t="s">
        <v>463</v>
      </c>
    </row>
    <row r="284" customFormat="false" ht="15" hidden="false" customHeight="false" outlineLevel="0" collapsed="false">
      <c r="A284" s="31" t="s">
        <v>1124</v>
      </c>
      <c r="B284" s="31" t="s">
        <v>301</v>
      </c>
      <c r="C284" s="31" t="s">
        <v>321</v>
      </c>
      <c r="D284" s="31" t="s">
        <v>131</v>
      </c>
      <c r="E284" s="31" t="s">
        <v>1125</v>
      </c>
      <c r="F284" s="31" t="s">
        <v>548</v>
      </c>
      <c r="G284" s="31" t="s">
        <v>612</v>
      </c>
      <c r="H284" s="31" t="s">
        <v>39</v>
      </c>
      <c r="I284" s="31" t="n">
        <f aca="false">VLOOKUP(H284,Paramètres!$A$15:$B$19,2,FALSE())</f>
        <v>0.5</v>
      </c>
      <c r="J284" s="31" t="n">
        <v>1</v>
      </c>
      <c r="K284" s="50" t="str">
        <f aca="false">C284&amp;"|"&amp;J284</f>
        <v>API-IA|1</v>
      </c>
      <c r="L284" s="31" t="s">
        <v>1089</v>
      </c>
      <c r="M284" s="31" t="n">
        <v>2</v>
      </c>
      <c r="N284" s="51" t="s">
        <v>462</v>
      </c>
      <c r="O284" s="35" t="s">
        <v>78</v>
      </c>
      <c r="P284" s="52"/>
      <c r="Q284" s="52"/>
      <c r="R284" s="33" t="n">
        <f aca="false">INDEX(Épopées!$L$6:$L$59,MATCH(K284,Épopées!$A$6:$A$59,0))</f>
        <v>46506</v>
      </c>
      <c r="S284" s="33" t="n">
        <f aca="false">INDEX(Épopées!$M$6:$M$59,MATCH(K284,Épopées!$A$6:$A$59,0))</f>
        <v>46526</v>
      </c>
      <c r="T284" s="53" t="s">
        <v>463</v>
      </c>
    </row>
    <row r="285" customFormat="false" ht="15" hidden="false" customHeight="false" outlineLevel="0" collapsed="false">
      <c r="A285" s="31" t="s">
        <v>1126</v>
      </c>
      <c r="B285" s="31" t="s">
        <v>301</v>
      </c>
      <c r="C285" s="31" t="s">
        <v>321</v>
      </c>
      <c r="D285" s="31" t="s">
        <v>131</v>
      </c>
      <c r="E285" s="31" t="s">
        <v>1127</v>
      </c>
      <c r="F285" s="31" t="s">
        <v>503</v>
      </c>
      <c r="G285" s="31" t="s">
        <v>466</v>
      </c>
      <c r="H285" s="31" t="s">
        <v>39</v>
      </c>
      <c r="I285" s="31" t="n">
        <f aca="false">VLOOKUP(H285,Paramètres!$A$15:$B$19,2,FALSE())</f>
        <v>0.5</v>
      </c>
      <c r="J285" s="31" t="n">
        <v>1</v>
      </c>
      <c r="K285" s="50" t="str">
        <f aca="false">C285&amp;"|"&amp;J285</f>
        <v>API-IA|1</v>
      </c>
      <c r="L285" s="31" t="s">
        <v>1128</v>
      </c>
      <c r="M285" s="31" t="n">
        <v>4</v>
      </c>
      <c r="N285" s="51" t="s">
        <v>462</v>
      </c>
      <c r="O285" s="35" t="s">
        <v>78</v>
      </c>
      <c r="P285" s="52"/>
      <c r="Q285" s="52"/>
      <c r="R285" s="33" t="n">
        <f aca="false">INDEX(Épopées!$L$6:$L$59,MATCH(K285,Épopées!$A$6:$A$59,0))</f>
        <v>46506</v>
      </c>
      <c r="S285" s="33" t="n">
        <f aca="false">INDEX(Épopées!$M$6:$M$59,MATCH(K285,Épopées!$A$6:$A$59,0))</f>
        <v>46526</v>
      </c>
      <c r="T285" s="53" t="s">
        <v>463</v>
      </c>
    </row>
    <row r="286" customFormat="false" ht="15" hidden="false" customHeight="false" outlineLevel="0" collapsed="false">
      <c r="A286" s="31" t="s">
        <v>1129</v>
      </c>
      <c r="B286" s="31" t="s">
        <v>301</v>
      </c>
      <c r="C286" s="31" t="s">
        <v>323</v>
      </c>
      <c r="D286" s="31" t="s">
        <v>324</v>
      </c>
      <c r="E286" s="31" t="s">
        <v>1130</v>
      </c>
      <c r="F286" s="31" t="s">
        <v>486</v>
      </c>
      <c r="G286" s="31" t="s">
        <v>461</v>
      </c>
      <c r="H286" s="31" t="s">
        <v>39</v>
      </c>
      <c r="I286" s="31" t="n">
        <f aca="false">VLOOKUP(H286,Paramètres!$A$15:$B$19,2,FALSE())</f>
        <v>0.5</v>
      </c>
      <c r="J286" s="31" t="n">
        <v>2</v>
      </c>
      <c r="K286" s="50" t="str">
        <f aca="false">C286&amp;"|"&amp;J286</f>
        <v>API-COMM|2</v>
      </c>
      <c r="L286" s="31"/>
      <c r="M286" s="31" t="n">
        <v>2</v>
      </c>
      <c r="N286" s="51" t="s">
        <v>462</v>
      </c>
      <c r="O286" s="35" t="s">
        <v>78</v>
      </c>
      <c r="P286" s="52"/>
      <c r="Q286" s="52"/>
      <c r="R286" s="33" t="n">
        <f aca="false">INDEX(Épopées!$L$6:$L$59,MATCH(K286,Épopées!$A$6:$A$59,0))</f>
        <v>46527</v>
      </c>
      <c r="S286" s="33" t="n">
        <f aca="false">INDEX(Épopées!$M$6:$M$59,MATCH(K286,Épopées!$A$6:$A$59,0))</f>
        <v>46552</v>
      </c>
      <c r="T286" s="53" t="s">
        <v>463</v>
      </c>
    </row>
    <row r="287" customFormat="false" ht="15" hidden="false" customHeight="false" outlineLevel="0" collapsed="false">
      <c r="A287" s="31" t="s">
        <v>1131</v>
      </c>
      <c r="B287" s="31" t="s">
        <v>301</v>
      </c>
      <c r="C287" s="31" t="s">
        <v>323</v>
      </c>
      <c r="D287" s="31" t="s">
        <v>324</v>
      </c>
      <c r="E287" s="31" t="s">
        <v>1132</v>
      </c>
      <c r="F287" s="31" t="s">
        <v>481</v>
      </c>
      <c r="G287" s="31" t="s">
        <v>461</v>
      </c>
      <c r="H287" s="31" t="s">
        <v>41</v>
      </c>
      <c r="I287" s="31" t="n">
        <f aca="false">VLOOKUP(H287,Paramètres!$A$15:$B$19,2,FALSE())</f>
        <v>1</v>
      </c>
      <c r="J287" s="31" t="n">
        <v>2</v>
      </c>
      <c r="K287" s="50" t="str">
        <f aca="false">C287&amp;"|"&amp;J287</f>
        <v>API-COMM|2</v>
      </c>
      <c r="L287" s="31" t="s">
        <v>1129</v>
      </c>
      <c r="M287" s="31" t="n">
        <v>2</v>
      </c>
      <c r="N287" s="51" t="s">
        <v>462</v>
      </c>
      <c r="O287" s="35" t="s">
        <v>78</v>
      </c>
      <c r="P287" s="52"/>
      <c r="Q287" s="52"/>
      <c r="R287" s="33" t="n">
        <f aca="false">INDEX(Épopées!$L$6:$L$59,MATCH(K287,Épopées!$A$6:$A$59,0))</f>
        <v>46527</v>
      </c>
      <c r="S287" s="33" t="n">
        <f aca="false">INDEX(Épopées!$M$6:$M$59,MATCH(K287,Épopées!$A$6:$A$59,0))</f>
        <v>46552</v>
      </c>
      <c r="T287" s="53" t="s">
        <v>463</v>
      </c>
    </row>
    <row r="288" customFormat="false" ht="15" hidden="false" customHeight="false" outlineLevel="0" collapsed="false">
      <c r="A288" s="31" t="s">
        <v>1133</v>
      </c>
      <c r="B288" s="31" t="s">
        <v>301</v>
      </c>
      <c r="C288" s="31" t="s">
        <v>323</v>
      </c>
      <c r="D288" s="31" t="s">
        <v>324</v>
      </c>
      <c r="E288" s="31" t="s">
        <v>1134</v>
      </c>
      <c r="F288" s="31" t="s">
        <v>469</v>
      </c>
      <c r="G288" s="31" t="s">
        <v>461</v>
      </c>
      <c r="H288" s="31" t="s">
        <v>41</v>
      </c>
      <c r="I288" s="31" t="n">
        <f aca="false">VLOOKUP(H288,Paramètres!$A$15:$B$19,2,FALSE())</f>
        <v>1</v>
      </c>
      <c r="J288" s="31" t="n">
        <v>2</v>
      </c>
      <c r="K288" s="50" t="str">
        <f aca="false">C288&amp;"|"&amp;J288</f>
        <v>API-COMM|2</v>
      </c>
      <c r="L288" s="31" t="s">
        <v>1131</v>
      </c>
      <c r="M288" s="31" t="n">
        <v>2</v>
      </c>
      <c r="N288" s="51" t="s">
        <v>462</v>
      </c>
      <c r="O288" s="35" t="s">
        <v>78</v>
      </c>
      <c r="P288" s="52"/>
      <c r="Q288" s="52"/>
      <c r="R288" s="33" t="n">
        <f aca="false">INDEX(Épopées!$L$6:$L$59,MATCH(K288,Épopées!$A$6:$A$59,0))</f>
        <v>46527</v>
      </c>
      <c r="S288" s="33" t="n">
        <f aca="false">INDEX(Épopées!$M$6:$M$59,MATCH(K288,Épopées!$A$6:$A$59,0))</f>
        <v>46552</v>
      </c>
      <c r="T288" s="53" t="s">
        <v>463</v>
      </c>
    </row>
    <row r="289" customFormat="false" ht="15" hidden="false" customHeight="false" outlineLevel="0" collapsed="false">
      <c r="A289" s="31" t="s">
        <v>1135</v>
      </c>
      <c r="B289" s="31" t="s">
        <v>301</v>
      </c>
      <c r="C289" s="31" t="s">
        <v>323</v>
      </c>
      <c r="D289" s="31" t="s">
        <v>324</v>
      </c>
      <c r="E289" s="31" t="s">
        <v>1136</v>
      </c>
      <c r="F289" s="31" t="s">
        <v>579</v>
      </c>
      <c r="G289" s="31" t="s">
        <v>461</v>
      </c>
      <c r="H289" s="31" t="s">
        <v>41</v>
      </c>
      <c r="I289" s="31" t="n">
        <f aca="false">VLOOKUP(H289,Paramètres!$A$15:$B$19,2,FALSE())</f>
        <v>1</v>
      </c>
      <c r="J289" s="31" t="n">
        <v>2</v>
      </c>
      <c r="K289" s="50" t="str">
        <f aca="false">C289&amp;"|"&amp;J289</f>
        <v>API-COMM|2</v>
      </c>
      <c r="L289" s="31" t="s">
        <v>1129</v>
      </c>
      <c r="M289" s="31" t="n">
        <v>2</v>
      </c>
      <c r="N289" s="51" t="s">
        <v>462</v>
      </c>
      <c r="O289" s="35" t="s">
        <v>78</v>
      </c>
      <c r="P289" s="52"/>
      <c r="Q289" s="52"/>
      <c r="R289" s="33" t="n">
        <f aca="false">INDEX(Épopées!$L$6:$L$59,MATCH(K289,Épopées!$A$6:$A$59,0))</f>
        <v>46527</v>
      </c>
      <c r="S289" s="33" t="n">
        <f aca="false">INDEX(Épopées!$M$6:$M$59,MATCH(K289,Épopées!$A$6:$A$59,0))</f>
        <v>46552</v>
      </c>
      <c r="T289" s="53" t="s">
        <v>463</v>
      </c>
    </row>
    <row r="290" customFormat="false" ht="15" hidden="false" customHeight="false" outlineLevel="0" collapsed="false">
      <c r="A290" s="31" t="s">
        <v>1137</v>
      </c>
      <c r="B290" s="31" t="s">
        <v>301</v>
      </c>
      <c r="C290" s="31" t="s">
        <v>323</v>
      </c>
      <c r="D290" s="31" t="s">
        <v>324</v>
      </c>
      <c r="E290" s="31" t="s">
        <v>1138</v>
      </c>
      <c r="F290" s="31" t="s">
        <v>491</v>
      </c>
      <c r="G290" s="31" t="s">
        <v>461</v>
      </c>
      <c r="H290" s="31" t="s">
        <v>41</v>
      </c>
      <c r="I290" s="31" t="n">
        <f aca="false">VLOOKUP(H290,Paramètres!$A$15:$B$19,2,FALSE())</f>
        <v>1</v>
      </c>
      <c r="J290" s="31" t="n">
        <v>2</v>
      </c>
      <c r="K290" s="50" t="str">
        <f aca="false">C290&amp;"|"&amp;J290</f>
        <v>API-COMM|2</v>
      </c>
      <c r="L290" s="31" t="s">
        <v>1139</v>
      </c>
      <c r="M290" s="31" t="n">
        <v>2</v>
      </c>
      <c r="N290" s="51" t="s">
        <v>462</v>
      </c>
      <c r="O290" s="35" t="s">
        <v>78</v>
      </c>
      <c r="P290" s="52"/>
      <c r="Q290" s="52"/>
      <c r="R290" s="33" t="n">
        <f aca="false">INDEX(Épopées!$L$6:$L$59,MATCH(K290,Épopées!$A$6:$A$59,0))</f>
        <v>46527</v>
      </c>
      <c r="S290" s="33" t="n">
        <f aca="false">INDEX(Épopées!$M$6:$M$59,MATCH(K290,Épopées!$A$6:$A$59,0))</f>
        <v>46552</v>
      </c>
      <c r="T290" s="53" t="s">
        <v>463</v>
      </c>
    </row>
    <row r="291" customFormat="false" ht="15" hidden="false" customHeight="false" outlineLevel="0" collapsed="false">
      <c r="A291" s="31" t="s">
        <v>1140</v>
      </c>
      <c r="B291" s="31" t="s">
        <v>301</v>
      </c>
      <c r="C291" s="31" t="s">
        <v>323</v>
      </c>
      <c r="D291" s="31" t="s">
        <v>324</v>
      </c>
      <c r="E291" s="31" t="s">
        <v>1141</v>
      </c>
      <c r="F291" s="31" t="s">
        <v>491</v>
      </c>
      <c r="G291" s="31" t="s">
        <v>461</v>
      </c>
      <c r="H291" s="31" t="s">
        <v>39</v>
      </c>
      <c r="I291" s="31" t="n">
        <f aca="false">VLOOKUP(H291,Paramètres!$A$15:$B$19,2,FALSE())</f>
        <v>0.5</v>
      </c>
      <c r="J291" s="31" t="n">
        <v>2</v>
      </c>
      <c r="K291" s="50" t="str">
        <f aca="false">C291&amp;"|"&amp;J291</f>
        <v>API-COMM|2</v>
      </c>
      <c r="L291" s="31" t="s">
        <v>1137</v>
      </c>
      <c r="M291" s="31" t="n">
        <v>1</v>
      </c>
      <c r="N291" s="51" t="s">
        <v>462</v>
      </c>
      <c r="O291" s="35" t="s">
        <v>78</v>
      </c>
      <c r="P291" s="52"/>
      <c r="Q291" s="52"/>
      <c r="R291" s="33" t="n">
        <f aca="false">INDEX(Épopées!$L$6:$L$59,MATCH(K291,Épopées!$A$6:$A$59,0))</f>
        <v>46527</v>
      </c>
      <c r="S291" s="33" t="n">
        <f aca="false">INDEX(Épopées!$M$6:$M$59,MATCH(K291,Épopées!$A$6:$A$59,0))</f>
        <v>46552</v>
      </c>
      <c r="T291" s="53" t="s">
        <v>463</v>
      </c>
    </row>
    <row r="292" customFormat="false" ht="15" hidden="false" customHeight="false" outlineLevel="0" collapsed="false">
      <c r="A292" s="31" t="s">
        <v>1142</v>
      </c>
      <c r="B292" s="31" t="s">
        <v>301</v>
      </c>
      <c r="C292" s="31" t="s">
        <v>323</v>
      </c>
      <c r="D292" s="31" t="s">
        <v>324</v>
      </c>
      <c r="E292" s="31" t="s">
        <v>1143</v>
      </c>
      <c r="F292" s="31" t="s">
        <v>486</v>
      </c>
      <c r="G292" s="31" t="s">
        <v>461</v>
      </c>
      <c r="H292" s="31" t="s">
        <v>39</v>
      </c>
      <c r="I292" s="31" t="n">
        <f aca="false">VLOOKUP(H292,Paramètres!$A$15:$B$19,2,FALSE())</f>
        <v>0.5</v>
      </c>
      <c r="J292" s="31" t="n">
        <v>2</v>
      </c>
      <c r="K292" s="50" t="str">
        <f aca="false">C292&amp;"|"&amp;J292</f>
        <v>API-COMM|2</v>
      </c>
      <c r="L292" s="31" t="s">
        <v>1131</v>
      </c>
      <c r="M292" s="31" t="n">
        <v>2</v>
      </c>
      <c r="N292" s="51" t="s">
        <v>462</v>
      </c>
      <c r="O292" s="35" t="s">
        <v>78</v>
      </c>
      <c r="P292" s="52"/>
      <c r="Q292" s="52"/>
      <c r="R292" s="33" t="n">
        <f aca="false">INDEX(Épopées!$L$6:$L$59,MATCH(K292,Épopées!$A$6:$A$59,0))</f>
        <v>46527</v>
      </c>
      <c r="S292" s="33" t="n">
        <f aca="false">INDEX(Épopées!$M$6:$M$59,MATCH(K292,Épopées!$A$6:$A$59,0))</f>
        <v>46552</v>
      </c>
      <c r="T292" s="53" t="s">
        <v>463</v>
      </c>
    </row>
    <row r="293" customFormat="false" ht="15" hidden="false" customHeight="false" outlineLevel="0" collapsed="false">
      <c r="A293" s="31" t="s">
        <v>1144</v>
      </c>
      <c r="B293" s="31" t="s">
        <v>301</v>
      </c>
      <c r="C293" s="31" t="s">
        <v>323</v>
      </c>
      <c r="D293" s="31" t="s">
        <v>324</v>
      </c>
      <c r="E293" s="31" t="s">
        <v>1145</v>
      </c>
      <c r="F293" s="31" t="s">
        <v>491</v>
      </c>
      <c r="G293" s="31" t="s">
        <v>461</v>
      </c>
      <c r="H293" s="31" t="s">
        <v>43</v>
      </c>
      <c r="I293" s="31" t="n">
        <f aca="false">VLOOKUP(H293,Paramètres!$A$15:$B$19,2,FALSE())</f>
        <v>2</v>
      </c>
      <c r="J293" s="31" t="n">
        <v>2</v>
      </c>
      <c r="K293" s="50" t="str">
        <f aca="false">C293&amp;"|"&amp;J293</f>
        <v>API-COMM|2</v>
      </c>
      <c r="L293" s="31" t="s">
        <v>1146</v>
      </c>
      <c r="M293" s="31" t="n">
        <v>3</v>
      </c>
      <c r="N293" s="51" t="s">
        <v>462</v>
      </c>
      <c r="O293" s="35" t="s">
        <v>78</v>
      </c>
      <c r="P293" s="52"/>
      <c r="Q293" s="52"/>
      <c r="R293" s="33" t="n">
        <f aca="false">INDEX(Épopées!$L$6:$L$59,MATCH(K293,Épopées!$A$6:$A$59,0))</f>
        <v>46527</v>
      </c>
      <c r="S293" s="33" t="n">
        <f aca="false">INDEX(Épopées!$M$6:$M$59,MATCH(K293,Épopées!$A$6:$A$59,0))</f>
        <v>46552</v>
      </c>
      <c r="T293" s="53" t="s">
        <v>463</v>
      </c>
    </row>
    <row r="294" customFormat="false" ht="15" hidden="false" customHeight="false" outlineLevel="0" collapsed="false">
      <c r="A294" s="31" t="s">
        <v>1147</v>
      </c>
      <c r="B294" s="31" t="s">
        <v>301</v>
      </c>
      <c r="C294" s="31" t="s">
        <v>323</v>
      </c>
      <c r="D294" s="31" t="s">
        <v>324</v>
      </c>
      <c r="E294" s="31" t="s">
        <v>1148</v>
      </c>
      <c r="F294" s="31" t="s">
        <v>460</v>
      </c>
      <c r="G294" s="31" t="s">
        <v>461</v>
      </c>
      <c r="H294" s="31" t="s">
        <v>43</v>
      </c>
      <c r="I294" s="31" t="n">
        <f aca="false">VLOOKUP(H294,Paramètres!$A$15:$B$19,2,FALSE())</f>
        <v>2</v>
      </c>
      <c r="J294" s="31" t="n">
        <v>2</v>
      </c>
      <c r="K294" s="50" t="str">
        <f aca="false">C294&amp;"|"&amp;J294</f>
        <v>API-COMM|2</v>
      </c>
      <c r="L294" s="31" t="s">
        <v>1144</v>
      </c>
      <c r="M294" s="31" t="n">
        <v>5</v>
      </c>
      <c r="N294" s="51" t="s">
        <v>462</v>
      </c>
      <c r="O294" s="35" t="s">
        <v>78</v>
      </c>
      <c r="P294" s="52"/>
      <c r="Q294" s="52"/>
      <c r="R294" s="33" t="n">
        <f aca="false">INDEX(Épopées!$L$6:$L$59,MATCH(K294,Épopées!$A$6:$A$59,0))</f>
        <v>46527</v>
      </c>
      <c r="S294" s="33" t="n">
        <f aca="false">INDEX(Épopées!$M$6:$M$59,MATCH(K294,Épopées!$A$6:$A$59,0))</f>
        <v>46552</v>
      </c>
      <c r="T294" s="53" t="s">
        <v>463</v>
      </c>
    </row>
    <row r="295" customFormat="false" ht="15" hidden="false" customHeight="false" outlineLevel="0" collapsed="false">
      <c r="A295" s="31" t="s">
        <v>1149</v>
      </c>
      <c r="B295" s="31" t="s">
        <v>301</v>
      </c>
      <c r="C295" s="31" t="s">
        <v>323</v>
      </c>
      <c r="D295" s="31" t="s">
        <v>324</v>
      </c>
      <c r="E295" s="31" t="s">
        <v>1150</v>
      </c>
      <c r="F295" s="31" t="s">
        <v>460</v>
      </c>
      <c r="G295" s="31" t="s">
        <v>461</v>
      </c>
      <c r="H295" s="31" t="s">
        <v>39</v>
      </c>
      <c r="I295" s="31" t="n">
        <f aca="false">VLOOKUP(H295,Paramètres!$A$15:$B$19,2,FALSE())</f>
        <v>0.5</v>
      </c>
      <c r="J295" s="31" t="n">
        <v>2</v>
      </c>
      <c r="K295" s="50" t="str">
        <f aca="false">C295&amp;"|"&amp;J295</f>
        <v>API-COMM|2</v>
      </c>
      <c r="L295" s="31" t="s">
        <v>1144</v>
      </c>
      <c r="M295" s="31" t="n">
        <v>2</v>
      </c>
      <c r="N295" s="51" t="s">
        <v>462</v>
      </c>
      <c r="O295" s="35" t="s">
        <v>78</v>
      </c>
      <c r="P295" s="52"/>
      <c r="Q295" s="52"/>
      <c r="R295" s="33" t="n">
        <f aca="false">INDEX(Épopées!$L$6:$L$59,MATCH(K295,Épopées!$A$6:$A$59,0))</f>
        <v>46527</v>
      </c>
      <c r="S295" s="33" t="n">
        <f aca="false">INDEX(Épopées!$M$6:$M$59,MATCH(K295,Épopées!$A$6:$A$59,0))</f>
        <v>46552</v>
      </c>
      <c r="T295" s="53" t="s">
        <v>463</v>
      </c>
    </row>
    <row r="296" customFormat="false" ht="15" hidden="false" customHeight="false" outlineLevel="0" collapsed="false">
      <c r="A296" s="31" t="s">
        <v>1151</v>
      </c>
      <c r="B296" s="31" t="s">
        <v>301</v>
      </c>
      <c r="C296" s="31" t="s">
        <v>323</v>
      </c>
      <c r="D296" s="31" t="s">
        <v>324</v>
      </c>
      <c r="E296" s="31" t="s">
        <v>1152</v>
      </c>
      <c r="F296" s="31" t="s">
        <v>460</v>
      </c>
      <c r="G296" s="31" t="s">
        <v>461</v>
      </c>
      <c r="H296" s="31" t="s">
        <v>41</v>
      </c>
      <c r="I296" s="31" t="n">
        <f aca="false">VLOOKUP(H296,Paramètres!$A$15:$B$19,2,FALSE())</f>
        <v>1</v>
      </c>
      <c r="J296" s="31" t="n">
        <v>2</v>
      </c>
      <c r="K296" s="50" t="str">
        <f aca="false">C296&amp;"|"&amp;J296</f>
        <v>API-COMM|2</v>
      </c>
      <c r="L296" s="31" t="s">
        <v>1147</v>
      </c>
      <c r="M296" s="31" t="n">
        <v>3</v>
      </c>
      <c r="N296" s="51" t="s">
        <v>462</v>
      </c>
      <c r="O296" s="35" t="s">
        <v>78</v>
      </c>
      <c r="P296" s="52"/>
      <c r="Q296" s="52"/>
      <c r="R296" s="33" t="n">
        <f aca="false">INDEX(Épopées!$L$6:$L$59,MATCH(K296,Épopées!$A$6:$A$59,0))</f>
        <v>46527</v>
      </c>
      <c r="S296" s="33" t="n">
        <f aca="false">INDEX(Épopées!$M$6:$M$59,MATCH(K296,Épopées!$A$6:$A$59,0))</f>
        <v>46552</v>
      </c>
      <c r="T296" s="53" t="s">
        <v>463</v>
      </c>
    </row>
    <row r="297" customFormat="false" ht="15" hidden="false" customHeight="false" outlineLevel="0" collapsed="false">
      <c r="A297" s="31" t="s">
        <v>1153</v>
      </c>
      <c r="B297" s="31" t="s">
        <v>301</v>
      </c>
      <c r="C297" s="31" t="s">
        <v>323</v>
      </c>
      <c r="D297" s="31" t="s">
        <v>324</v>
      </c>
      <c r="E297" s="31" t="s">
        <v>1154</v>
      </c>
      <c r="F297" s="31" t="s">
        <v>460</v>
      </c>
      <c r="G297" s="31" t="s">
        <v>466</v>
      </c>
      <c r="H297" s="31" t="s">
        <v>41</v>
      </c>
      <c r="I297" s="31" t="n">
        <f aca="false">VLOOKUP(H297,Paramètres!$A$15:$B$19,2,FALSE())</f>
        <v>1</v>
      </c>
      <c r="J297" s="31" t="n">
        <v>2</v>
      </c>
      <c r="K297" s="50" t="str">
        <f aca="false">C297&amp;"|"&amp;J297</f>
        <v>API-COMM|2</v>
      </c>
      <c r="L297" s="31" t="s">
        <v>1151</v>
      </c>
      <c r="M297" s="31" t="n">
        <v>2</v>
      </c>
      <c r="N297" s="51" t="s">
        <v>462</v>
      </c>
      <c r="O297" s="35" t="s">
        <v>78</v>
      </c>
      <c r="P297" s="52"/>
      <c r="Q297" s="52"/>
      <c r="R297" s="33" t="n">
        <f aca="false">INDEX(Épopées!$L$6:$L$59,MATCH(K297,Épopées!$A$6:$A$59,0))</f>
        <v>46527</v>
      </c>
      <c r="S297" s="33" t="n">
        <f aca="false">INDEX(Épopées!$M$6:$M$59,MATCH(K297,Épopées!$A$6:$A$59,0))</f>
        <v>46552</v>
      </c>
      <c r="T297" s="53" t="s">
        <v>463</v>
      </c>
    </row>
    <row r="298" customFormat="false" ht="15" hidden="false" customHeight="false" outlineLevel="0" collapsed="false">
      <c r="A298" s="31" t="s">
        <v>1155</v>
      </c>
      <c r="B298" s="31" t="s">
        <v>301</v>
      </c>
      <c r="C298" s="31" t="s">
        <v>323</v>
      </c>
      <c r="D298" s="31" t="s">
        <v>324</v>
      </c>
      <c r="E298" s="31" t="s">
        <v>1156</v>
      </c>
      <c r="F298" s="31" t="s">
        <v>460</v>
      </c>
      <c r="G298" s="31" t="s">
        <v>466</v>
      </c>
      <c r="H298" s="31" t="s">
        <v>41</v>
      </c>
      <c r="I298" s="31" t="n">
        <f aca="false">VLOOKUP(H298,Paramètres!$A$15:$B$19,2,FALSE())</f>
        <v>1</v>
      </c>
      <c r="J298" s="31" t="n">
        <v>2</v>
      </c>
      <c r="K298" s="50" t="str">
        <f aca="false">C298&amp;"|"&amp;J298</f>
        <v>API-COMM|2</v>
      </c>
      <c r="L298" s="31" t="s">
        <v>1137</v>
      </c>
      <c r="M298" s="31" t="n">
        <v>3</v>
      </c>
      <c r="N298" s="51" t="s">
        <v>462</v>
      </c>
      <c r="O298" s="35" t="s">
        <v>78</v>
      </c>
      <c r="P298" s="52"/>
      <c r="Q298" s="52"/>
      <c r="R298" s="33" t="n">
        <f aca="false">INDEX(Épopées!$L$6:$L$59,MATCH(K298,Épopées!$A$6:$A$59,0))</f>
        <v>46527</v>
      </c>
      <c r="S298" s="33" t="n">
        <f aca="false">INDEX(Épopées!$M$6:$M$59,MATCH(K298,Épopées!$A$6:$A$59,0))</f>
        <v>46552</v>
      </c>
      <c r="T298" s="53" t="s">
        <v>463</v>
      </c>
    </row>
    <row r="299" customFormat="false" ht="15" hidden="false" customHeight="false" outlineLevel="0" collapsed="false">
      <c r="A299" s="31" t="s">
        <v>1157</v>
      </c>
      <c r="B299" s="31" t="s">
        <v>301</v>
      </c>
      <c r="C299" s="31" t="s">
        <v>323</v>
      </c>
      <c r="D299" s="31" t="s">
        <v>324</v>
      </c>
      <c r="E299" s="31" t="s">
        <v>1158</v>
      </c>
      <c r="F299" s="31" t="s">
        <v>460</v>
      </c>
      <c r="G299" s="31" t="s">
        <v>461</v>
      </c>
      <c r="H299" s="31" t="s">
        <v>41</v>
      </c>
      <c r="I299" s="31" t="n">
        <f aca="false">VLOOKUP(H299,Paramètres!$A$15:$B$19,2,FALSE())</f>
        <v>1</v>
      </c>
      <c r="J299" s="31" t="n">
        <v>2</v>
      </c>
      <c r="K299" s="50" t="str">
        <f aca="false">C299&amp;"|"&amp;J299</f>
        <v>API-COMM|2</v>
      </c>
      <c r="L299" s="31" t="s">
        <v>1159</v>
      </c>
      <c r="M299" s="31" t="n">
        <v>3</v>
      </c>
      <c r="N299" s="51" t="s">
        <v>462</v>
      </c>
      <c r="O299" s="35" t="s">
        <v>78</v>
      </c>
      <c r="P299" s="52"/>
      <c r="Q299" s="52"/>
      <c r="R299" s="33" t="n">
        <f aca="false">INDEX(Épopées!$L$6:$L$59,MATCH(K299,Épopées!$A$6:$A$59,0))</f>
        <v>46527</v>
      </c>
      <c r="S299" s="33" t="n">
        <f aca="false">INDEX(Épopées!$M$6:$M$59,MATCH(K299,Épopées!$A$6:$A$59,0))</f>
        <v>46552</v>
      </c>
      <c r="T299" s="53" t="s">
        <v>463</v>
      </c>
    </row>
    <row r="300" customFormat="false" ht="15" hidden="false" customHeight="false" outlineLevel="0" collapsed="false">
      <c r="A300" s="31" t="s">
        <v>1159</v>
      </c>
      <c r="B300" s="31" t="s">
        <v>301</v>
      </c>
      <c r="C300" s="31" t="s">
        <v>323</v>
      </c>
      <c r="D300" s="31" t="s">
        <v>324</v>
      </c>
      <c r="E300" s="31" t="s">
        <v>1160</v>
      </c>
      <c r="F300" s="31" t="s">
        <v>486</v>
      </c>
      <c r="G300" s="31" t="s">
        <v>461</v>
      </c>
      <c r="H300" s="31" t="s">
        <v>41</v>
      </c>
      <c r="I300" s="31" t="n">
        <f aca="false">VLOOKUP(H300,Paramètres!$A$15:$B$19,2,FALSE())</f>
        <v>1</v>
      </c>
      <c r="J300" s="31" t="n">
        <v>2</v>
      </c>
      <c r="K300" s="50" t="str">
        <f aca="false">C300&amp;"|"&amp;J300</f>
        <v>API-COMM|2</v>
      </c>
      <c r="L300" s="31" t="s">
        <v>1131</v>
      </c>
      <c r="M300" s="31" t="n">
        <v>3</v>
      </c>
      <c r="N300" s="51" t="s">
        <v>462</v>
      </c>
      <c r="O300" s="35" t="s">
        <v>78</v>
      </c>
      <c r="P300" s="52"/>
      <c r="Q300" s="52"/>
      <c r="R300" s="33" t="n">
        <f aca="false">INDEX(Épopées!$L$6:$L$59,MATCH(K300,Épopées!$A$6:$A$59,0))</f>
        <v>46527</v>
      </c>
      <c r="S300" s="33" t="n">
        <f aca="false">INDEX(Épopées!$M$6:$M$59,MATCH(K300,Épopées!$A$6:$A$59,0))</f>
        <v>46552</v>
      </c>
      <c r="T300" s="53" t="s">
        <v>463</v>
      </c>
    </row>
    <row r="301" customFormat="false" ht="15" hidden="false" customHeight="false" outlineLevel="0" collapsed="false">
      <c r="A301" s="31" t="s">
        <v>1161</v>
      </c>
      <c r="B301" s="31" t="s">
        <v>301</v>
      </c>
      <c r="C301" s="31" t="s">
        <v>323</v>
      </c>
      <c r="D301" s="31" t="s">
        <v>324</v>
      </c>
      <c r="E301" s="31" t="s">
        <v>1162</v>
      </c>
      <c r="F301" s="31" t="s">
        <v>491</v>
      </c>
      <c r="G301" s="31" t="s">
        <v>461</v>
      </c>
      <c r="H301" s="31" t="s">
        <v>43</v>
      </c>
      <c r="I301" s="31" t="n">
        <f aca="false">VLOOKUP(H301,Paramètres!$A$15:$B$19,2,FALSE())</f>
        <v>2</v>
      </c>
      <c r="J301" s="31" t="n">
        <v>2</v>
      </c>
      <c r="K301" s="50" t="str">
        <f aca="false">C301&amp;"|"&amp;J301</f>
        <v>API-COMM|2</v>
      </c>
      <c r="L301" s="31" t="s">
        <v>1159</v>
      </c>
      <c r="M301" s="31" t="n">
        <v>2</v>
      </c>
      <c r="N301" s="51" t="s">
        <v>462</v>
      </c>
      <c r="O301" s="35" t="s">
        <v>78</v>
      </c>
      <c r="P301" s="52"/>
      <c r="Q301" s="52"/>
      <c r="R301" s="33" t="n">
        <f aca="false">INDEX(Épopées!$L$6:$L$59,MATCH(K301,Épopées!$A$6:$A$59,0))</f>
        <v>46527</v>
      </c>
      <c r="S301" s="33" t="n">
        <f aca="false">INDEX(Épopées!$M$6:$M$59,MATCH(K301,Épopées!$A$6:$A$59,0))</f>
        <v>46552</v>
      </c>
      <c r="T301" s="53" t="s">
        <v>463</v>
      </c>
    </row>
    <row r="302" customFormat="false" ht="15" hidden="false" customHeight="false" outlineLevel="0" collapsed="false">
      <c r="A302" s="31" t="s">
        <v>1163</v>
      </c>
      <c r="B302" s="31" t="s">
        <v>301</v>
      </c>
      <c r="C302" s="31" t="s">
        <v>323</v>
      </c>
      <c r="D302" s="31" t="s">
        <v>324</v>
      </c>
      <c r="E302" s="31" t="s">
        <v>1164</v>
      </c>
      <c r="F302" s="31" t="s">
        <v>491</v>
      </c>
      <c r="G302" s="31" t="s">
        <v>466</v>
      </c>
      <c r="H302" s="31" t="s">
        <v>39</v>
      </c>
      <c r="I302" s="31" t="n">
        <f aca="false">VLOOKUP(H302,Paramètres!$A$15:$B$19,2,FALSE())</f>
        <v>0.5</v>
      </c>
      <c r="J302" s="31" t="n">
        <v>2</v>
      </c>
      <c r="K302" s="50" t="str">
        <f aca="false">C302&amp;"|"&amp;J302</f>
        <v>API-COMM|2</v>
      </c>
      <c r="L302" s="31" t="s">
        <v>1161</v>
      </c>
      <c r="M302" s="31" t="n">
        <v>2</v>
      </c>
      <c r="N302" s="51" t="s">
        <v>462</v>
      </c>
      <c r="O302" s="35" t="s">
        <v>78</v>
      </c>
      <c r="P302" s="52"/>
      <c r="Q302" s="52"/>
      <c r="R302" s="33" t="n">
        <f aca="false">INDEX(Épopées!$L$6:$L$59,MATCH(K302,Épopées!$A$6:$A$59,0))</f>
        <v>46527</v>
      </c>
      <c r="S302" s="33" t="n">
        <f aca="false">INDEX(Épopées!$M$6:$M$59,MATCH(K302,Épopées!$A$6:$A$59,0))</f>
        <v>46552</v>
      </c>
      <c r="T302" s="53" t="s">
        <v>463</v>
      </c>
    </row>
    <row r="303" customFormat="false" ht="15" hidden="false" customHeight="false" outlineLevel="0" collapsed="false">
      <c r="A303" s="31" t="s">
        <v>1165</v>
      </c>
      <c r="B303" s="31" t="s">
        <v>301</v>
      </c>
      <c r="C303" s="31" t="s">
        <v>323</v>
      </c>
      <c r="D303" s="31" t="s">
        <v>324</v>
      </c>
      <c r="E303" s="31" t="s">
        <v>1166</v>
      </c>
      <c r="F303" s="31" t="s">
        <v>469</v>
      </c>
      <c r="G303" s="31" t="s">
        <v>466</v>
      </c>
      <c r="H303" s="31" t="s">
        <v>41</v>
      </c>
      <c r="I303" s="31" t="n">
        <f aca="false">VLOOKUP(H303,Paramètres!$A$15:$B$19,2,FALSE())</f>
        <v>1</v>
      </c>
      <c r="J303" s="31" t="n">
        <v>2</v>
      </c>
      <c r="K303" s="50" t="str">
        <f aca="false">C303&amp;"|"&amp;J303</f>
        <v>API-COMM|2</v>
      </c>
      <c r="L303" s="31" t="s">
        <v>1159</v>
      </c>
      <c r="M303" s="31" t="n">
        <v>3</v>
      </c>
      <c r="N303" s="51" t="s">
        <v>462</v>
      </c>
      <c r="O303" s="35" t="s">
        <v>78</v>
      </c>
      <c r="P303" s="52"/>
      <c r="Q303" s="52"/>
      <c r="R303" s="33" t="n">
        <f aca="false">INDEX(Épopées!$L$6:$L$59,MATCH(K303,Épopées!$A$6:$A$59,0))</f>
        <v>46527</v>
      </c>
      <c r="S303" s="33" t="n">
        <f aca="false">INDEX(Épopées!$M$6:$M$59,MATCH(K303,Épopées!$A$6:$A$59,0))</f>
        <v>46552</v>
      </c>
      <c r="T303" s="53" t="s">
        <v>463</v>
      </c>
    </row>
    <row r="304" customFormat="false" ht="15" hidden="false" customHeight="false" outlineLevel="0" collapsed="false">
      <c r="A304" s="31" t="s">
        <v>1167</v>
      </c>
      <c r="B304" s="31" t="s">
        <v>301</v>
      </c>
      <c r="C304" s="31" t="s">
        <v>323</v>
      </c>
      <c r="D304" s="31" t="s">
        <v>324</v>
      </c>
      <c r="E304" s="31" t="s">
        <v>1168</v>
      </c>
      <c r="F304" s="31" t="s">
        <v>460</v>
      </c>
      <c r="G304" s="31" t="s">
        <v>461</v>
      </c>
      <c r="H304" s="31" t="s">
        <v>41</v>
      </c>
      <c r="I304" s="31" t="n">
        <f aca="false">VLOOKUP(H304,Paramètres!$A$15:$B$19,2,FALSE())</f>
        <v>1</v>
      </c>
      <c r="J304" s="31" t="n">
        <v>2</v>
      </c>
      <c r="K304" s="50" t="str">
        <f aca="false">C304&amp;"|"&amp;J304</f>
        <v>API-COMM|2</v>
      </c>
      <c r="L304" s="31" t="s">
        <v>1159</v>
      </c>
      <c r="M304" s="31" t="n">
        <v>4</v>
      </c>
      <c r="N304" s="51" t="s">
        <v>462</v>
      </c>
      <c r="O304" s="35" t="s">
        <v>78</v>
      </c>
      <c r="P304" s="52"/>
      <c r="Q304" s="52"/>
      <c r="R304" s="33" t="n">
        <f aca="false">INDEX(Épopées!$L$6:$L$59,MATCH(K304,Épopées!$A$6:$A$59,0))</f>
        <v>46527</v>
      </c>
      <c r="S304" s="33" t="n">
        <f aca="false">INDEX(Épopées!$M$6:$M$59,MATCH(K304,Épopées!$A$6:$A$59,0))</f>
        <v>46552</v>
      </c>
      <c r="T304" s="53" t="s">
        <v>463</v>
      </c>
    </row>
    <row r="305" customFormat="false" ht="15" hidden="false" customHeight="false" outlineLevel="0" collapsed="false">
      <c r="A305" s="31" t="s">
        <v>1169</v>
      </c>
      <c r="B305" s="31" t="s">
        <v>301</v>
      </c>
      <c r="C305" s="31" t="s">
        <v>323</v>
      </c>
      <c r="D305" s="31" t="s">
        <v>324</v>
      </c>
      <c r="E305" s="31" t="s">
        <v>1170</v>
      </c>
      <c r="F305" s="31" t="s">
        <v>491</v>
      </c>
      <c r="G305" s="31" t="s">
        <v>461</v>
      </c>
      <c r="H305" s="31" t="s">
        <v>41</v>
      </c>
      <c r="I305" s="31" t="n">
        <f aca="false">VLOOKUP(H305,Paramètres!$A$15:$B$19,2,FALSE())</f>
        <v>1</v>
      </c>
      <c r="J305" s="31" t="n">
        <v>2</v>
      </c>
      <c r="K305" s="50" t="str">
        <f aca="false">C305&amp;"|"&amp;J305</f>
        <v>API-COMM|2</v>
      </c>
      <c r="L305" s="31" t="s">
        <v>1167</v>
      </c>
      <c r="M305" s="31" t="n">
        <v>3</v>
      </c>
      <c r="N305" s="51" t="s">
        <v>462</v>
      </c>
      <c r="O305" s="35" t="s">
        <v>78</v>
      </c>
      <c r="P305" s="52"/>
      <c r="Q305" s="52"/>
      <c r="R305" s="33" t="n">
        <f aca="false">INDEX(Épopées!$L$6:$L$59,MATCH(K305,Épopées!$A$6:$A$59,0))</f>
        <v>46527</v>
      </c>
      <c r="S305" s="33" t="n">
        <f aca="false">INDEX(Épopées!$M$6:$M$59,MATCH(K305,Épopées!$A$6:$A$59,0))</f>
        <v>46552</v>
      </c>
      <c r="T305" s="53" t="s">
        <v>463</v>
      </c>
    </row>
    <row r="306" customFormat="false" ht="15" hidden="false" customHeight="false" outlineLevel="0" collapsed="false">
      <c r="A306" s="31" t="s">
        <v>1171</v>
      </c>
      <c r="B306" s="31" t="s">
        <v>301</v>
      </c>
      <c r="C306" s="31" t="s">
        <v>323</v>
      </c>
      <c r="D306" s="31" t="s">
        <v>324</v>
      </c>
      <c r="E306" s="31" t="s">
        <v>1172</v>
      </c>
      <c r="F306" s="31" t="s">
        <v>491</v>
      </c>
      <c r="G306" s="31" t="s">
        <v>466</v>
      </c>
      <c r="H306" s="31" t="s">
        <v>41</v>
      </c>
      <c r="I306" s="31" t="n">
        <f aca="false">VLOOKUP(H306,Paramètres!$A$15:$B$19,2,FALSE())</f>
        <v>1</v>
      </c>
      <c r="J306" s="31" t="n">
        <v>2</v>
      </c>
      <c r="K306" s="50" t="str">
        <f aca="false">C306&amp;"|"&amp;J306</f>
        <v>API-COMM|2</v>
      </c>
      <c r="L306" s="31" t="s">
        <v>1169</v>
      </c>
      <c r="M306" s="31" t="n">
        <v>2</v>
      </c>
      <c r="N306" s="51" t="s">
        <v>462</v>
      </c>
      <c r="O306" s="35" t="s">
        <v>78</v>
      </c>
      <c r="P306" s="52"/>
      <c r="Q306" s="52"/>
      <c r="R306" s="33" t="n">
        <f aca="false">INDEX(Épopées!$L$6:$L$59,MATCH(K306,Épopées!$A$6:$A$59,0))</f>
        <v>46527</v>
      </c>
      <c r="S306" s="33" t="n">
        <f aca="false">INDEX(Épopées!$M$6:$M$59,MATCH(K306,Épopées!$A$6:$A$59,0))</f>
        <v>46552</v>
      </c>
      <c r="T306" s="53" t="s">
        <v>463</v>
      </c>
    </row>
    <row r="307" customFormat="false" ht="15" hidden="false" customHeight="false" outlineLevel="0" collapsed="false">
      <c r="A307" s="31" t="s">
        <v>1173</v>
      </c>
      <c r="B307" s="31" t="s">
        <v>301</v>
      </c>
      <c r="C307" s="31" t="s">
        <v>323</v>
      </c>
      <c r="D307" s="31" t="s">
        <v>324</v>
      </c>
      <c r="E307" s="31" t="s">
        <v>1174</v>
      </c>
      <c r="F307" s="31" t="s">
        <v>491</v>
      </c>
      <c r="G307" s="31" t="s">
        <v>461</v>
      </c>
      <c r="H307" s="31" t="s">
        <v>43</v>
      </c>
      <c r="I307" s="31" t="n">
        <f aca="false">VLOOKUP(H307,Paramètres!$A$15:$B$19,2,FALSE())</f>
        <v>2</v>
      </c>
      <c r="J307" s="31" t="n">
        <v>2</v>
      </c>
      <c r="K307" s="50" t="str">
        <f aca="false">C307&amp;"|"&amp;J307</f>
        <v>API-COMM|2</v>
      </c>
      <c r="L307" s="31" t="s">
        <v>1169</v>
      </c>
      <c r="M307" s="31" t="n">
        <v>3</v>
      </c>
      <c r="N307" s="51" t="s">
        <v>462</v>
      </c>
      <c r="O307" s="35" t="s">
        <v>78</v>
      </c>
      <c r="P307" s="52"/>
      <c r="Q307" s="52"/>
      <c r="R307" s="33" t="n">
        <f aca="false">INDEX(Épopées!$L$6:$L$59,MATCH(K307,Épopées!$A$6:$A$59,0))</f>
        <v>46527</v>
      </c>
      <c r="S307" s="33" t="n">
        <f aca="false">INDEX(Épopées!$M$6:$M$59,MATCH(K307,Épopées!$A$6:$A$59,0))</f>
        <v>46552</v>
      </c>
      <c r="T307" s="53" t="s">
        <v>463</v>
      </c>
    </row>
    <row r="308" customFormat="false" ht="15" hidden="false" customHeight="false" outlineLevel="0" collapsed="false">
      <c r="A308" s="31" t="s">
        <v>1175</v>
      </c>
      <c r="B308" s="31" t="s">
        <v>301</v>
      </c>
      <c r="C308" s="31" t="s">
        <v>323</v>
      </c>
      <c r="D308" s="31" t="s">
        <v>324</v>
      </c>
      <c r="E308" s="31" t="s">
        <v>1176</v>
      </c>
      <c r="F308" s="31" t="s">
        <v>491</v>
      </c>
      <c r="G308" s="31" t="s">
        <v>612</v>
      </c>
      <c r="H308" s="31" t="s">
        <v>41</v>
      </c>
      <c r="I308" s="31" t="n">
        <f aca="false">VLOOKUP(H308,Paramètres!$A$15:$B$19,2,FALSE())</f>
        <v>1</v>
      </c>
      <c r="J308" s="31" t="n">
        <v>2</v>
      </c>
      <c r="K308" s="50" t="str">
        <f aca="false">C308&amp;"|"&amp;J308</f>
        <v>API-COMM|2</v>
      </c>
      <c r="L308" s="31" t="s">
        <v>1173</v>
      </c>
      <c r="M308" s="31" t="n">
        <v>1</v>
      </c>
      <c r="N308" s="51" t="s">
        <v>462</v>
      </c>
      <c r="O308" s="35" t="s">
        <v>78</v>
      </c>
      <c r="P308" s="52"/>
      <c r="Q308" s="52"/>
      <c r="R308" s="33" t="n">
        <f aca="false">INDEX(Épopées!$L$6:$L$59,MATCH(K308,Épopées!$A$6:$A$59,0))</f>
        <v>46527</v>
      </c>
      <c r="S308" s="33" t="n">
        <f aca="false">INDEX(Épopées!$M$6:$M$59,MATCH(K308,Épopées!$A$6:$A$59,0))</f>
        <v>46552</v>
      </c>
      <c r="T308" s="53" t="s">
        <v>463</v>
      </c>
    </row>
    <row r="309" customFormat="false" ht="15" hidden="false" customHeight="false" outlineLevel="0" collapsed="false">
      <c r="A309" s="31" t="s">
        <v>1177</v>
      </c>
      <c r="B309" s="31" t="s">
        <v>301</v>
      </c>
      <c r="C309" s="31" t="s">
        <v>323</v>
      </c>
      <c r="D309" s="31" t="s">
        <v>324</v>
      </c>
      <c r="E309" s="31" t="s">
        <v>1178</v>
      </c>
      <c r="F309" s="31" t="s">
        <v>491</v>
      </c>
      <c r="G309" s="31" t="s">
        <v>461</v>
      </c>
      <c r="H309" s="31" t="s">
        <v>43</v>
      </c>
      <c r="I309" s="31" t="n">
        <f aca="false">VLOOKUP(H309,Paramètres!$A$15:$B$19,2,FALSE())</f>
        <v>2</v>
      </c>
      <c r="J309" s="31" t="n">
        <v>2</v>
      </c>
      <c r="K309" s="50" t="str">
        <f aca="false">C309&amp;"|"&amp;J309</f>
        <v>API-COMM|2</v>
      </c>
      <c r="L309" s="31" t="s">
        <v>1169</v>
      </c>
      <c r="M309" s="31" t="n">
        <v>4</v>
      </c>
      <c r="N309" s="51" t="s">
        <v>462</v>
      </c>
      <c r="O309" s="35" t="s">
        <v>78</v>
      </c>
      <c r="P309" s="52"/>
      <c r="Q309" s="52"/>
      <c r="R309" s="33" t="n">
        <f aca="false">INDEX(Épopées!$L$6:$L$59,MATCH(K309,Épopées!$A$6:$A$59,0))</f>
        <v>46527</v>
      </c>
      <c r="S309" s="33" t="n">
        <f aca="false">INDEX(Épopées!$M$6:$M$59,MATCH(K309,Épopées!$A$6:$A$59,0))</f>
        <v>46552</v>
      </c>
      <c r="T309" s="53" t="s">
        <v>463</v>
      </c>
    </row>
    <row r="310" customFormat="false" ht="15" hidden="false" customHeight="false" outlineLevel="0" collapsed="false">
      <c r="A310" s="31" t="s">
        <v>1179</v>
      </c>
      <c r="B310" s="31" t="s">
        <v>301</v>
      </c>
      <c r="C310" s="31" t="s">
        <v>323</v>
      </c>
      <c r="D310" s="31" t="s">
        <v>324</v>
      </c>
      <c r="E310" s="31" t="s">
        <v>1180</v>
      </c>
      <c r="F310" s="31" t="s">
        <v>491</v>
      </c>
      <c r="G310" s="31" t="s">
        <v>466</v>
      </c>
      <c r="H310" s="31" t="s">
        <v>39</v>
      </c>
      <c r="I310" s="31" t="n">
        <f aca="false">VLOOKUP(H310,Paramètres!$A$15:$B$19,2,FALSE())</f>
        <v>0.5</v>
      </c>
      <c r="J310" s="31" t="n">
        <v>2</v>
      </c>
      <c r="K310" s="50" t="str">
        <f aca="false">C310&amp;"|"&amp;J310</f>
        <v>API-COMM|2</v>
      </c>
      <c r="L310" s="31" t="s">
        <v>1177</v>
      </c>
      <c r="M310" s="31" t="n">
        <v>2</v>
      </c>
      <c r="N310" s="51" t="s">
        <v>462</v>
      </c>
      <c r="O310" s="35" t="s">
        <v>78</v>
      </c>
      <c r="P310" s="52"/>
      <c r="Q310" s="52"/>
      <c r="R310" s="33" t="n">
        <f aca="false">INDEX(Épopées!$L$6:$L$59,MATCH(K310,Épopées!$A$6:$A$59,0))</f>
        <v>46527</v>
      </c>
      <c r="S310" s="33" t="n">
        <f aca="false">INDEX(Épopées!$M$6:$M$59,MATCH(K310,Épopées!$A$6:$A$59,0))</f>
        <v>46552</v>
      </c>
      <c r="T310" s="53" t="s">
        <v>463</v>
      </c>
    </row>
    <row r="311" customFormat="false" ht="15" hidden="false" customHeight="false" outlineLevel="0" collapsed="false">
      <c r="A311" s="31" t="s">
        <v>1181</v>
      </c>
      <c r="B311" s="31" t="s">
        <v>301</v>
      </c>
      <c r="C311" s="31" t="s">
        <v>323</v>
      </c>
      <c r="D311" s="31" t="s">
        <v>324</v>
      </c>
      <c r="E311" s="31" t="s">
        <v>1182</v>
      </c>
      <c r="F311" s="31" t="s">
        <v>491</v>
      </c>
      <c r="G311" s="31" t="s">
        <v>466</v>
      </c>
      <c r="H311" s="31" t="s">
        <v>39</v>
      </c>
      <c r="I311" s="31" t="n">
        <f aca="false">VLOOKUP(H311,Paramètres!$A$15:$B$19,2,FALSE())</f>
        <v>0.5</v>
      </c>
      <c r="J311" s="31" t="n">
        <v>2</v>
      </c>
      <c r="K311" s="50" t="str">
        <f aca="false">C311&amp;"|"&amp;J311</f>
        <v>API-COMM|2</v>
      </c>
      <c r="L311" s="31" t="s">
        <v>1173</v>
      </c>
      <c r="M311" s="31" t="n">
        <v>2</v>
      </c>
      <c r="N311" s="51" t="s">
        <v>462</v>
      </c>
      <c r="O311" s="35" t="s">
        <v>78</v>
      </c>
      <c r="P311" s="52"/>
      <c r="Q311" s="52"/>
      <c r="R311" s="33" t="n">
        <f aca="false">INDEX(Épopées!$L$6:$L$59,MATCH(K311,Épopées!$A$6:$A$59,0))</f>
        <v>46527</v>
      </c>
      <c r="S311" s="33" t="n">
        <f aca="false">INDEX(Épopées!$M$6:$M$59,MATCH(K311,Épopées!$A$6:$A$59,0))</f>
        <v>46552</v>
      </c>
      <c r="T311" s="53" t="s">
        <v>463</v>
      </c>
    </row>
    <row r="312" customFormat="false" ht="15" hidden="false" customHeight="false" outlineLevel="0" collapsed="false">
      <c r="A312" s="31" t="s">
        <v>1183</v>
      </c>
      <c r="B312" s="31" t="s">
        <v>301</v>
      </c>
      <c r="C312" s="31" t="s">
        <v>323</v>
      </c>
      <c r="D312" s="31" t="s">
        <v>324</v>
      </c>
      <c r="E312" s="31" t="s">
        <v>1184</v>
      </c>
      <c r="F312" s="31" t="s">
        <v>469</v>
      </c>
      <c r="G312" s="31" t="s">
        <v>461</v>
      </c>
      <c r="H312" s="31" t="s">
        <v>41</v>
      </c>
      <c r="I312" s="31" t="n">
        <f aca="false">VLOOKUP(H312,Paramètres!$A$15:$B$19,2,FALSE())</f>
        <v>1</v>
      </c>
      <c r="J312" s="31" t="n">
        <v>2</v>
      </c>
      <c r="K312" s="50" t="str">
        <f aca="false">C312&amp;"|"&amp;J312</f>
        <v>API-COMM|2</v>
      </c>
      <c r="L312" s="31" t="s">
        <v>1173</v>
      </c>
      <c r="M312" s="31" t="n">
        <v>3</v>
      </c>
      <c r="N312" s="51" t="s">
        <v>462</v>
      </c>
      <c r="O312" s="35" t="s">
        <v>78</v>
      </c>
      <c r="P312" s="52"/>
      <c r="Q312" s="52"/>
      <c r="R312" s="33" t="n">
        <f aca="false">INDEX(Épopées!$L$6:$L$59,MATCH(K312,Épopées!$A$6:$A$59,0))</f>
        <v>46527</v>
      </c>
      <c r="S312" s="33" t="n">
        <f aca="false">INDEX(Épopées!$M$6:$M$59,MATCH(K312,Épopées!$A$6:$A$59,0))</f>
        <v>46552</v>
      </c>
      <c r="T312" s="53" t="s">
        <v>463</v>
      </c>
    </row>
    <row r="313" customFormat="false" ht="15" hidden="false" customHeight="false" outlineLevel="0" collapsed="false">
      <c r="A313" s="31" t="s">
        <v>1185</v>
      </c>
      <c r="B313" s="31" t="s">
        <v>301</v>
      </c>
      <c r="C313" s="31" t="s">
        <v>323</v>
      </c>
      <c r="D313" s="31" t="s">
        <v>324</v>
      </c>
      <c r="E313" s="31" t="s">
        <v>1186</v>
      </c>
      <c r="F313" s="31" t="s">
        <v>491</v>
      </c>
      <c r="G313" s="31" t="s">
        <v>466</v>
      </c>
      <c r="H313" s="31" t="s">
        <v>43</v>
      </c>
      <c r="I313" s="31" t="n">
        <f aca="false">VLOOKUP(H313,Paramètres!$A$15:$B$19,2,FALSE())</f>
        <v>2</v>
      </c>
      <c r="J313" s="31" t="n">
        <v>2</v>
      </c>
      <c r="K313" s="50" t="str">
        <f aca="false">C313&amp;"|"&amp;J313</f>
        <v>API-COMM|2</v>
      </c>
      <c r="L313" s="31" t="s">
        <v>1187</v>
      </c>
      <c r="M313" s="31" t="n">
        <v>4</v>
      </c>
      <c r="N313" s="51" t="s">
        <v>462</v>
      </c>
      <c r="O313" s="35" t="s">
        <v>78</v>
      </c>
      <c r="P313" s="52"/>
      <c r="Q313" s="52"/>
      <c r="R313" s="33" t="n">
        <f aca="false">INDEX(Épopées!$L$6:$L$59,MATCH(K313,Épopées!$A$6:$A$59,0))</f>
        <v>46527</v>
      </c>
      <c r="S313" s="33" t="n">
        <f aca="false">INDEX(Épopées!$M$6:$M$59,MATCH(K313,Épopées!$A$6:$A$59,0))</f>
        <v>46552</v>
      </c>
      <c r="T313" s="53" t="s">
        <v>463</v>
      </c>
    </row>
    <row r="314" customFormat="false" ht="15" hidden="false" customHeight="false" outlineLevel="0" collapsed="false">
      <c r="A314" s="31" t="s">
        <v>1188</v>
      </c>
      <c r="B314" s="31" t="s">
        <v>301</v>
      </c>
      <c r="C314" s="31" t="s">
        <v>323</v>
      </c>
      <c r="D314" s="31" t="s">
        <v>324</v>
      </c>
      <c r="E314" s="31" t="s">
        <v>1189</v>
      </c>
      <c r="F314" s="31" t="s">
        <v>579</v>
      </c>
      <c r="G314" s="31" t="s">
        <v>461</v>
      </c>
      <c r="H314" s="31" t="s">
        <v>41</v>
      </c>
      <c r="I314" s="31" t="n">
        <f aca="false">VLOOKUP(H314,Paramètres!$A$15:$B$19,2,FALSE())</f>
        <v>1</v>
      </c>
      <c r="J314" s="31" t="n">
        <v>2</v>
      </c>
      <c r="K314" s="50" t="str">
        <f aca="false">C314&amp;"|"&amp;J314</f>
        <v>API-COMM|2</v>
      </c>
      <c r="L314" s="31" t="s">
        <v>1190</v>
      </c>
      <c r="M314" s="31" t="n">
        <v>2</v>
      </c>
      <c r="N314" s="51" t="s">
        <v>462</v>
      </c>
      <c r="O314" s="35" t="s">
        <v>78</v>
      </c>
      <c r="P314" s="52"/>
      <c r="Q314" s="52"/>
      <c r="R314" s="33" t="n">
        <f aca="false">INDEX(Épopées!$L$6:$L$59,MATCH(K314,Épopées!$A$6:$A$59,0))</f>
        <v>46527</v>
      </c>
      <c r="S314" s="33" t="n">
        <f aca="false">INDEX(Épopées!$M$6:$M$59,MATCH(K314,Épopées!$A$6:$A$59,0))</f>
        <v>46552</v>
      </c>
      <c r="T314" s="53" t="s">
        <v>463</v>
      </c>
    </row>
    <row r="315" customFormat="false" ht="15" hidden="false" customHeight="false" outlineLevel="0" collapsed="false">
      <c r="A315" s="31" t="s">
        <v>1191</v>
      </c>
      <c r="B315" s="31" t="s">
        <v>301</v>
      </c>
      <c r="C315" s="31" t="s">
        <v>323</v>
      </c>
      <c r="D315" s="31" t="s">
        <v>324</v>
      </c>
      <c r="E315" s="31" t="s">
        <v>1192</v>
      </c>
      <c r="F315" s="31" t="s">
        <v>548</v>
      </c>
      <c r="G315" s="31" t="s">
        <v>466</v>
      </c>
      <c r="H315" s="31" t="s">
        <v>41</v>
      </c>
      <c r="I315" s="31" t="n">
        <f aca="false">VLOOKUP(H315,Paramètres!$A$15:$B$19,2,FALSE())</f>
        <v>1</v>
      </c>
      <c r="J315" s="31" t="n">
        <v>2</v>
      </c>
      <c r="K315" s="50" t="str">
        <f aca="false">C315&amp;"|"&amp;J315</f>
        <v>API-COMM|2</v>
      </c>
      <c r="L315" s="31" t="s">
        <v>1193</v>
      </c>
      <c r="M315" s="31" t="n">
        <v>3</v>
      </c>
      <c r="N315" s="51" t="s">
        <v>462</v>
      </c>
      <c r="O315" s="35" t="s">
        <v>78</v>
      </c>
      <c r="P315" s="52"/>
      <c r="Q315" s="52"/>
      <c r="R315" s="33" t="n">
        <f aca="false">INDEX(Épopées!$L$6:$L$59,MATCH(K315,Épopées!$A$6:$A$59,0))</f>
        <v>46527</v>
      </c>
      <c r="S315" s="33" t="n">
        <f aca="false">INDEX(Épopées!$M$6:$M$59,MATCH(K315,Épopées!$A$6:$A$59,0))</f>
        <v>46552</v>
      </c>
      <c r="T315" s="53" t="s">
        <v>463</v>
      </c>
    </row>
    <row r="316" customFormat="false" ht="15" hidden="false" customHeight="false" outlineLevel="0" collapsed="false">
      <c r="A316" s="31" t="s">
        <v>1194</v>
      </c>
      <c r="B316" s="31" t="s">
        <v>301</v>
      </c>
      <c r="C316" s="31" t="s">
        <v>323</v>
      </c>
      <c r="D316" s="31" t="s">
        <v>324</v>
      </c>
      <c r="E316" s="31" t="s">
        <v>1195</v>
      </c>
      <c r="F316" s="31" t="s">
        <v>472</v>
      </c>
      <c r="G316" s="31" t="s">
        <v>461</v>
      </c>
      <c r="H316" s="31" t="s">
        <v>41</v>
      </c>
      <c r="I316" s="31" t="n">
        <f aca="false">VLOOKUP(H316,Paramètres!$A$15:$B$19,2,FALSE())</f>
        <v>1</v>
      </c>
      <c r="J316" s="31" t="n">
        <v>2</v>
      </c>
      <c r="K316" s="50" t="str">
        <f aca="false">C316&amp;"|"&amp;J316</f>
        <v>API-COMM|2</v>
      </c>
      <c r="L316" s="31" t="s">
        <v>1196</v>
      </c>
      <c r="M316" s="31" t="n">
        <v>3</v>
      </c>
      <c r="N316" s="51" t="s">
        <v>462</v>
      </c>
      <c r="O316" s="35" t="s">
        <v>78</v>
      </c>
      <c r="P316" s="52"/>
      <c r="Q316" s="52"/>
      <c r="R316" s="33" t="n">
        <f aca="false">INDEX(Épopées!$L$6:$L$59,MATCH(K316,Épopées!$A$6:$A$59,0))</f>
        <v>46527</v>
      </c>
      <c r="S316" s="33" t="n">
        <f aca="false">INDEX(Épopées!$M$6:$M$59,MATCH(K316,Épopées!$A$6:$A$59,0))</f>
        <v>46552</v>
      </c>
      <c r="T316" s="53" t="s">
        <v>463</v>
      </c>
    </row>
    <row r="317" customFormat="false" ht="15" hidden="false" customHeight="false" outlineLevel="0" collapsed="false">
      <c r="A317" s="31" t="s">
        <v>1197</v>
      </c>
      <c r="B317" s="31" t="s">
        <v>301</v>
      </c>
      <c r="C317" s="31" t="s">
        <v>323</v>
      </c>
      <c r="D317" s="31" t="s">
        <v>324</v>
      </c>
      <c r="E317" s="31" t="s">
        <v>1198</v>
      </c>
      <c r="F317" s="31" t="s">
        <v>472</v>
      </c>
      <c r="G317" s="31" t="s">
        <v>466</v>
      </c>
      <c r="H317" s="31" t="s">
        <v>43</v>
      </c>
      <c r="I317" s="31" t="n">
        <f aca="false">VLOOKUP(H317,Paramètres!$A$15:$B$19,2,FALSE())</f>
        <v>2</v>
      </c>
      <c r="J317" s="31" t="n">
        <v>2</v>
      </c>
      <c r="K317" s="50" t="str">
        <f aca="false">C317&amp;"|"&amp;J317</f>
        <v>API-COMM|2</v>
      </c>
      <c r="L317" s="31" t="s">
        <v>1199</v>
      </c>
      <c r="M317" s="31" t="n">
        <v>16</v>
      </c>
      <c r="N317" s="51" t="s">
        <v>462</v>
      </c>
      <c r="O317" s="35" t="s">
        <v>78</v>
      </c>
      <c r="P317" s="52"/>
      <c r="Q317" s="52"/>
      <c r="R317" s="33" t="n">
        <f aca="false">INDEX(Épopées!$L$6:$L$59,MATCH(K317,Épopées!$A$6:$A$59,0))</f>
        <v>46527</v>
      </c>
      <c r="S317" s="33" t="n">
        <f aca="false">INDEX(Épopées!$M$6:$M$59,MATCH(K317,Épopées!$A$6:$A$59,0))</f>
        <v>46552</v>
      </c>
      <c r="T317" s="53" t="s">
        <v>463</v>
      </c>
    </row>
    <row r="318" customFormat="false" ht="15" hidden="false" customHeight="false" outlineLevel="0" collapsed="false">
      <c r="A318" s="31" t="s">
        <v>1200</v>
      </c>
      <c r="B318" s="31" t="s">
        <v>301</v>
      </c>
      <c r="C318" s="31" t="s">
        <v>323</v>
      </c>
      <c r="D318" s="31" t="s">
        <v>324</v>
      </c>
      <c r="E318" s="31" t="s">
        <v>1201</v>
      </c>
      <c r="F318" s="31" t="s">
        <v>503</v>
      </c>
      <c r="G318" s="31" t="s">
        <v>466</v>
      </c>
      <c r="H318" s="31" t="s">
        <v>39</v>
      </c>
      <c r="I318" s="31" t="n">
        <f aca="false">VLOOKUP(H318,Paramètres!$A$15:$B$19,2,FALSE())</f>
        <v>0.5</v>
      </c>
      <c r="J318" s="31" t="n">
        <v>2</v>
      </c>
      <c r="K318" s="50" t="str">
        <f aca="false">C318&amp;"|"&amp;J318</f>
        <v>API-COMM|2</v>
      </c>
      <c r="L318" s="31" t="s">
        <v>1202</v>
      </c>
      <c r="M318" s="31" t="n">
        <v>4</v>
      </c>
      <c r="N318" s="51" t="s">
        <v>462</v>
      </c>
      <c r="O318" s="35" t="s">
        <v>78</v>
      </c>
      <c r="P318" s="52"/>
      <c r="Q318" s="52"/>
      <c r="R318" s="33" t="n">
        <f aca="false">INDEX(Épopées!$L$6:$L$59,MATCH(K318,Épopées!$A$6:$A$59,0))</f>
        <v>46527</v>
      </c>
      <c r="S318" s="33" t="n">
        <f aca="false">INDEX(Épopées!$M$6:$M$59,MATCH(K318,Épopées!$A$6:$A$59,0))</f>
        <v>46552</v>
      </c>
      <c r="T318" s="53" t="s">
        <v>463</v>
      </c>
    </row>
    <row r="319" customFormat="false" ht="15" hidden="false" customHeight="false" outlineLevel="0" collapsed="false">
      <c r="A319" s="31" t="s">
        <v>1203</v>
      </c>
      <c r="B319" s="31" t="s">
        <v>301</v>
      </c>
      <c r="C319" s="31" t="s">
        <v>326</v>
      </c>
      <c r="D319" s="31" t="s">
        <v>327</v>
      </c>
      <c r="E319" s="31" t="s">
        <v>1204</v>
      </c>
      <c r="F319" s="31" t="s">
        <v>486</v>
      </c>
      <c r="G319" s="31" t="s">
        <v>461</v>
      </c>
      <c r="H319" s="31" t="s">
        <v>41</v>
      </c>
      <c r="I319" s="31" t="n">
        <f aca="false">VLOOKUP(H319,Paramètres!$A$15:$B$19,2,FALSE())</f>
        <v>1</v>
      </c>
      <c r="J319" s="31" t="n">
        <v>2</v>
      </c>
      <c r="K319" s="50" t="str">
        <f aca="false">C319&amp;"|"&amp;J319</f>
        <v>API-MODER|2</v>
      </c>
      <c r="L319" s="31"/>
      <c r="M319" s="31" t="n">
        <v>3</v>
      </c>
      <c r="N319" s="51" t="s">
        <v>462</v>
      </c>
      <c r="O319" s="35" t="s">
        <v>78</v>
      </c>
      <c r="P319" s="52"/>
      <c r="Q319" s="52"/>
      <c r="R319" s="33" t="n">
        <f aca="false">INDEX(Épopées!$L$6:$L$59,MATCH(K319,Épopées!$A$6:$A$59,0))</f>
        <v>46553</v>
      </c>
      <c r="S319" s="33" t="n">
        <f aca="false">INDEX(Épopées!$M$6:$M$59,MATCH(K319,Épopées!$A$6:$A$59,0))</f>
        <v>46577</v>
      </c>
      <c r="T319" s="53" t="s">
        <v>463</v>
      </c>
    </row>
    <row r="320" customFormat="false" ht="15" hidden="false" customHeight="false" outlineLevel="0" collapsed="false">
      <c r="A320" s="31" t="s">
        <v>1205</v>
      </c>
      <c r="B320" s="31" t="s">
        <v>301</v>
      </c>
      <c r="C320" s="31" t="s">
        <v>326</v>
      </c>
      <c r="D320" s="31" t="s">
        <v>327</v>
      </c>
      <c r="E320" s="31" t="s">
        <v>1206</v>
      </c>
      <c r="F320" s="31" t="s">
        <v>469</v>
      </c>
      <c r="G320" s="31" t="s">
        <v>461</v>
      </c>
      <c r="H320" s="31" t="s">
        <v>41</v>
      </c>
      <c r="I320" s="31" t="n">
        <f aca="false">VLOOKUP(H320,Paramètres!$A$15:$B$19,2,FALSE())</f>
        <v>1</v>
      </c>
      <c r="J320" s="31" t="n">
        <v>2</v>
      </c>
      <c r="K320" s="50" t="str">
        <f aca="false">C320&amp;"|"&amp;J320</f>
        <v>API-MODER|2</v>
      </c>
      <c r="L320" s="31"/>
      <c r="M320" s="31" t="n">
        <v>2</v>
      </c>
      <c r="N320" s="51" t="s">
        <v>462</v>
      </c>
      <c r="O320" s="35" t="s">
        <v>78</v>
      </c>
      <c r="P320" s="52"/>
      <c r="Q320" s="52"/>
      <c r="R320" s="33" t="n">
        <f aca="false">INDEX(Épopées!$L$6:$L$59,MATCH(K320,Épopées!$A$6:$A$59,0))</f>
        <v>46553</v>
      </c>
      <c r="S320" s="33" t="n">
        <f aca="false">INDEX(Épopées!$M$6:$M$59,MATCH(K320,Épopées!$A$6:$A$59,0))</f>
        <v>46577</v>
      </c>
      <c r="T320" s="53" t="s">
        <v>463</v>
      </c>
    </row>
    <row r="321" customFormat="false" ht="15" hidden="false" customHeight="false" outlineLevel="0" collapsed="false">
      <c r="A321" s="31" t="s">
        <v>1207</v>
      </c>
      <c r="B321" s="31" t="s">
        <v>301</v>
      </c>
      <c r="C321" s="31" t="s">
        <v>326</v>
      </c>
      <c r="D321" s="31" t="s">
        <v>327</v>
      </c>
      <c r="E321" s="31" t="s">
        <v>1208</v>
      </c>
      <c r="F321" s="31" t="s">
        <v>486</v>
      </c>
      <c r="G321" s="31" t="s">
        <v>461</v>
      </c>
      <c r="H321" s="31" t="s">
        <v>41</v>
      </c>
      <c r="I321" s="31" t="n">
        <f aca="false">VLOOKUP(H321,Paramètres!$A$15:$B$19,2,FALSE())</f>
        <v>1</v>
      </c>
      <c r="J321" s="31" t="n">
        <v>2</v>
      </c>
      <c r="K321" s="50" t="str">
        <f aca="false">C321&amp;"|"&amp;J321</f>
        <v>API-MODER|2</v>
      </c>
      <c r="L321" s="31" t="s">
        <v>1205</v>
      </c>
      <c r="M321" s="31" t="n">
        <v>3</v>
      </c>
      <c r="N321" s="51" t="s">
        <v>462</v>
      </c>
      <c r="O321" s="35" t="s">
        <v>78</v>
      </c>
      <c r="P321" s="52"/>
      <c r="Q321" s="52"/>
      <c r="R321" s="33" t="n">
        <f aca="false">INDEX(Épopées!$L$6:$L$59,MATCH(K321,Épopées!$A$6:$A$59,0))</f>
        <v>46553</v>
      </c>
      <c r="S321" s="33" t="n">
        <f aca="false">INDEX(Épopées!$M$6:$M$59,MATCH(K321,Épopées!$A$6:$A$59,0))</f>
        <v>46577</v>
      </c>
      <c r="T321" s="53" t="s">
        <v>463</v>
      </c>
    </row>
    <row r="322" customFormat="false" ht="15" hidden="false" customHeight="false" outlineLevel="0" collapsed="false">
      <c r="A322" s="31" t="s">
        <v>1209</v>
      </c>
      <c r="B322" s="31" t="s">
        <v>301</v>
      </c>
      <c r="C322" s="31" t="s">
        <v>326</v>
      </c>
      <c r="D322" s="31" t="s">
        <v>327</v>
      </c>
      <c r="E322" s="31" t="s">
        <v>1210</v>
      </c>
      <c r="F322" s="31" t="s">
        <v>469</v>
      </c>
      <c r="G322" s="31" t="s">
        <v>461</v>
      </c>
      <c r="H322" s="31" t="s">
        <v>41</v>
      </c>
      <c r="I322" s="31" t="n">
        <f aca="false">VLOOKUP(H322,Paramètres!$A$15:$B$19,2,FALSE())</f>
        <v>1</v>
      </c>
      <c r="J322" s="31" t="n">
        <v>2</v>
      </c>
      <c r="K322" s="50" t="str">
        <f aca="false">C322&amp;"|"&amp;J322</f>
        <v>API-MODER|2</v>
      </c>
      <c r="L322" s="31" t="s">
        <v>1207</v>
      </c>
      <c r="M322" s="31" t="n">
        <v>2</v>
      </c>
      <c r="N322" s="51" t="s">
        <v>462</v>
      </c>
      <c r="O322" s="35" t="s">
        <v>78</v>
      </c>
      <c r="P322" s="52"/>
      <c r="Q322" s="52"/>
      <c r="R322" s="33" t="n">
        <f aca="false">INDEX(Épopées!$L$6:$L$59,MATCH(K322,Épopées!$A$6:$A$59,0))</f>
        <v>46553</v>
      </c>
      <c r="S322" s="33" t="n">
        <f aca="false">INDEX(Épopées!$M$6:$M$59,MATCH(K322,Épopées!$A$6:$A$59,0))</f>
        <v>46577</v>
      </c>
      <c r="T322" s="53" t="s">
        <v>463</v>
      </c>
    </row>
    <row r="323" customFormat="false" ht="15" hidden="false" customHeight="false" outlineLevel="0" collapsed="false">
      <c r="A323" s="31" t="s">
        <v>1211</v>
      </c>
      <c r="B323" s="31" t="s">
        <v>301</v>
      </c>
      <c r="C323" s="31" t="s">
        <v>326</v>
      </c>
      <c r="D323" s="31" t="s">
        <v>327</v>
      </c>
      <c r="E323" s="31" t="s">
        <v>1212</v>
      </c>
      <c r="F323" s="31" t="s">
        <v>460</v>
      </c>
      <c r="G323" s="31" t="s">
        <v>461</v>
      </c>
      <c r="H323" s="31" t="s">
        <v>41</v>
      </c>
      <c r="I323" s="31" t="n">
        <f aca="false">VLOOKUP(H323,Paramètres!$A$15:$B$19,2,FALSE())</f>
        <v>1</v>
      </c>
      <c r="J323" s="31" t="n">
        <v>2</v>
      </c>
      <c r="K323" s="50" t="str">
        <f aca="false">C323&amp;"|"&amp;J323</f>
        <v>API-MODER|2</v>
      </c>
      <c r="L323" s="31" t="s">
        <v>1213</v>
      </c>
      <c r="M323" s="31" t="n">
        <v>3</v>
      </c>
      <c r="N323" s="51" t="s">
        <v>462</v>
      </c>
      <c r="O323" s="35" t="s">
        <v>78</v>
      </c>
      <c r="P323" s="52"/>
      <c r="Q323" s="52"/>
      <c r="R323" s="33" t="n">
        <f aca="false">INDEX(Épopées!$L$6:$L$59,MATCH(K323,Épopées!$A$6:$A$59,0))</f>
        <v>46553</v>
      </c>
      <c r="S323" s="33" t="n">
        <f aca="false">INDEX(Épopées!$M$6:$M$59,MATCH(K323,Épopées!$A$6:$A$59,0))</f>
        <v>46577</v>
      </c>
      <c r="T323" s="53" t="s">
        <v>463</v>
      </c>
    </row>
    <row r="324" customFormat="false" ht="15" hidden="false" customHeight="false" outlineLevel="0" collapsed="false">
      <c r="A324" s="31" t="s">
        <v>1214</v>
      </c>
      <c r="B324" s="31" t="s">
        <v>301</v>
      </c>
      <c r="C324" s="31" t="s">
        <v>326</v>
      </c>
      <c r="D324" s="31" t="s">
        <v>327</v>
      </c>
      <c r="E324" s="31" t="s">
        <v>1215</v>
      </c>
      <c r="F324" s="31" t="s">
        <v>491</v>
      </c>
      <c r="G324" s="31" t="s">
        <v>461</v>
      </c>
      <c r="H324" s="31" t="s">
        <v>43</v>
      </c>
      <c r="I324" s="31" t="n">
        <f aca="false">VLOOKUP(H324,Paramètres!$A$15:$B$19,2,FALSE())</f>
        <v>2</v>
      </c>
      <c r="J324" s="31" t="n">
        <v>2</v>
      </c>
      <c r="K324" s="50" t="str">
        <f aca="false">C324&amp;"|"&amp;J324</f>
        <v>API-MODER|2</v>
      </c>
      <c r="L324" s="31" t="s">
        <v>1203</v>
      </c>
      <c r="M324" s="31" t="n">
        <v>2</v>
      </c>
      <c r="N324" s="51" t="s">
        <v>462</v>
      </c>
      <c r="O324" s="35" t="s">
        <v>78</v>
      </c>
      <c r="P324" s="52"/>
      <c r="Q324" s="52"/>
      <c r="R324" s="33" t="n">
        <f aca="false">INDEX(Épopées!$L$6:$L$59,MATCH(K324,Épopées!$A$6:$A$59,0))</f>
        <v>46553</v>
      </c>
      <c r="S324" s="33" t="n">
        <f aca="false">INDEX(Épopées!$M$6:$M$59,MATCH(K324,Épopées!$A$6:$A$59,0))</f>
        <v>46577</v>
      </c>
      <c r="T324" s="53" t="s">
        <v>463</v>
      </c>
    </row>
    <row r="325" customFormat="false" ht="15" hidden="false" customHeight="false" outlineLevel="0" collapsed="false">
      <c r="A325" s="31" t="s">
        <v>1216</v>
      </c>
      <c r="B325" s="31" t="s">
        <v>301</v>
      </c>
      <c r="C325" s="31" t="s">
        <v>326</v>
      </c>
      <c r="D325" s="31" t="s">
        <v>327</v>
      </c>
      <c r="E325" s="31" t="s">
        <v>1217</v>
      </c>
      <c r="F325" s="31" t="s">
        <v>469</v>
      </c>
      <c r="G325" s="31" t="s">
        <v>466</v>
      </c>
      <c r="H325" s="31" t="s">
        <v>41</v>
      </c>
      <c r="I325" s="31" t="n">
        <f aca="false">VLOOKUP(H325,Paramètres!$A$15:$B$19,2,FALSE())</f>
        <v>1</v>
      </c>
      <c r="J325" s="31" t="n">
        <v>2</v>
      </c>
      <c r="K325" s="50" t="str">
        <f aca="false">C325&amp;"|"&amp;J325</f>
        <v>API-MODER|2</v>
      </c>
      <c r="L325" s="31" t="s">
        <v>1218</v>
      </c>
      <c r="M325" s="31" t="n">
        <v>2</v>
      </c>
      <c r="N325" s="51" t="s">
        <v>462</v>
      </c>
      <c r="O325" s="35" t="s">
        <v>78</v>
      </c>
      <c r="P325" s="52"/>
      <c r="Q325" s="52"/>
      <c r="R325" s="33" t="n">
        <f aca="false">INDEX(Épopées!$L$6:$L$59,MATCH(K325,Épopées!$A$6:$A$59,0))</f>
        <v>46553</v>
      </c>
      <c r="S325" s="33" t="n">
        <f aca="false">INDEX(Épopées!$M$6:$M$59,MATCH(K325,Épopées!$A$6:$A$59,0))</f>
        <v>46577</v>
      </c>
      <c r="T325" s="53" t="s">
        <v>463</v>
      </c>
    </row>
    <row r="326" customFormat="false" ht="15" hidden="false" customHeight="false" outlineLevel="0" collapsed="false">
      <c r="A326" s="31" t="s">
        <v>1219</v>
      </c>
      <c r="B326" s="31" t="s">
        <v>301</v>
      </c>
      <c r="C326" s="31" t="s">
        <v>326</v>
      </c>
      <c r="D326" s="31" t="s">
        <v>327</v>
      </c>
      <c r="E326" s="31" t="s">
        <v>1220</v>
      </c>
      <c r="F326" s="31" t="s">
        <v>491</v>
      </c>
      <c r="G326" s="31" t="s">
        <v>461</v>
      </c>
      <c r="H326" s="31" t="s">
        <v>41</v>
      </c>
      <c r="I326" s="31" t="n">
        <f aca="false">VLOOKUP(H326,Paramètres!$A$15:$B$19,2,FALSE())</f>
        <v>1</v>
      </c>
      <c r="J326" s="31" t="n">
        <v>2</v>
      </c>
      <c r="K326" s="50" t="str">
        <f aca="false">C326&amp;"|"&amp;J326</f>
        <v>API-MODER|2</v>
      </c>
      <c r="L326" s="31" t="s">
        <v>1218</v>
      </c>
      <c r="M326" s="31" t="n">
        <v>2</v>
      </c>
      <c r="N326" s="51" t="s">
        <v>462</v>
      </c>
      <c r="O326" s="35" t="s">
        <v>78</v>
      </c>
      <c r="P326" s="52"/>
      <c r="Q326" s="52"/>
      <c r="R326" s="33" t="n">
        <f aca="false">INDEX(Épopées!$L$6:$L$59,MATCH(K326,Épopées!$A$6:$A$59,0))</f>
        <v>46553</v>
      </c>
      <c r="S326" s="33" t="n">
        <f aca="false">INDEX(Épopées!$M$6:$M$59,MATCH(K326,Épopées!$A$6:$A$59,0))</f>
        <v>46577</v>
      </c>
      <c r="T326" s="53" t="s">
        <v>463</v>
      </c>
    </row>
    <row r="327" customFormat="false" ht="15" hidden="false" customHeight="false" outlineLevel="0" collapsed="false">
      <c r="A327" s="31" t="s">
        <v>1221</v>
      </c>
      <c r="B327" s="31" t="s">
        <v>301</v>
      </c>
      <c r="C327" s="31" t="s">
        <v>326</v>
      </c>
      <c r="D327" s="31" t="s">
        <v>327</v>
      </c>
      <c r="E327" s="31" t="s">
        <v>1222</v>
      </c>
      <c r="F327" s="31" t="s">
        <v>460</v>
      </c>
      <c r="G327" s="31" t="s">
        <v>461</v>
      </c>
      <c r="H327" s="31" t="s">
        <v>43</v>
      </c>
      <c r="I327" s="31" t="n">
        <f aca="false">VLOOKUP(H327,Paramètres!$A$15:$B$19,2,FALSE())</f>
        <v>2</v>
      </c>
      <c r="J327" s="31" t="n">
        <v>2</v>
      </c>
      <c r="K327" s="50" t="str">
        <f aca="false">C327&amp;"|"&amp;J327</f>
        <v>API-MODER|2</v>
      </c>
      <c r="L327" s="31" t="s">
        <v>1223</v>
      </c>
      <c r="M327" s="31" t="n">
        <v>2</v>
      </c>
      <c r="N327" s="51" t="s">
        <v>462</v>
      </c>
      <c r="O327" s="35" t="s">
        <v>78</v>
      </c>
      <c r="P327" s="52"/>
      <c r="Q327" s="52"/>
      <c r="R327" s="33" t="n">
        <f aca="false">INDEX(Épopées!$L$6:$L$59,MATCH(K327,Épopées!$A$6:$A$59,0))</f>
        <v>46553</v>
      </c>
      <c r="S327" s="33" t="n">
        <f aca="false">INDEX(Épopées!$M$6:$M$59,MATCH(K327,Épopées!$A$6:$A$59,0))</f>
        <v>46577</v>
      </c>
      <c r="T327" s="53" t="s">
        <v>463</v>
      </c>
    </row>
    <row r="328" customFormat="false" ht="15" hidden="false" customHeight="false" outlineLevel="0" collapsed="false">
      <c r="A328" s="31" t="s">
        <v>1224</v>
      </c>
      <c r="B328" s="31" t="s">
        <v>301</v>
      </c>
      <c r="C328" s="31" t="s">
        <v>326</v>
      </c>
      <c r="D328" s="31" t="s">
        <v>327</v>
      </c>
      <c r="E328" s="31" t="s">
        <v>1225</v>
      </c>
      <c r="F328" s="31" t="s">
        <v>460</v>
      </c>
      <c r="G328" s="31" t="s">
        <v>461</v>
      </c>
      <c r="H328" s="31" t="s">
        <v>43</v>
      </c>
      <c r="I328" s="31" t="n">
        <f aca="false">VLOOKUP(H328,Paramètres!$A$15:$B$19,2,FALSE())</f>
        <v>2</v>
      </c>
      <c r="J328" s="31" t="n">
        <v>2</v>
      </c>
      <c r="K328" s="50" t="str">
        <f aca="false">C328&amp;"|"&amp;J328</f>
        <v>API-MODER|2</v>
      </c>
      <c r="L328" s="31" t="s">
        <v>1226</v>
      </c>
      <c r="M328" s="31" t="n">
        <v>2</v>
      </c>
      <c r="N328" s="51" t="s">
        <v>462</v>
      </c>
      <c r="O328" s="35" t="s">
        <v>78</v>
      </c>
      <c r="P328" s="52"/>
      <c r="Q328" s="52"/>
      <c r="R328" s="33" t="n">
        <f aca="false">INDEX(Épopées!$L$6:$L$59,MATCH(K328,Épopées!$A$6:$A$59,0))</f>
        <v>46553</v>
      </c>
      <c r="S328" s="33" t="n">
        <f aca="false">INDEX(Épopées!$M$6:$M$59,MATCH(K328,Épopées!$A$6:$A$59,0))</f>
        <v>46577</v>
      </c>
      <c r="T328" s="53" t="s">
        <v>463</v>
      </c>
    </row>
    <row r="329" customFormat="false" ht="15" hidden="false" customHeight="false" outlineLevel="0" collapsed="false">
      <c r="A329" s="31" t="s">
        <v>1227</v>
      </c>
      <c r="B329" s="31" t="s">
        <v>301</v>
      </c>
      <c r="C329" s="31" t="s">
        <v>326</v>
      </c>
      <c r="D329" s="31" t="s">
        <v>327</v>
      </c>
      <c r="E329" s="31" t="s">
        <v>1228</v>
      </c>
      <c r="F329" s="31" t="s">
        <v>491</v>
      </c>
      <c r="G329" s="31" t="s">
        <v>461</v>
      </c>
      <c r="H329" s="31" t="s">
        <v>41</v>
      </c>
      <c r="I329" s="31" t="n">
        <f aca="false">VLOOKUP(H329,Paramètres!$A$15:$B$19,2,FALSE())</f>
        <v>1</v>
      </c>
      <c r="J329" s="31" t="n">
        <v>2</v>
      </c>
      <c r="K329" s="50" t="str">
        <f aca="false">C329&amp;"|"&amp;J329</f>
        <v>API-MODER|2</v>
      </c>
      <c r="L329" s="31" t="s">
        <v>1205</v>
      </c>
      <c r="M329" s="31" t="n">
        <v>3</v>
      </c>
      <c r="N329" s="51" t="s">
        <v>462</v>
      </c>
      <c r="O329" s="35" t="s">
        <v>78</v>
      </c>
      <c r="P329" s="52"/>
      <c r="Q329" s="52"/>
      <c r="R329" s="33" t="n">
        <f aca="false">INDEX(Épopées!$L$6:$L$59,MATCH(K329,Épopées!$A$6:$A$59,0))</f>
        <v>46553</v>
      </c>
      <c r="S329" s="33" t="n">
        <f aca="false">INDEX(Épopées!$M$6:$M$59,MATCH(K329,Épopées!$A$6:$A$59,0))</f>
        <v>46577</v>
      </c>
      <c r="T329" s="53" t="s">
        <v>463</v>
      </c>
    </row>
    <row r="330" customFormat="false" ht="15" hidden="false" customHeight="false" outlineLevel="0" collapsed="false">
      <c r="A330" s="31" t="s">
        <v>1229</v>
      </c>
      <c r="B330" s="31" t="s">
        <v>301</v>
      </c>
      <c r="C330" s="31" t="s">
        <v>326</v>
      </c>
      <c r="D330" s="31" t="s">
        <v>327</v>
      </c>
      <c r="E330" s="31" t="s">
        <v>1230</v>
      </c>
      <c r="F330" s="31" t="s">
        <v>460</v>
      </c>
      <c r="G330" s="31" t="s">
        <v>461</v>
      </c>
      <c r="H330" s="31" t="s">
        <v>45</v>
      </c>
      <c r="I330" s="31" t="n">
        <f aca="false">VLOOKUP(H330,Paramètres!$A$15:$B$19,2,FALSE())</f>
        <v>3.5</v>
      </c>
      <c r="J330" s="31" t="n">
        <v>2</v>
      </c>
      <c r="K330" s="50" t="str">
        <f aca="false">C330&amp;"|"&amp;J330</f>
        <v>API-MODER|2</v>
      </c>
      <c r="L330" s="31" t="s">
        <v>1231</v>
      </c>
      <c r="M330" s="31" t="n">
        <v>2</v>
      </c>
      <c r="N330" s="51" t="s">
        <v>462</v>
      </c>
      <c r="O330" s="35" t="s">
        <v>78</v>
      </c>
      <c r="P330" s="52"/>
      <c r="Q330" s="52"/>
      <c r="R330" s="33" t="n">
        <f aca="false">INDEX(Épopées!$L$6:$L$59,MATCH(K330,Épopées!$A$6:$A$59,0))</f>
        <v>46553</v>
      </c>
      <c r="S330" s="33" t="n">
        <f aca="false">INDEX(Épopées!$M$6:$M$59,MATCH(K330,Épopées!$A$6:$A$59,0))</f>
        <v>46577</v>
      </c>
      <c r="T330" s="53" t="s">
        <v>463</v>
      </c>
    </row>
    <row r="331" customFormat="false" ht="15" hidden="false" customHeight="false" outlineLevel="0" collapsed="false">
      <c r="A331" s="31" t="s">
        <v>1232</v>
      </c>
      <c r="B331" s="31" t="s">
        <v>301</v>
      </c>
      <c r="C331" s="31" t="s">
        <v>326</v>
      </c>
      <c r="D331" s="31" t="s">
        <v>327</v>
      </c>
      <c r="E331" s="31" t="s">
        <v>1233</v>
      </c>
      <c r="F331" s="31" t="s">
        <v>491</v>
      </c>
      <c r="G331" s="31" t="s">
        <v>466</v>
      </c>
      <c r="H331" s="31" t="s">
        <v>41</v>
      </c>
      <c r="I331" s="31" t="n">
        <f aca="false">VLOOKUP(H331,Paramètres!$A$15:$B$19,2,FALSE())</f>
        <v>1</v>
      </c>
      <c r="J331" s="31" t="n">
        <v>2</v>
      </c>
      <c r="K331" s="50" t="str">
        <f aca="false">C331&amp;"|"&amp;J331</f>
        <v>API-MODER|2</v>
      </c>
      <c r="L331" s="31" t="s">
        <v>1229</v>
      </c>
      <c r="M331" s="31" t="n">
        <v>3</v>
      </c>
      <c r="N331" s="51" t="s">
        <v>462</v>
      </c>
      <c r="O331" s="35" t="s">
        <v>78</v>
      </c>
      <c r="P331" s="52"/>
      <c r="Q331" s="52"/>
      <c r="R331" s="33" t="n">
        <f aca="false">INDEX(Épopées!$L$6:$L$59,MATCH(K331,Épopées!$A$6:$A$59,0))</f>
        <v>46553</v>
      </c>
      <c r="S331" s="33" t="n">
        <f aca="false">INDEX(Épopées!$M$6:$M$59,MATCH(K331,Épopées!$A$6:$A$59,0))</f>
        <v>46577</v>
      </c>
      <c r="T331" s="53" t="s">
        <v>463</v>
      </c>
    </row>
    <row r="332" customFormat="false" ht="15" hidden="false" customHeight="false" outlineLevel="0" collapsed="false">
      <c r="A332" s="31" t="s">
        <v>1234</v>
      </c>
      <c r="B332" s="31" t="s">
        <v>301</v>
      </c>
      <c r="C332" s="31" t="s">
        <v>326</v>
      </c>
      <c r="D332" s="31" t="s">
        <v>327</v>
      </c>
      <c r="E332" s="31" t="s">
        <v>1235</v>
      </c>
      <c r="F332" s="31" t="s">
        <v>460</v>
      </c>
      <c r="G332" s="31" t="s">
        <v>461</v>
      </c>
      <c r="H332" s="31" t="s">
        <v>41</v>
      </c>
      <c r="I332" s="31" t="n">
        <f aca="false">VLOOKUP(H332,Paramètres!$A$15:$B$19,2,FALSE())</f>
        <v>1</v>
      </c>
      <c r="J332" s="31" t="n">
        <v>2</v>
      </c>
      <c r="K332" s="50" t="str">
        <f aca="false">C332&amp;"|"&amp;J332</f>
        <v>API-MODER|2</v>
      </c>
      <c r="L332" s="31" t="s">
        <v>1229</v>
      </c>
      <c r="M332" s="31" t="n">
        <v>2</v>
      </c>
      <c r="N332" s="51" t="s">
        <v>462</v>
      </c>
      <c r="O332" s="35" t="s">
        <v>78</v>
      </c>
      <c r="P332" s="52"/>
      <c r="Q332" s="52"/>
      <c r="R332" s="33" t="n">
        <f aca="false">INDEX(Épopées!$L$6:$L$59,MATCH(K332,Épopées!$A$6:$A$59,0))</f>
        <v>46553</v>
      </c>
      <c r="S332" s="33" t="n">
        <f aca="false">INDEX(Épopées!$M$6:$M$59,MATCH(K332,Épopées!$A$6:$A$59,0))</f>
        <v>46577</v>
      </c>
      <c r="T332" s="53" t="s">
        <v>463</v>
      </c>
    </row>
    <row r="333" customFormat="false" ht="15" hidden="false" customHeight="false" outlineLevel="0" collapsed="false">
      <c r="A333" s="31" t="s">
        <v>1236</v>
      </c>
      <c r="B333" s="31" t="s">
        <v>301</v>
      </c>
      <c r="C333" s="31" t="s">
        <v>326</v>
      </c>
      <c r="D333" s="31" t="s">
        <v>327</v>
      </c>
      <c r="E333" s="31" t="s">
        <v>1237</v>
      </c>
      <c r="F333" s="31" t="s">
        <v>460</v>
      </c>
      <c r="G333" s="31" t="s">
        <v>466</v>
      </c>
      <c r="H333" s="31" t="s">
        <v>43</v>
      </c>
      <c r="I333" s="31" t="n">
        <f aca="false">VLOOKUP(H333,Paramètres!$A$15:$B$19,2,FALSE())</f>
        <v>2</v>
      </c>
      <c r="J333" s="31" t="n">
        <v>2</v>
      </c>
      <c r="K333" s="50" t="str">
        <f aca="false">C333&amp;"|"&amp;J333</f>
        <v>API-MODER|2</v>
      </c>
      <c r="L333" s="31" t="s">
        <v>1229</v>
      </c>
      <c r="M333" s="31" t="n">
        <v>2</v>
      </c>
      <c r="N333" s="51" t="s">
        <v>462</v>
      </c>
      <c r="O333" s="35" t="s">
        <v>78</v>
      </c>
      <c r="P333" s="52"/>
      <c r="Q333" s="52"/>
      <c r="R333" s="33" t="n">
        <f aca="false">INDEX(Épopées!$L$6:$L$59,MATCH(K333,Épopées!$A$6:$A$59,0))</f>
        <v>46553</v>
      </c>
      <c r="S333" s="33" t="n">
        <f aca="false">INDEX(Épopées!$M$6:$M$59,MATCH(K333,Épopées!$A$6:$A$59,0))</f>
        <v>46577</v>
      </c>
      <c r="T333" s="53" t="s">
        <v>463</v>
      </c>
    </row>
    <row r="334" customFormat="false" ht="15" hidden="false" customHeight="false" outlineLevel="0" collapsed="false">
      <c r="A334" s="31" t="s">
        <v>1238</v>
      </c>
      <c r="B334" s="31" t="s">
        <v>301</v>
      </c>
      <c r="C334" s="31" t="s">
        <v>326</v>
      </c>
      <c r="D334" s="31" t="s">
        <v>327</v>
      </c>
      <c r="E334" s="31" t="s">
        <v>1239</v>
      </c>
      <c r="F334" s="31" t="s">
        <v>460</v>
      </c>
      <c r="G334" s="31" t="s">
        <v>466</v>
      </c>
      <c r="H334" s="31" t="s">
        <v>41</v>
      </c>
      <c r="I334" s="31" t="n">
        <f aca="false">VLOOKUP(H334,Paramètres!$A$15:$B$19,2,FALSE())</f>
        <v>1</v>
      </c>
      <c r="J334" s="31" t="n">
        <v>2</v>
      </c>
      <c r="K334" s="50" t="str">
        <f aca="false">C334&amp;"|"&amp;J334</f>
        <v>API-MODER|2</v>
      </c>
      <c r="L334" s="31" t="s">
        <v>1205</v>
      </c>
      <c r="M334" s="31" t="n">
        <v>1</v>
      </c>
      <c r="N334" s="51" t="s">
        <v>462</v>
      </c>
      <c r="O334" s="35" t="s">
        <v>78</v>
      </c>
      <c r="P334" s="52"/>
      <c r="Q334" s="52"/>
      <c r="R334" s="33" t="n">
        <f aca="false">INDEX(Épopées!$L$6:$L$59,MATCH(K334,Épopées!$A$6:$A$59,0))</f>
        <v>46553</v>
      </c>
      <c r="S334" s="33" t="n">
        <f aca="false">INDEX(Épopées!$M$6:$M$59,MATCH(K334,Épopées!$A$6:$A$59,0))</f>
        <v>46577</v>
      </c>
      <c r="T334" s="53" t="s">
        <v>463</v>
      </c>
    </row>
    <row r="335" customFormat="false" ht="15" hidden="false" customHeight="false" outlineLevel="0" collapsed="false">
      <c r="A335" s="31" t="s">
        <v>1240</v>
      </c>
      <c r="B335" s="31" t="s">
        <v>301</v>
      </c>
      <c r="C335" s="31" t="s">
        <v>326</v>
      </c>
      <c r="D335" s="31" t="s">
        <v>327</v>
      </c>
      <c r="E335" s="31" t="s">
        <v>1241</v>
      </c>
      <c r="F335" s="31" t="s">
        <v>491</v>
      </c>
      <c r="G335" s="31" t="s">
        <v>461</v>
      </c>
      <c r="H335" s="31" t="s">
        <v>41</v>
      </c>
      <c r="I335" s="31" t="n">
        <f aca="false">VLOOKUP(H335,Paramètres!$A$15:$B$19,2,FALSE())</f>
        <v>1</v>
      </c>
      <c r="J335" s="31" t="n">
        <v>2</v>
      </c>
      <c r="K335" s="50" t="str">
        <f aca="false">C335&amp;"|"&amp;J335</f>
        <v>API-MODER|2</v>
      </c>
      <c r="L335" s="31" t="s">
        <v>1229</v>
      </c>
      <c r="M335" s="31" t="n">
        <v>2</v>
      </c>
      <c r="N335" s="51" t="s">
        <v>462</v>
      </c>
      <c r="O335" s="35" t="s">
        <v>78</v>
      </c>
      <c r="P335" s="52"/>
      <c r="Q335" s="52"/>
      <c r="R335" s="33" t="n">
        <f aca="false">INDEX(Épopées!$L$6:$L$59,MATCH(K335,Épopées!$A$6:$A$59,0))</f>
        <v>46553</v>
      </c>
      <c r="S335" s="33" t="n">
        <f aca="false">INDEX(Épopées!$M$6:$M$59,MATCH(K335,Épopées!$A$6:$A$59,0))</f>
        <v>46577</v>
      </c>
      <c r="T335" s="53" t="s">
        <v>463</v>
      </c>
    </row>
    <row r="336" customFormat="false" ht="15" hidden="false" customHeight="false" outlineLevel="0" collapsed="false">
      <c r="A336" s="31" t="s">
        <v>1242</v>
      </c>
      <c r="B336" s="31" t="s">
        <v>301</v>
      </c>
      <c r="C336" s="31" t="s">
        <v>326</v>
      </c>
      <c r="D336" s="31" t="s">
        <v>327</v>
      </c>
      <c r="E336" s="31" t="s">
        <v>1243</v>
      </c>
      <c r="F336" s="31" t="s">
        <v>460</v>
      </c>
      <c r="G336" s="31" t="s">
        <v>461</v>
      </c>
      <c r="H336" s="31" t="s">
        <v>39</v>
      </c>
      <c r="I336" s="31" t="n">
        <f aca="false">VLOOKUP(H336,Paramètres!$A$15:$B$19,2,FALSE())</f>
        <v>0.5</v>
      </c>
      <c r="J336" s="31" t="n">
        <v>2</v>
      </c>
      <c r="K336" s="50" t="str">
        <f aca="false">C336&amp;"|"&amp;J336</f>
        <v>API-MODER|2</v>
      </c>
      <c r="L336" s="31" t="s">
        <v>1209</v>
      </c>
      <c r="M336" s="31" t="n">
        <v>2</v>
      </c>
      <c r="N336" s="51" t="s">
        <v>462</v>
      </c>
      <c r="O336" s="35" t="s">
        <v>78</v>
      </c>
      <c r="P336" s="52"/>
      <c r="Q336" s="52"/>
      <c r="R336" s="33" t="n">
        <f aca="false">INDEX(Épopées!$L$6:$L$59,MATCH(K336,Épopées!$A$6:$A$59,0))</f>
        <v>46553</v>
      </c>
      <c r="S336" s="33" t="n">
        <f aca="false">INDEX(Épopées!$M$6:$M$59,MATCH(K336,Épopées!$A$6:$A$59,0))</f>
        <v>46577</v>
      </c>
      <c r="T336" s="53" t="s">
        <v>463</v>
      </c>
    </row>
    <row r="337" customFormat="false" ht="15" hidden="false" customHeight="false" outlineLevel="0" collapsed="false">
      <c r="A337" s="31" t="s">
        <v>1244</v>
      </c>
      <c r="B337" s="31" t="s">
        <v>301</v>
      </c>
      <c r="C337" s="31" t="s">
        <v>326</v>
      </c>
      <c r="D337" s="31" t="s">
        <v>327</v>
      </c>
      <c r="E337" s="31" t="s">
        <v>1245</v>
      </c>
      <c r="F337" s="31" t="s">
        <v>491</v>
      </c>
      <c r="G337" s="31" t="s">
        <v>466</v>
      </c>
      <c r="H337" s="31" t="s">
        <v>43</v>
      </c>
      <c r="I337" s="31" t="n">
        <f aca="false">VLOOKUP(H337,Paramètres!$A$15:$B$19,2,FALSE())</f>
        <v>2</v>
      </c>
      <c r="J337" s="31" t="n">
        <v>2</v>
      </c>
      <c r="K337" s="50" t="str">
        <f aca="false">C337&amp;"|"&amp;J337</f>
        <v>API-MODER|2</v>
      </c>
      <c r="L337" s="31" t="s">
        <v>1246</v>
      </c>
      <c r="M337" s="31" t="n">
        <v>3</v>
      </c>
      <c r="N337" s="51" t="s">
        <v>462</v>
      </c>
      <c r="O337" s="35" t="s">
        <v>78</v>
      </c>
      <c r="P337" s="52"/>
      <c r="Q337" s="52"/>
      <c r="R337" s="33" t="n">
        <f aca="false">INDEX(Épopées!$L$6:$L$59,MATCH(K337,Épopées!$A$6:$A$59,0))</f>
        <v>46553</v>
      </c>
      <c r="S337" s="33" t="n">
        <f aca="false">INDEX(Épopées!$M$6:$M$59,MATCH(K337,Épopées!$A$6:$A$59,0))</f>
        <v>46577</v>
      </c>
      <c r="T337" s="53" t="s">
        <v>463</v>
      </c>
    </row>
    <row r="338" customFormat="false" ht="15" hidden="false" customHeight="false" outlineLevel="0" collapsed="false">
      <c r="A338" s="31" t="s">
        <v>1247</v>
      </c>
      <c r="B338" s="31" t="s">
        <v>301</v>
      </c>
      <c r="C338" s="31" t="s">
        <v>326</v>
      </c>
      <c r="D338" s="31" t="s">
        <v>327</v>
      </c>
      <c r="E338" s="31" t="s">
        <v>1248</v>
      </c>
      <c r="F338" s="31" t="s">
        <v>491</v>
      </c>
      <c r="G338" s="31" t="s">
        <v>461</v>
      </c>
      <c r="H338" s="31" t="s">
        <v>41</v>
      </c>
      <c r="I338" s="31" t="n">
        <f aca="false">VLOOKUP(H338,Paramètres!$A$15:$B$19,2,FALSE())</f>
        <v>1</v>
      </c>
      <c r="J338" s="31" t="n">
        <v>2</v>
      </c>
      <c r="K338" s="50" t="str">
        <f aca="false">C338&amp;"|"&amp;J338</f>
        <v>API-MODER|2</v>
      </c>
      <c r="L338" s="31" t="s">
        <v>1229</v>
      </c>
      <c r="M338" s="31" t="n">
        <v>2</v>
      </c>
      <c r="N338" s="51" t="s">
        <v>462</v>
      </c>
      <c r="O338" s="35" t="s">
        <v>78</v>
      </c>
      <c r="P338" s="52"/>
      <c r="Q338" s="52"/>
      <c r="R338" s="33" t="n">
        <f aca="false">INDEX(Épopées!$L$6:$L$59,MATCH(K338,Épopées!$A$6:$A$59,0))</f>
        <v>46553</v>
      </c>
      <c r="S338" s="33" t="n">
        <f aca="false">INDEX(Épopées!$M$6:$M$59,MATCH(K338,Épopées!$A$6:$A$59,0))</f>
        <v>46577</v>
      </c>
      <c r="T338" s="53" t="s">
        <v>463</v>
      </c>
    </row>
    <row r="339" customFormat="false" ht="15" hidden="false" customHeight="false" outlineLevel="0" collapsed="false">
      <c r="A339" s="31" t="s">
        <v>1249</v>
      </c>
      <c r="B339" s="31" t="s">
        <v>301</v>
      </c>
      <c r="C339" s="31" t="s">
        <v>326</v>
      </c>
      <c r="D339" s="31" t="s">
        <v>327</v>
      </c>
      <c r="E339" s="31" t="s">
        <v>1250</v>
      </c>
      <c r="F339" s="31" t="s">
        <v>491</v>
      </c>
      <c r="G339" s="31" t="s">
        <v>466</v>
      </c>
      <c r="H339" s="31" t="s">
        <v>41</v>
      </c>
      <c r="I339" s="31" t="n">
        <f aca="false">VLOOKUP(H339,Paramètres!$A$15:$B$19,2,FALSE())</f>
        <v>1</v>
      </c>
      <c r="J339" s="31" t="n">
        <v>2</v>
      </c>
      <c r="K339" s="50" t="str">
        <f aca="false">C339&amp;"|"&amp;J339</f>
        <v>API-MODER|2</v>
      </c>
      <c r="L339" s="31" t="s">
        <v>1221</v>
      </c>
      <c r="M339" s="31" t="n">
        <v>2</v>
      </c>
      <c r="N339" s="51" t="s">
        <v>462</v>
      </c>
      <c r="O339" s="35" t="s">
        <v>78</v>
      </c>
      <c r="P339" s="52"/>
      <c r="Q339" s="52"/>
      <c r="R339" s="33" t="n">
        <f aca="false">INDEX(Épopées!$L$6:$L$59,MATCH(K339,Épopées!$A$6:$A$59,0))</f>
        <v>46553</v>
      </c>
      <c r="S339" s="33" t="n">
        <f aca="false">INDEX(Épopées!$M$6:$M$59,MATCH(K339,Épopées!$A$6:$A$59,0))</f>
        <v>46577</v>
      </c>
      <c r="T339" s="53" t="s">
        <v>463</v>
      </c>
    </row>
    <row r="340" customFormat="false" ht="15" hidden="false" customHeight="false" outlineLevel="0" collapsed="false">
      <c r="A340" s="31" t="s">
        <v>1251</v>
      </c>
      <c r="B340" s="31" t="s">
        <v>301</v>
      </c>
      <c r="C340" s="31" t="s">
        <v>326</v>
      </c>
      <c r="D340" s="31" t="s">
        <v>327</v>
      </c>
      <c r="E340" s="31" t="s">
        <v>1252</v>
      </c>
      <c r="F340" s="31" t="s">
        <v>460</v>
      </c>
      <c r="G340" s="31" t="s">
        <v>461</v>
      </c>
      <c r="H340" s="31" t="s">
        <v>41</v>
      </c>
      <c r="I340" s="31" t="n">
        <f aca="false">VLOOKUP(H340,Paramètres!$A$15:$B$19,2,FALSE())</f>
        <v>1</v>
      </c>
      <c r="J340" s="31" t="n">
        <v>2</v>
      </c>
      <c r="K340" s="50" t="str">
        <f aca="false">C340&amp;"|"&amp;J340</f>
        <v>API-MODER|2</v>
      </c>
      <c r="L340" s="31" t="s">
        <v>1205</v>
      </c>
      <c r="M340" s="31" t="n">
        <v>2</v>
      </c>
      <c r="N340" s="51" t="s">
        <v>462</v>
      </c>
      <c r="O340" s="35" t="s">
        <v>78</v>
      </c>
      <c r="P340" s="52"/>
      <c r="Q340" s="52"/>
      <c r="R340" s="33" t="n">
        <f aca="false">INDEX(Épopées!$L$6:$L$59,MATCH(K340,Épopées!$A$6:$A$59,0))</f>
        <v>46553</v>
      </c>
      <c r="S340" s="33" t="n">
        <f aca="false">INDEX(Épopées!$M$6:$M$59,MATCH(K340,Épopées!$A$6:$A$59,0))</f>
        <v>46577</v>
      </c>
      <c r="T340" s="53" t="s">
        <v>463</v>
      </c>
    </row>
    <row r="341" customFormat="false" ht="15" hidden="false" customHeight="false" outlineLevel="0" collapsed="false">
      <c r="A341" s="31" t="s">
        <v>1253</v>
      </c>
      <c r="B341" s="31" t="s">
        <v>301</v>
      </c>
      <c r="C341" s="31" t="s">
        <v>326</v>
      </c>
      <c r="D341" s="31" t="s">
        <v>327</v>
      </c>
      <c r="E341" s="31" t="s">
        <v>1254</v>
      </c>
      <c r="F341" s="31" t="s">
        <v>469</v>
      </c>
      <c r="G341" s="31" t="s">
        <v>461</v>
      </c>
      <c r="H341" s="31" t="s">
        <v>41</v>
      </c>
      <c r="I341" s="31" t="n">
        <f aca="false">VLOOKUP(H341,Paramètres!$A$15:$B$19,2,FALSE())</f>
        <v>1</v>
      </c>
      <c r="J341" s="31" t="n">
        <v>2</v>
      </c>
      <c r="K341" s="50" t="str">
        <f aca="false">C341&amp;"|"&amp;J341</f>
        <v>API-MODER|2</v>
      </c>
      <c r="L341" s="31" t="s">
        <v>1221</v>
      </c>
      <c r="M341" s="31" t="n">
        <v>5</v>
      </c>
      <c r="N341" s="51" t="s">
        <v>462</v>
      </c>
      <c r="O341" s="35" t="s">
        <v>78</v>
      </c>
      <c r="P341" s="52"/>
      <c r="Q341" s="52"/>
      <c r="R341" s="33" t="n">
        <f aca="false">INDEX(Épopées!$L$6:$L$59,MATCH(K341,Épopées!$A$6:$A$59,0))</f>
        <v>46553</v>
      </c>
      <c r="S341" s="33" t="n">
        <f aca="false">INDEX(Épopées!$M$6:$M$59,MATCH(K341,Épopées!$A$6:$A$59,0))</f>
        <v>46577</v>
      </c>
      <c r="T341" s="53" t="s">
        <v>463</v>
      </c>
    </row>
    <row r="342" customFormat="false" ht="15" hidden="false" customHeight="false" outlineLevel="0" collapsed="false">
      <c r="A342" s="31" t="s">
        <v>1255</v>
      </c>
      <c r="B342" s="31" t="s">
        <v>301</v>
      </c>
      <c r="C342" s="31" t="s">
        <v>326</v>
      </c>
      <c r="D342" s="31" t="s">
        <v>327</v>
      </c>
      <c r="E342" s="31" t="s">
        <v>1256</v>
      </c>
      <c r="F342" s="31" t="s">
        <v>460</v>
      </c>
      <c r="G342" s="31" t="s">
        <v>612</v>
      </c>
      <c r="H342" s="31" t="s">
        <v>39</v>
      </c>
      <c r="I342" s="31" t="n">
        <f aca="false">VLOOKUP(H342,Paramètres!$A$15:$B$19,2,FALSE())</f>
        <v>0.5</v>
      </c>
      <c r="J342" s="31" t="n">
        <v>2</v>
      </c>
      <c r="K342" s="50" t="str">
        <f aca="false">C342&amp;"|"&amp;J342</f>
        <v>API-MODER|2</v>
      </c>
      <c r="L342" s="31" t="s">
        <v>1253</v>
      </c>
      <c r="M342" s="31" t="n">
        <v>2</v>
      </c>
      <c r="N342" s="51" t="s">
        <v>462</v>
      </c>
      <c r="O342" s="35" t="s">
        <v>78</v>
      </c>
      <c r="P342" s="52"/>
      <c r="Q342" s="52"/>
      <c r="R342" s="33" t="n">
        <f aca="false">INDEX(Épopées!$L$6:$L$59,MATCH(K342,Épopées!$A$6:$A$59,0))</f>
        <v>46553</v>
      </c>
      <c r="S342" s="33" t="n">
        <f aca="false">INDEX(Épopées!$M$6:$M$59,MATCH(K342,Épopées!$A$6:$A$59,0))</f>
        <v>46577</v>
      </c>
      <c r="T342" s="53" t="s">
        <v>463</v>
      </c>
    </row>
    <row r="343" customFormat="false" ht="15" hidden="false" customHeight="false" outlineLevel="0" collapsed="false">
      <c r="A343" s="31" t="s">
        <v>1257</v>
      </c>
      <c r="B343" s="31" t="s">
        <v>301</v>
      </c>
      <c r="C343" s="31" t="s">
        <v>326</v>
      </c>
      <c r="D343" s="31" t="s">
        <v>327</v>
      </c>
      <c r="E343" s="31" t="s">
        <v>1258</v>
      </c>
      <c r="F343" s="31" t="s">
        <v>491</v>
      </c>
      <c r="G343" s="31" t="s">
        <v>612</v>
      </c>
      <c r="H343" s="31" t="s">
        <v>41</v>
      </c>
      <c r="I343" s="31" t="n">
        <f aca="false">VLOOKUP(H343,Paramètres!$A$15:$B$19,2,FALSE())</f>
        <v>1</v>
      </c>
      <c r="J343" s="31" t="n">
        <v>2</v>
      </c>
      <c r="K343" s="50" t="str">
        <f aca="false">C343&amp;"|"&amp;J343</f>
        <v>API-MODER|2</v>
      </c>
      <c r="L343" s="31" t="s">
        <v>1259</v>
      </c>
      <c r="M343" s="31" t="n">
        <v>1</v>
      </c>
      <c r="N343" s="51" t="s">
        <v>462</v>
      </c>
      <c r="O343" s="35" t="s">
        <v>78</v>
      </c>
      <c r="P343" s="52"/>
      <c r="Q343" s="52"/>
      <c r="R343" s="33" t="n">
        <f aca="false">INDEX(Épopées!$L$6:$L$59,MATCH(K343,Épopées!$A$6:$A$59,0))</f>
        <v>46553</v>
      </c>
      <c r="S343" s="33" t="n">
        <f aca="false">INDEX(Épopées!$M$6:$M$59,MATCH(K343,Épopées!$A$6:$A$59,0))</f>
        <v>46577</v>
      </c>
      <c r="T343" s="53" t="s">
        <v>463</v>
      </c>
    </row>
    <row r="344" customFormat="false" ht="15" hidden="false" customHeight="false" outlineLevel="0" collapsed="false">
      <c r="A344" s="31" t="s">
        <v>1260</v>
      </c>
      <c r="B344" s="31" t="s">
        <v>301</v>
      </c>
      <c r="C344" s="31" t="s">
        <v>326</v>
      </c>
      <c r="D344" s="31" t="s">
        <v>327</v>
      </c>
      <c r="E344" s="31" t="s">
        <v>1261</v>
      </c>
      <c r="F344" s="31" t="s">
        <v>460</v>
      </c>
      <c r="G344" s="31" t="s">
        <v>466</v>
      </c>
      <c r="H344" s="31" t="s">
        <v>41</v>
      </c>
      <c r="I344" s="31" t="n">
        <f aca="false">VLOOKUP(H344,Paramètres!$A$15:$B$19,2,FALSE())</f>
        <v>1</v>
      </c>
      <c r="J344" s="31" t="n">
        <v>2</v>
      </c>
      <c r="K344" s="50" t="str">
        <f aca="false">C344&amp;"|"&amp;J344</f>
        <v>API-MODER|2</v>
      </c>
      <c r="L344" s="31" t="s">
        <v>1262</v>
      </c>
      <c r="M344" s="31" t="n">
        <v>2</v>
      </c>
      <c r="N344" s="51" t="s">
        <v>462</v>
      </c>
      <c r="O344" s="35" t="s">
        <v>78</v>
      </c>
      <c r="P344" s="52"/>
      <c r="Q344" s="52"/>
      <c r="R344" s="33" t="n">
        <f aca="false">INDEX(Épopées!$L$6:$L$59,MATCH(K344,Épopées!$A$6:$A$59,0))</f>
        <v>46553</v>
      </c>
      <c r="S344" s="33" t="n">
        <f aca="false">INDEX(Épopées!$M$6:$M$59,MATCH(K344,Épopées!$A$6:$A$59,0))</f>
        <v>46577</v>
      </c>
      <c r="T344" s="53" t="s">
        <v>463</v>
      </c>
    </row>
    <row r="345" customFormat="false" ht="15" hidden="false" customHeight="false" outlineLevel="0" collapsed="false">
      <c r="A345" s="31" t="s">
        <v>1263</v>
      </c>
      <c r="B345" s="31" t="s">
        <v>301</v>
      </c>
      <c r="C345" s="31" t="s">
        <v>326</v>
      </c>
      <c r="D345" s="31" t="s">
        <v>327</v>
      </c>
      <c r="E345" s="31" t="s">
        <v>1264</v>
      </c>
      <c r="F345" s="31" t="s">
        <v>548</v>
      </c>
      <c r="G345" s="31" t="s">
        <v>466</v>
      </c>
      <c r="H345" s="31" t="s">
        <v>41</v>
      </c>
      <c r="I345" s="31" t="n">
        <f aca="false">VLOOKUP(H345,Paramètres!$A$15:$B$19,2,FALSE())</f>
        <v>1</v>
      </c>
      <c r="J345" s="31" t="n">
        <v>2</v>
      </c>
      <c r="K345" s="50" t="str">
        <f aca="false">C345&amp;"|"&amp;J345</f>
        <v>API-MODER|2</v>
      </c>
      <c r="L345" s="31" t="s">
        <v>1265</v>
      </c>
      <c r="M345" s="31" t="n">
        <v>2</v>
      </c>
      <c r="N345" s="51" t="s">
        <v>462</v>
      </c>
      <c r="O345" s="35" t="s">
        <v>78</v>
      </c>
      <c r="P345" s="52"/>
      <c r="Q345" s="52"/>
      <c r="R345" s="33" t="n">
        <f aca="false">INDEX(Épopées!$L$6:$L$59,MATCH(K345,Épopées!$A$6:$A$59,0))</f>
        <v>46553</v>
      </c>
      <c r="S345" s="33" t="n">
        <f aca="false">INDEX(Épopées!$M$6:$M$59,MATCH(K345,Épopées!$A$6:$A$59,0))</f>
        <v>46577</v>
      </c>
      <c r="T345" s="53" t="s">
        <v>463</v>
      </c>
    </row>
    <row r="346" customFormat="false" ht="15" hidden="false" customHeight="false" outlineLevel="0" collapsed="false">
      <c r="A346" s="31" t="s">
        <v>1266</v>
      </c>
      <c r="B346" s="31" t="s">
        <v>301</v>
      </c>
      <c r="C346" s="31" t="s">
        <v>326</v>
      </c>
      <c r="D346" s="31" t="s">
        <v>327</v>
      </c>
      <c r="E346" s="31" t="s">
        <v>1267</v>
      </c>
      <c r="F346" s="31" t="s">
        <v>579</v>
      </c>
      <c r="G346" s="31" t="s">
        <v>461</v>
      </c>
      <c r="H346" s="31" t="s">
        <v>41</v>
      </c>
      <c r="I346" s="31" t="n">
        <f aca="false">VLOOKUP(H346,Paramètres!$A$15:$B$19,2,FALSE())</f>
        <v>1</v>
      </c>
      <c r="J346" s="31" t="n">
        <v>2</v>
      </c>
      <c r="K346" s="50" t="str">
        <f aca="false">C346&amp;"|"&amp;J346</f>
        <v>API-MODER|2</v>
      </c>
      <c r="L346" s="31" t="s">
        <v>1268</v>
      </c>
      <c r="M346" s="31" t="n">
        <v>2</v>
      </c>
      <c r="N346" s="51" t="s">
        <v>462</v>
      </c>
      <c r="O346" s="35" t="s">
        <v>78</v>
      </c>
      <c r="P346" s="52"/>
      <c r="Q346" s="52"/>
      <c r="R346" s="33" t="n">
        <f aca="false">INDEX(Épopées!$L$6:$L$59,MATCH(K346,Épopées!$A$6:$A$59,0))</f>
        <v>46553</v>
      </c>
      <c r="S346" s="33" t="n">
        <f aca="false">INDEX(Épopées!$M$6:$M$59,MATCH(K346,Épopées!$A$6:$A$59,0))</f>
        <v>46577</v>
      </c>
      <c r="T346" s="53" t="s">
        <v>463</v>
      </c>
    </row>
    <row r="347" customFormat="false" ht="15" hidden="false" customHeight="false" outlineLevel="0" collapsed="false">
      <c r="A347" s="31" t="s">
        <v>1269</v>
      </c>
      <c r="B347" s="31" t="s">
        <v>301</v>
      </c>
      <c r="C347" s="31" t="s">
        <v>326</v>
      </c>
      <c r="D347" s="31" t="s">
        <v>327</v>
      </c>
      <c r="E347" s="31" t="s">
        <v>1270</v>
      </c>
      <c r="F347" s="31" t="s">
        <v>548</v>
      </c>
      <c r="G347" s="31" t="s">
        <v>466</v>
      </c>
      <c r="H347" s="31" t="s">
        <v>39</v>
      </c>
      <c r="I347" s="31" t="n">
        <f aca="false">VLOOKUP(H347,Paramètres!$A$15:$B$19,2,FALSE())</f>
        <v>0.5</v>
      </c>
      <c r="J347" s="31" t="n">
        <v>2</v>
      </c>
      <c r="K347" s="50" t="str">
        <f aca="false">C347&amp;"|"&amp;J347</f>
        <v>API-MODER|2</v>
      </c>
      <c r="L347" s="31" t="s">
        <v>1271</v>
      </c>
      <c r="M347" s="31" t="n">
        <v>2</v>
      </c>
      <c r="N347" s="51" t="s">
        <v>462</v>
      </c>
      <c r="O347" s="35" t="s">
        <v>78</v>
      </c>
      <c r="P347" s="52"/>
      <c r="Q347" s="52"/>
      <c r="R347" s="33" t="n">
        <f aca="false">INDEX(Épopées!$L$6:$L$59,MATCH(K347,Épopées!$A$6:$A$59,0))</f>
        <v>46553</v>
      </c>
      <c r="S347" s="33" t="n">
        <f aca="false">INDEX(Épopées!$M$6:$M$59,MATCH(K347,Épopées!$A$6:$A$59,0))</f>
        <v>46577</v>
      </c>
      <c r="T347" s="53" t="s">
        <v>463</v>
      </c>
    </row>
    <row r="348" customFormat="false" ht="15" hidden="false" customHeight="false" outlineLevel="0" collapsed="false">
      <c r="A348" s="31" t="s">
        <v>1272</v>
      </c>
      <c r="B348" s="31" t="s">
        <v>301</v>
      </c>
      <c r="C348" s="31" t="s">
        <v>326</v>
      </c>
      <c r="D348" s="31" t="s">
        <v>327</v>
      </c>
      <c r="E348" s="31" t="s">
        <v>1273</v>
      </c>
      <c r="F348" s="31" t="s">
        <v>472</v>
      </c>
      <c r="G348" s="31" t="s">
        <v>461</v>
      </c>
      <c r="H348" s="31" t="s">
        <v>43</v>
      </c>
      <c r="I348" s="31" t="n">
        <f aca="false">VLOOKUP(H348,Paramètres!$A$15:$B$19,2,FALSE())</f>
        <v>2</v>
      </c>
      <c r="J348" s="31" t="n">
        <v>2</v>
      </c>
      <c r="K348" s="50" t="str">
        <f aca="false">C348&amp;"|"&amp;J348</f>
        <v>API-MODER|2</v>
      </c>
      <c r="L348" s="31" t="s">
        <v>1274</v>
      </c>
      <c r="M348" s="31" t="n">
        <v>6</v>
      </c>
      <c r="N348" s="51" t="s">
        <v>462</v>
      </c>
      <c r="O348" s="35" t="s">
        <v>78</v>
      </c>
      <c r="P348" s="52"/>
      <c r="Q348" s="52"/>
      <c r="R348" s="33" t="n">
        <f aca="false">INDEX(Épopées!$L$6:$L$59,MATCH(K348,Épopées!$A$6:$A$59,0))</f>
        <v>46553</v>
      </c>
      <c r="S348" s="33" t="n">
        <f aca="false">INDEX(Épopées!$M$6:$M$59,MATCH(K348,Épopées!$A$6:$A$59,0))</f>
        <v>46577</v>
      </c>
      <c r="T348" s="53" t="s">
        <v>463</v>
      </c>
    </row>
    <row r="349" customFormat="false" ht="15" hidden="false" customHeight="false" outlineLevel="0" collapsed="false">
      <c r="A349" s="31" t="s">
        <v>1275</v>
      </c>
      <c r="B349" s="31" t="s">
        <v>301</v>
      </c>
      <c r="C349" s="31" t="s">
        <v>326</v>
      </c>
      <c r="D349" s="31" t="s">
        <v>327</v>
      </c>
      <c r="E349" s="31" t="s">
        <v>1276</v>
      </c>
      <c r="F349" s="31" t="s">
        <v>472</v>
      </c>
      <c r="G349" s="31" t="s">
        <v>461</v>
      </c>
      <c r="H349" s="31" t="s">
        <v>41</v>
      </c>
      <c r="I349" s="31" t="n">
        <f aca="false">VLOOKUP(H349,Paramètres!$A$15:$B$19,2,FALSE())</f>
        <v>1</v>
      </c>
      <c r="J349" s="31" t="n">
        <v>2</v>
      </c>
      <c r="K349" s="50" t="str">
        <f aca="false">C349&amp;"|"&amp;J349</f>
        <v>API-MODER|2</v>
      </c>
      <c r="L349" s="31" t="s">
        <v>1277</v>
      </c>
      <c r="M349" s="31" t="n">
        <v>4</v>
      </c>
      <c r="N349" s="51" t="s">
        <v>462</v>
      </c>
      <c r="O349" s="35" t="s">
        <v>78</v>
      </c>
      <c r="P349" s="52"/>
      <c r="Q349" s="52"/>
      <c r="R349" s="33" t="n">
        <f aca="false">INDEX(Épopées!$L$6:$L$59,MATCH(K349,Épopées!$A$6:$A$59,0))</f>
        <v>46553</v>
      </c>
      <c r="S349" s="33" t="n">
        <f aca="false">INDEX(Épopées!$M$6:$M$59,MATCH(K349,Épopées!$A$6:$A$59,0))</f>
        <v>46577</v>
      </c>
      <c r="T349" s="53" t="s">
        <v>463</v>
      </c>
    </row>
    <row r="350" customFormat="false" ht="15" hidden="false" customHeight="false" outlineLevel="0" collapsed="false">
      <c r="A350" s="31" t="s">
        <v>1278</v>
      </c>
      <c r="B350" s="31" t="s">
        <v>301</v>
      </c>
      <c r="C350" s="31" t="s">
        <v>326</v>
      </c>
      <c r="D350" s="31" t="s">
        <v>327</v>
      </c>
      <c r="E350" s="31" t="s">
        <v>1279</v>
      </c>
      <c r="F350" s="31" t="s">
        <v>503</v>
      </c>
      <c r="G350" s="31" t="s">
        <v>466</v>
      </c>
      <c r="H350" s="31" t="s">
        <v>39</v>
      </c>
      <c r="I350" s="31" t="n">
        <f aca="false">VLOOKUP(H350,Paramètres!$A$15:$B$19,2,FALSE())</f>
        <v>0.5</v>
      </c>
      <c r="J350" s="31" t="n">
        <v>2</v>
      </c>
      <c r="K350" s="50" t="str">
        <f aca="false">C350&amp;"|"&amp;J350</f>
        <v>API-MODER|2</v>
      </c>
      <c r="L350" s="31" t="s">
        <v>1280</v>
      </c>
      <c r="M350" s="31" t="n">
        <v>16</v>
      </c>
      <c r="N350" s="51" t="s">
        <v>462</v>
      </c>
      <c r="O350" s="35" t="s">
        <v>78</v>
      </c>
      <c r="P350" s="52"/>
      <c r="Q350" s="52"/>
      <c r="R350" s="33" t="n">
        <f aca="false">INDEX(Épopées!$L$6:$L$59,MATCH(K350,Épopées!$A$6:$A$59,0))</f>
        <v>46553</v>
      </c>
      <c r="S350" s="33" t="n">
        <f aca="false">INDEX(Épopées!$M$6:$M$59,MATCH(K350,Épopées!$A$6:$A$59,0))</f>
        <v>46577</v>
      </c>
      <c r="T350" s="53" t="s">
        <v>463</v>
      </c>
    </row>
    <row r="351" customFormat="false" ht="15" hidden="false" customHeight="false" outlineLevel="0" collapsed="false">
      <c r="A351" s="31" t="s">
        <v>1281</v>
      </c>
      <c r="B351" s="31" t="s">
        <v>301</v>
      </c>
      <c r="C351" s="31" t="s">
        <v>329</v>
      </c>
      <c r="D351" s="31" t="s">
        <v>330</v>
      </c>
      <c r="E351" s="31" t="s">
        <v>1282</v>
      </c>
      <c r="F351" s="31" t="s">
        <v>486</v>
      </c>
      <c r="G351" s="31" t="s">
        <v>461</v>
      </c>
      <c r="H351" s="31" t="s">
        <v>41</v>
      </c>
      <c r="I351" s="31" t="n">
        <f aca="false">VLOOKUP(H351,Paramètres!$A$15:$B$19,2,FALSE())</f>
        <v>1</v>
      </c>
      <c r="J351" s="31" t="n">
        <v>2</v>
      </c>
      <c r="K351" s="50" t="str">
        <f aca="false">C351&amp;"|"&amp;J351</f>
        <v>API-GOAT|2</v>
      </c>
      <c r="L351" s="31"/>
      <c r="M351" s="31" t="n">
        <v>3</v>
      </c>
      <c r="N351" s="51" t="s">
        <v>462</v>
      </c>
      <c r="O351" s="35" t="s">
        <v>78</v>
      </c>
      <c r="P351" s="52"/>
      <c r="Q351" s="52"/>
      <c r="R351" s="33" t="n">
        <f aca="false">INDEX(Épopées!$L$6:$L$59,MATCH(K351,Épopées!$A$6:$A$59,0))</f>
        <v>46580</v>
      </c>
      <c r="S351" s="33" t="n">
        <f aca="false">INDEX(Épopées!$M$6:$M$59,MATCH(K351,Épopées!$A$6:$A$59,0))</f>
        <v>46595</v>
      </c>
      <c r="T351" s="53" t="s">
        <v>463</v>
      </c>
    </row>
    <row r="352" customFormat="false" ht="15" hidden="false" customHeight="false" outlineLevel="0" collapsed="false">
      <c r="A352" s="31" t="s">
        <v>1283</v>
      </c>
      <c r="B352" s="31" t="s">
        <v>301</v>
      </c>
      <c r="C352" s="31" t="s">
        <v>329</v>
      </c>
      <c r="D352" s="31" t="s">
        <v>330</v>
      </c>
      <c r="E352" s="31" t="s">
        <v>1284</v>
      </c>
      <c r="F352" s="31" t="s">
        <v>486</v>
      </c>
      <c r="G352" s="31" t="s">
        <v>466</v>
      </c>
      <c r="H352" s="31" t="s">
        <v>39</v>
      </c>
      <c r="I352" s="31" t="n">
        <f aca="false">VLOOKUP(H352,Paramètres!$A$15:$B$19,2,FALSE())</f>
        <v>0.5</v>
      </c>
      <c r="J352" s="31" t="n">
        <v>2</v>
      </c>
      <c r="K352" s="50" t="str">
        <f aca="false">C352&amp;"|"&amp;J352</f>
        <v>API-GOAT|2</v>
      </c>
      <c r="L352" s="31" t="s">
        <v>1281</v>
      </c>
      <c r="M352" s="31" t="n">
        <v>2</v>
      </c>
      <c r="N352" s="51" t="s">
        <v>462</v>
      </c>
      <c r="O352" s="35" t="s">
        <v>78</v>
      </c>
      <c r="P352" s="52"/>
      <c r="Q352" s="52"/>
      <c r="R352" s="33" t="n">
        <f aca="false">INDEX(Épopées!$L$6:$L$59,MATCH(K352,Épopées!$A$6:$A$59,0))</f>
        <v>46580</v>
      </c>
      <c r="S352" s="33" t="n">
        <f aca="false">INDEX(Épopées!$M$6:$M$59,MATCH(K352,Épopées!$A$6:$A$59,0))</f>
        <v>46595</v>
      </c>
      <c r="T352" s="53" t="s">
        <v>463</v>
      </c>
    </row>
    <row r="353" customFormat="false" ht="15" hidden="false" customHeight="false" outlineLevel="0" collapsed="false">
      <c r="A353" s="31" t="s">
        <v>1285</v>
      </c>
      <c r="B353" s="31" t="s">
        <v>301</v>
      </c>
      <c r="C353" s="31" t="s">
        <v>329</v>
      </c>
      <c r="D353" s="31" t="s">
        <v>330</v>
      </c>
      <c r="E353" s="31" t="s">
        <v>1286</v>
      </c>
      <c r="F353" s="31" t="s">
        <v>491</v>
      </c>
      <c r="G353" s="31" t="s">
        <v>461</v>
      </c>
      <c r="H353" s="31" t="s">
        <v>41</v>
      </c>
      <c r="I353" s="31" t="n">
        <f aca="false">VLOOKUP(H353,Paramètres!$A$15:$B$19,2,FALSE())</f>
        <v>1</v>
      </c>
      <c r="J353" s="31" t="n">
        <v>2</v>
      </c>
      <c r="K353" s="50" t="str">
        <f aca="false">C353&amp;"|"&amp;J353</f>
        <v>API-GOAT|2</v>
      </c>
      <c r="L353" s="31" t="s">
        <v>1281</v>
      </c>
      <c r="M353" s="31" t="n">
        <v>2</v>
      </c>
      <c r="N353" s="51" t="s">
        <v>462</v>
      </c>
      <c r="O353" s="35" t="s">
        <v>78</v>
      </c>
      <c r="P353" s="52"/>
      <c r="Q353" s="52"/>
      <c r="R353" s="33" t="n">
        <f aca="false">INDEX(Épopées!$L$6:$L$59,MATCH(K353,Épopées!$A$6:$A$59,0))</f>
        <v>46580</v>
      </c>
      <c r="S353" s="33" t="n">
        <f aca="false">INDEX(Épopées!$M$6:$M$59,MATCH(K353,Épopées!$A$6:$A$59,0))</f>
        <v>46595</v>
      </c>
      <c r="T353" s="53" t="s">
        <v>463</v>
      </c>
    </row>
    <row r="354" customFormat="false" ht="15" hidden="false" customHeight="false" outlineLevel="0" collapsed="false">
      <c r="A354" s="31" t="s">
        <v>1287</v>
      </c>
      <c r="B354" s="31" t="s">
        <v>301</v>
      </c>
      <c r="C354" s="31" t="s">
        <v>329</v>
      </c>
      <c r="D354" s="31" t="s">
        <v>330</v>
      </c>
      <c r="E354" s="31" t="s">
        <v>1288</v>
      </c>
      <c r="F354" s="31" t="s">
        <v>460</v>
      </c>
      <c r="G354" s="31" t="s">
        <v>461</v>
      </c>
      <c r="H354" s="31" t="s">
        <v>41</v>
      </c>
      <c r="I354" s="31" t="n">
        <f aca="false">VLOOKUP(H354,Paramètres!$A$15:$B$19,2,FALSE())</f>
        <v>1</v>
      </c>
      <c r="J354" s="31" t="n">
        <v>2</v>
      </c>
      <c r="K354" s="50" t="str">
        <f aca="false">C354&amp;"|"&amp;J354</f>
        <v>API-GOAT|2</v>
      </c>
      <c r="L354" s="31"/>
      <c r="M354" s="31" t="n">
        <v>3</v>
      </c>
      <c r="N354" s="51" t="s">
        <v>462</v>
      </c>
      <c r="O354" s="35" t="s">
        <v>78</v>
      </c>
      <c r="P354" s="52"/>
      <c r="Q354" s="52"/>
      <c r="R354" s="33" t="n">
        <f aca="false">INDEX(Épopées!$L$6:$L$59,MATCH(K354,Épopées!$A$6:$A$59,0))</f>
        <v>46580</v>
      </c>
      <c r="S354" s="33" t="n">
        <f aca="false">INDEX(Épopées!$M$6:$M$59,MATCH(K354,Épopées!$A$6:$A$59,0))</f>
        <v>46595</v>
      </c>
      <c r="T354" s="53" t="s">
        <v>463</v>
      </c>
    </row>
    <row r="355" customFormat="false" ht="15" hidden="false" customHeight="false" outlineLevel="0" collapsed="false">
      <c r="A355" s="31" t="s">
        <v>1289</v>
      </c>
      <c r="B355" s="31" t="s">
        <v>301</v>
      </c>
      <c r="C355" s="31" t="s">
        <v>329</v>
      </c>
      <c r="D355" s="31" t="s">
        <v>330</v>
      </c>
      <c r="E355" s="31" t="s">
        <v>1290</v>
      </c>
      <c r="F355" s="31" t="s">
        <v>460</v>
      </c>
      <c r="G355" s="31" t="s">
        <v>466</v>
      </c>
      <c r="H355" s="31" t="s">
        <v>39</v>
      </c>
      <c r="I355" s="31" t="n">
        <f aca="false">VLOOKUP(H355,Paramètres!$A$15:$B$19,2,FALSE())</f>
        <v>0.5</v>
      </c>
      <c r="J355" s="31" t="n">
        <v>2</v>
      </c>
      <c r="K355" s="50" t="str">
        <f aca="false">C355&amp;"|"&amp;J355</f>
        <v>API-GOAT|2</v>
      </c>
      <c r="L355" s="31" t="s">
        <v>1281</v>
      </c>
      <c r="M355" s="31" t="n">
        <v>2</v>
      </c>
      <c r="N355" s="51" t="s">
        <v>462</v>
      </c>
      <c r="O355" s="35" t="s">
        <v>78</v>
      </c>
      <c r="P355" s="52"/>
      <c r="Q355" s="52"/>
      <c r="R355" s="33" t="n">
        <f aca="false">INDEX(Épopées!$L$6:$L$59,MATCH(K355,Épopées!$A$6:$A$59,0))</f>
        <v>46580</v>
      </c>
      <c r="S355" s="33" t="n">
        <f aca="false">INDEX(Épopées!$M$6:$M$59,MATCH(K355,Épopées!$A$6:$A$59,0))</f>
        <v>46595</v>
      </c>
      <c r="T355" s="53" t="s">
        <v>463</v>
      </c>
    </row>
    <row r="356" customFormat="false" ht="15" hidden="false" customHeight="false" outlineLevel="0" collapsed="false">
      <c r="A356" s="31" t="s">
        <v>1291</v>
      </c>
      <c r="B356" s="31" t="s">
        <v>301</v>
      </c>
      <c r="C356" s="31" t="s">
        <v>329</v>
      </c>
      <c r="D356" s="31" t="s">
        <v>330</v>
      </c>
      <c r="E356" s="31" t="s">
        <v>1292</v>
      </c>
      <c r="F356" s="31" t="s">
        <v>460</v>
      </c>
      <c r="G356" s="31" t="s">
        <v>461</v>
      </c>
      <c r="H356" s="31" t="s">
        <v>43</v>
      </c>
      <c r="I356" s="31" t="n">
        <f aca="false">VLOOKUP(H356,Paramètres!$A$15:$B$19,2,FALSE())</f>
        <v>2</v>
      </c>
      <c r="J356" s="31" t="n">
        <v>2</v>
      </c>
      <c r="K356" s="50" t="str">
        <f aca="false">C356&amp;"|"&amp;J356</f>
        <v>API-GOAT|2</v>
      </c>
      <c r="L356" s="31" t="s">
        <v>1293</v>
      </c>
      <c r="M356" s="31" t="n">
        <v>4</v>
      </c>
      <c r="N356" s="51" t="s">
        <v>462</v>
      </c>
      <c r="O356" s="35" t="s">
        <v>78</v>
      </c>
      <c r="P356" s="52"/>
      <c r="Q356" s="52"/>
      <c r="R356" s="33" t="n">
        <f aca="false">INDEX(Épopées!$L$6:$L$59,MATCH(K356,Épopées!$A$6:$A$59,0))</f>
        <v>46580</v>
      </c>
      <c r="S356" s="33" t="n">
        <f aca="false">INDEX(Épopées!$M$6:$M$59,MATCH(K356,Épopées!$A$6:$A$59,0))</f>
        <v>46595</v>
      </c>
      <c r="T356" s="53" t="s">
        <v>463</v>
      </c>
    </row>
    <row r="357" customFormat="false" ht="15" hidden="false" customHeight="false" outlineLevel="0" collapsed="false">
      <c r="A357" s="31" t="s">
        <v>1294</v>
      </c>
      <c r="B357" s="31" t="s">
        <v>301</v>
      </c>
      <c r="C357" s="31" t="s">
        <v>329</v>
      </c>
      <c r="D357" s="31" t="s">
        <v>330</v>
      </c>
      <c r="E357" s="31" t="s">
        <v>1295</v>
      </c>
      <c r="F357" s="31" t="s">
        <v>460</v>
      </c>
      <c r="G357" s="31" t="s">
        <v>466</v>
      </c>
      <c r="H357" s="31" t="s">
        <v>41</v>
      </c>
      <c r="I357" s="31" t="n">
        <f aca="false">VLOOKUP(H357,Paramètres!$A$15:$B$19,2,FALSE())</f>
        <v>1</v>
      </c>
      <c r="J357" s="31" t="n">
        <v>2</v>
      </c>
      <c r="K357" s="50" t="str">
        <f aca="false">C357&amp;"|"&amp;J357</f>
        <v>API-GOAT|2</v>
      </c>
      <c r="L357" s="31" t="s">
        <v>1285</v>
      </c>
      <c r="M357" s="31" t="n">
        <v>1</v>
      </c>
      <c r="N357" s="51" t="s">
        <v>462</v>
      </c>
      <c r="O357" s="35" t="s">
        <v>78</v>
      </c>
      <c r="P357" s="52"/>
      <c r="Q357" s="52"/>
      <c r="R357" s="33" t="n">
        <f aca="false">INDEX(Épopées!$L$6:$L$59,MATCH(K357,Épopées!$A$6:$A$59,0))</f>
        <v>46580</v>
      </c>
      <c r="S357" s="33" t="n">
        <f aca="false">INDEX(Épopées!$M$6:$M$59,MATCH(K357,Épopées!$A$6:$A$59,0))</f>
        <v>46595</v>
      </c>
      <c r="T357" s="53" t="s">
        <v>463</v>
      </c>
    </row>
    <row r="358" customFormat="false" ht="15" hidden="false" customHeight="false" outlineLevel="0" collapsed="false">
      <c r="A358" s="31" t="s">
        <v>1296</v>
      </c>
      <c r="B358" s="31" t="s">
        <v>301</v>
      </c>
      <c r="C358" s="31" t="s">
        <v>329</v>
      </c>
      <c r="D358" s="31" t="s">
        <v>330</v>
      </c>
      <c r="E358" s="31" t="s">
        <v>1297</v>
      </c>
      <c r="F358" s="31" t="s">
        <v>460</v>
      </c>
      <c r="G358" s="31" t="s">
        <v>461</v>
      </c>
      <c r="H358" s="31" t="s">
        <v>43</v>
      </c>
      <c r="I358" s="31" t="n">
        <f aca="false">VLOOKUP(H358,Paramètres!$A$15:$B$19,2,FALSE())</f>
        <v>2</v>
      </c>
      <c r="J358" s="31" t="n">
        <v>2</v>
      </c>
      <c r="K358" s="50" t="str">
        <f aca="false">C358&amp;"|"&amp;J358</f>
        <v>API-GOAT|2</v>
      </c>
      <c r="L358" s="31" t="s">
        <v>1298</v>
      </c>
      <c r="M358" s="31" t="n">
        <v>3</v>
      </c>
      <c r="N358" s="51" t="s">
        <v>462</v>
      </c>
      <c r="O358" s="35" t="s">
        <v>78</v>
      </c>
      <c r="P358" s="52"/>
      <c r="Q358" s="52"/>
      <c r="R358" s="33" t="n">
        <f aca="false">INDEX(Épopées!$L$6:$L$59,MATCH(K358,Épopées!$A$6:$A$59,0))</f>
        <v>46580</v>
      </c>
      <c r="S358" s="33" t="n">
        <f aca="false">INDEX(Épopées!$M$6:$M$59,MATCH(K358,Épopées!$A$6:$A$59,0))</f>
        <v>46595</v>
      </c>
      <c r="T358" s="53" t="s">
        <v>463</v>
      </c>
    </row>
    <row r="359" customFormat="false" ht="15" hidden="false" customHeight="false" outlineLevel="0" collapsed="false">
      <c r="A359" s="31" t="s">
        <v>1299</v>
      </c>
      <c r="B359" s="31" t="s">
        <v>301</v>
      </c>
      <c r="C359" s="31" t="s">
        <v>329</v>
      </c>
      <c r="D359" s="31" t="s">
        <v>330</v>
      </c>
      <c r="E359" s="31" t="s">
        <v>1300</v>
      </c>
      <c r="F359" s="31" t="s">
        <v>491</v>
      </c>
      <c r="G359" s="31" t="s">
        <v>461</v>
      </c>
      <c r="H359" s="31" t="s">
        <v>39</v>
      </c>
      <c r="I359" s="31" t="n">
        <f aca="false">VLOOKUP(H359,Paramètres!$A$15:$B$19,2,FALSE())</f>
        <v>0.5</v>
      </c>
      <c r="J359" s="31" t="n">
        <v>2</v>
      </c>
      <c r="K359" s="50" t="str">
        <f aca="false">C359&amp;"|"&amp;J359</f>
        <v>API-GOAT|2</v>
      </c>
      <c r="L359" s="31" t="s">
        <v>1281</v>
      </c>
      <c r="M359" s="31" t="n">
        <v>2</v>
      </c>
      <c r="N359" s="51" t="s">
        <v>462</v>
      </c>
      <c r="O359" s="35" t="s">
        <v>78</v>
      </c>
      <c r="P359" s="52"/>
      <c r="Q359" s="52"/>
      <c r="R359" s="33" t="n">
        <f aca="false">INDEX(Épopées!$L$6:$L$59,MATCH(K359,Épopées!$A$6:$A$59,0))</f>
        <v>46580</v>
      </c>
      <c r="S359" s="33" t="n">
        <f aca="false">INDEX(Épopées!$M$6:$M$59,MATCH(K359,Épopées!$A$6:$A$59,0))</f>
        <v>46595</v>
      </c>
      <c r="T359" s="53" t="s">
        <v>463</v>
      </c>
    </row>
    <row r="360" customFormat="false" ht="15" hidden="false" customHeight="false" outlineLevel="0" collapsed="false">
      <c r="A360" s="31" t="s">
        <v>1301</v>
      </c>
      <c r="B360" s="31" t="s">
        <v>301</v>
      </c>
      <c r="C360" s="31" t="s">
        <v>329</v>
      </c>
      <c r="D360" s="31" t="s">
        <v>330</v>
      </c>
      <c r="E360" s="31" t="s">
        <v>1302</v>
      </c>
      <c r="F360" s="31" t="s">
        <v>460</v>
      </c>
      <c r="G360" s="31" t="s">
        <v>461</v>
      </c>
      <c r="H360" s="31" t="s">
        <v>39</v>
      </c>
      <c r="I360" s="31" t="n">
        <f aca="false">VLOOKUP(H360,Paramètres!$A$15:$B$19,2,FALSE())</f>
        <v>0.5</v>
      </c>
      <c r="J360" s="31" t="n">
        <v>2</v>
      </c>
      <c r="K360" s="50" t="str">
        <f aca="false">C360&amp;"|"&amp;J360</f>
        <v>API-GOAT|2</v>
      </c>
      <c r="L360" s="31" t="s">
        <v>1296</v>
      </c>
      <c r="M360" s="31" t="n">
        <v>2</v>
      </c>
      <c r="N360" s="51" t="s">
        <v>462</v>
      </c>
      <c r="O360" s="35" t="s">
        <v>78</v>
      </c>
      <c r="P360" s="52"/>
      <c r="Q360" s="52"/>
      <c r="R360" s="33" t="n">
        <f aca="false">INDEX(Épopées!$L$6:$L$59,MATCH(K360,Épopées!$A$6:$A$59,0))</f>
        <v>46580</v>
      </c>
      <c r="S360" s="33" t="n">
        <f aca="false">INDEX(Épopées!$M$6:$M$59,MATCH(K360,Épopées!$A$6:$A$59,0))</f>
        <v>46595</v>
      </c>
      <c r="T360" s="53" t="s">
        <v>463</v>
      </c>
    </row>
    <row r="361" customFormat="false" ht="15" hidden="false" customHeight="false" outlineLevel="0" collapsed="false">
      <c r="A361" s="31" t="s">
        <v>1303</v>
      </c>
      <c r="B361" s="31" t="s">
        <v>301</v>
      </c>
      <c r="C361" s="31" t="s">
        <v>329</v>
      </c>
      <c r="D361" s="31" t="s">
        <v>330</v>
      </c>
      <c r="E361" s="31" t="s">
        <v>1304</v>
      </c>
      <c r="F361" s="31" t="s">
        <v>491</v>
      </c>
      <c r="G361" s="31" t="s">
        <v>466</v>
      </c>
      <c r="H361" s="31" t="s">
        <v>41</v>
      </c>
      <c r="I361" s="31" t="n">
        <f aca="false">VLOOKUP(H361,Paramètres!$A$15:$B$19,2,FALSE())</f>
        <v>1</v>
      </c>
      <c r="J361" s="31" t="n">
        <v>2</v>
      </c>
      <c r="K361" s="50" t="str">
        <f aca="false">C361&amp;"|"&amp;J361</f>
        <v>API-GOAT|2</v>
      </c>
      <c r="L361" s="31" t="s">
        <v>1296</v>
      </c>
      <c r="M361" s="31" t="n">
        <v>1</v>
      </c>
      <c r="N361" s="51" t="s">
        <v>462</v>
      </c>
      <c r="O361" s="35" t="s">
        <v>78</v>
      </c>
      <c r="P361" s="52"/>
      <c r="Q361" s="52"/>
      <c r="R361" s="33" t="n">
        <f aca="false">INDEX(Épopées!$L$6:$L$59,MATCH(K361,Épopées!$A$6:$A$59,0))</f>
        <v>46580</v>
      </c>
      <c r="S361" s="33" t="n">
        <f aca="false">INDEX(Épopées!$M$6:$M$59,MATCH(K361,Épopées!$A$6:$A$59,0))</f>
        <v>46595</v>
      </c>
      <c r="T361" s="53" t="s">
        <v>463</v>
      </c>
    </row>
    <row r="362" customFormat="false" ht="15" hidden="false" customHeight="false" outlineLevel="0" collapsed="false">
      <c r="A362" s="31" t="s">
        <v>1305</v>
      </c>
      <c r="B362" s="31" t="s">
        <v>301</v>
      </c>
      <c r="C362" s="31" t="s">
        <v>329</v>
      </c>
      <c r="D362" s="31" t="s">
        <v>330</v>
      </c>
      <c r="E362" s="31" t="s">
        <v>1306</v>
      </c>
      <c r="F362" s="31" t="s">
        <v>469</v>
      </c>
      <c r="G362" s="31" t="s">
        <v>461</v>
      </c>
      <c r="H362" s="31" t="s">
        <v>41</v>
      </c>
      <c r="I362" s="31" t="n">
        <f aca="false">VLOOKUP(H362,Paramètres!$A$15:$B$19,2,FALSE())</f>
        <v>1</v>
      </c>
      <c r="J362" s="31" t="n">
        <v>2</v>
      </c>
      <c r="K362" s="50" t="str">
        <f aca="false">C362&amp;"|"&amp;J362</f>
        <v>API-GOAT|2</v>
      </c>
      <c r="L362" s="31" t="s">
        <v>1281</v>
      </c>
      <c r="M362" s="31" t="n">
        <v>3</v>
      </c>
      <c r="N362" s="51" t="s">
        <v>462</v>
      </c>
      <c r="O362" s="35" t="s">
        <v>78</v>
      </c>
      <c r="P362" s="52"/>
      <c r="Q362" s="52"/>
      <c r="R362" s="33" t="n">
        <f aca="false">INDEX(Épopées!$L$6:$L$59,MATCH(K362,Épopées!$A$6:$A$59,0))</f>
        <v>46580</v>
      </c>
      <c r="S362" s="33" t="n">
        <f aca="false">INDEX(Épopées!$M$6:$M$59,MATCH(K362,Épopées!$A$6:$A$59,0))</f>
        <v>46595</v>
      </c>
      <c r="T362" s="53" t="s">
        <v>463</v>
      </c>
    </row>
    <row r="363" customFormat="false" ht="15" hidden="false" customHeight="false" outlineLevel="0" collapsed="false">
      <c r="A363" s="31" t="s">
        <v>1307</v>
      </c>
      <c r="B363" s="31" t="s">
        <v>301</v>
      </c>
      <c r="C363" s="31" t="s">
        <v>329</v>
      </c>
      <c r="D363" s="31" t="s">
        <v>330</v>
      </c>
      <c r="E363" s="31" t="s">
        <v>1308</v>
      </c>
      <c r="F363" s="31" t="s">
        <v>469</v>
      </c>
      <c r="G363" s="31" t="s">
        <v>466</v>
      </c>
      <c r="H363" s="31" t="s">
        <v>41</v>
      </c>
      <c r="I363" s="31" t="n">
        <f aca="false">VLOOKUP(H363,Paramètres!$A$15:$B$19,2,FALSE())</f>
        <v>1</v>
      </c>
      <c r="J363" s="31" t="n">
        <v>2</v>
      </c>
      <c r="K363" s="50" t="str">
        <f aca="false">C363&amp;"|"&amp;J363</f>
        <v>API-GOAT|2</v>
      </c>
      <c r="L363" s="31" t="s">
        <v>1309</v>
      </c>
      <c r="M363" s="31" t="n">
        <v>1</v>
      </c>
      <c r="N363" s="51" t="s">
        <v>462</v>
      </c>
      <c r="O363" s="35" t="s">
        <v>78</v>
      </c>
      <c r="P363" s="52"/>
      <c r="Q363" s="52"/>
      <c r="R363" s="33" t="n">
        <f aca="false">INDEX(Épopées!$L$6:$L$59,MATCH(K363,Épopées!$A$6:$A$59,0))</f>
        <v>46580</v>
      </c>
      <c r="S363" s="33" t="n">
        <f aca="false">INDEX(Épopées!$M$6:$M$59,MATCH(K363,Épopées!$A$6:$A$59,0))</f>
        <v>46595</v>
      </c>
      <c r="T363" s="53" t="s">
        <v>463</v>
      </c>
    </row>
    <row r="364" customFormat="false" ht="15" hidden="false" customHeight="false" outlineLevel="0" collapsed="false">
      <c r="A364" s="31" t="s">
        <v>1310</v>
      </c>
      <c r="B364" s="31" t="s">
        <v>301</v>
      </c>
      <c r="C364" s="31" t="s">
        <v>329</v>
      </c>
      <c r="D364" s="31" t="s">
        <v>330</v>
      </c>
      <c r="E364" s="31" t="s">
        <v>1311</v>
      </c>
      <c r="F364" s="31" t="s">
        <v>548</v>
      </c>
      <c r="G364" s="31" t="s">
        <v>461</v>
      </c>
      <c r="H364" s="31" t="s">
        <v>41</v>
      </c>
      <c r="I364" s="31" t="n">
        <f aca="false">VLOOKUP(H364,Paramètres!$A$15:$B$19,2,FALSE())</f>
        <v>1</v>
      </c>
      <c r="J364" s="31" t="n">
        <v>2</v>
      </c>
      <c r="K364" s="50" t="str">
        <f aca="false">C364&amp;"|"&amp;J364</f>
        <v>API-GOAT|2</v>
      </c>
      <c r="L364" s="31" t="s">
        <v>1312</v>
      </c>
      <c r="M364" s="31" t="n">
        <v>3</v>
      </c>
      <c r="N364" s="51" t="s">
        <v>462</v>
      </c>
      <c r="O364" s="35" t="s">
        <v>78</v>
      </c>
      <c r="P364" s="52"/>
      <c r="Q364" s="52"/>
      <c r="R364" s="33" t="n">
        <f aca="false">INDEX(Épopées!$L$6:$L$59,MATCH(K364,Épopées!$A$6:$A$59,0))</f>
        <v>46580</v>
      </c>
      <c r="S364" s="33" t="n">
        <f aca="false">INDEX(Épopées!$M$6:$M$59,MATCH(K364,Épopées!$A$6:$A$59,0))</f>
        <v>46595</v>
      </c>
      <c r="T364" s="53" t="s">
        <v>463</v>
      </c>
    </row>
    <row r="365" customFormat="false" ht="15" hidden="false" customHeight="false" outlineLevel="0" collapsed="false">
      <c r="A365" s="31" t="s">
        <v>1313</v>
      </c>
      <c r="B365" s="31" t="s">
        <v>301</v>
      </c>
      <c r="C365" s="31" t="s">
        <v>329</v>
      </c>
      <c r="D365" s="31" t="s">
        <v>330</v>
      </c>
      <c r="E365" s="31" t="s">
        <v>1314</v>
      </c>
      <c r="F365" s="31" t="s">
        <v>460</v>
      </c>
      <c r="G365" s="31" t="s">
        <v>612</v>
      </c>
      <c r="H365" s="31" t="s">
        <v>41</v>
      </c>
      <c r="I365" s="31" t="n">
        <f aca="false">VLOOKUP(H365,Paramètres!$A$15:$B$19,2,FALSE())</f>
        <v>1</v>
      </c>
      <c r="J365" s="31" t="n">
        <v>2</v>
      </c>
      <c r="K365" s="50" t="str">
        <f aca="false">C365&amp;"|"&amp;J365</f>
        <v>API-GOAT|2</v>
      </c>
      <c r="L365" s="31" t="s">
        <v>1303</v>
      </c>
      <c r="M365" s="31" t="n">
        <v>1</v>
      </c>
      <c r="N365" s="51" t="s">
        <v>462</v>
      </c>
      <c r="O365" s="35" t="s">
        <v>78</v>
      </c>
      <c r="P365" s="52"/>
      <c r="Q365" s="52"/>
      <c r="R365" s="33" t="n">
        <f aca="false">INDEX(Épopées!$L$6:$L$59,MATCH(K365,Épopées!$A$6:$A$59,0))</f>
        <v>46580</v>
      </c>
      <c r="S365" s="33" t="n">
        <f aca="false">INDEX(Épopées!$M$6:$M$59,MATCH(K365,Épopées!$A$6:$A$59,0))</f>
        <v>46595</v>
      </c>
      <c r="T365" s="53" t="s">
        <v>463</v>
      </c>
    </row>
    <row r="366" customFormat="false" ht="15" hidden="false" customHeight="false" outlineLevel="0" collapsed="false">
      <c r="A366" s="31" t="s">
        <v>1315</v>
      </c>
      <c r="B366" s="31" t="s">
        <v>301</v>
      </c>
      <c r="C366" s="31" t="s">
        <v>329</v>
      </c>
      <c r="D366" s="31" t="s">
        <v>330</v>
      </c>
      <c r="E366" s="31" t="s">
        <v>1316</v>
      </c>
      <c r="F366" s="31" t="s">
        <v>460</v>
      </c>
      <c r="G366" s="31" t="s">
        <v>612</v>
      </c>
      <c r="H366" s="31" t="s">
        <v>41</v>
      </c>
      <c r="I366" s="31" t="n">
        <f aca="false">VLOOKUP(H366,Paramètres!$A$15:$B$19,2,FALSE())</f>
        <v>1</v>
      </c>
      <c r="J366" s="31" t="n">
        <v>2</v>
      </c>
      <c r="K366" s="50" t="str">
        <f aca="false">C366&amp;"|"&amp;J366</f>
        <v>API-GOAT|2</v>
      </c>
      <c r="L366" s="31" t="s">
        <v>1317</v>
      </c>
      <c r="M366" s="31" t="n">
        <v>2</v>
      </c>
      <c r="N366" s="51" t="s">
        <v>462</v>
      </c>
      <c r="O366" s="35" t="s">
        <v>78</v>
      </c>
      <c r="P366" s="52"/>
      <c r="Q366" s="52"/>
      <c r="R366" s="33" t="n">
        <f aca="false">INDEX(Épopées!$L$6:$L$59,MATCH(K366,Épopées!$A$6:$A$59,0))</f>
        <v>46580</v>
      </c>
      <c r="S366" s="33" t="n">
        <f aca="false">INDEX(Épopées!$M$6:$M$59,MATCH(K366,Épopées!$A$6:$A$59,0))</f>
        <v>46595</v>
      </c>
      <c r="T366" s="53" t="s">
        <v>463</v>
      </c>
    </row>
    <row r="367" customFormat="false" ht="15" hidden="false" customHeight="false" outlineLevel="0" collapsed="false">
      <c r="A367" s="31" t="s">
        <v>1318</v>
      </c>
      <c r="B367" s="31" t="s">
        <v>301</v>
      </c>
      <c r="C367" s="31" t="s">
        <v>329</v>
      </c>
      <c r="D367" s="31" t="s">
        <v>330</v>
      </c>
      <c r="E367" s="31" t="s">
        <v>1319</v>
      </c>
      <c r="F367" s="31" t="s">
        <v>579</v>
      </c>
      <c r="G367" s="31" t="s">
        <v>466</v>
      </c>
      <c r="H367" s="31" t="s">
        <v>39</v>
      </c>
      <c r="I367" s="31" t="n">
        <f aca="false">VLOOKUP(H367,Paramètres!$A$15:$B$19,2,FALSE())</f>
        <v>0.5</v>
      </c>
      <c r="J367" s="31" t="n">
        <v>2</v>
      </c>
      <c r="K367" s="50" t="str">
        <f aca="false">C367&amp;"|"&amp;J367</f>
        <v>API-GOAT|2</v>
      </c>
      <c r="L367" s="31" t="s">
        <v>1303</v>
      </c>
      <c r="M367" s="31" t="n">
        <v>2</v>
      </c>
      <c r="N367" s="51" t="s">
        <v>462</v>
      </c>
      <c r="O367" s="35" t="s">
        <v>78</v>
      </c>
      <c r="P367" s="52"/>
      <c r="Q367" s="52"/>
      <c r="R367" s="33" t="n">
        <f aca="false">INDEX(Épopées!$L$6:$L$59,MATCH(K367,Épopées!$A$6:$A$59,0))</f>
        <v>46580</v>
      </c>
      <c r="S367" s="33" t="n">
        <f aca="false">INDEX(Épopées!$M$6:$M$59,MATCH(K367,Épopées!$A$6:$A$59,0))</f>
        <v>46595</v>
      </c>
      <c r="T367" s="53" t="s">
        <v>463</v>
      </c>
    </row>
    <row r="368" customFormat="false" ht="15" hidden="false" customHeight="false" outlineLevel="0" collapsed="false">
      <c r="A368" s="31" t="s">
        <v>1320</v>
      </c>
      <c r="B368" s="31" t="s">
        <v>301</v>
      </c>
      <c r="C368" s="31" t="s">
        <v>329</v>
      </c>
      <c r="D368" s="31" t="s">
        <v>330</v>
      </c>
      <c r="E368" s="31" t="s">
        <v>1321</v>
      </c>
      <c r="F368" s="31" t="s">
        <v>588</v>
      </c>
      <c r="G368" s="31" t="s">
        <v>466</v>
      </c>
      <c r="H368" s="31" t="s">
        <v>39</v>
      </c>
      <c r="I368" s="31" t="n">
        <f aca="false">VLOOKUP(H368,Paramètres!$A$15:$B$19,2,FALSE())</f>
        <v>0.5</v>
      </c>
      <c r="J368" s="31" t="n">
        <v>2</v>
      </c>
      <c r="K368" s="50" t="str">
        <f aca="false">C368&amp;"|"&amp;J368</f>
        <v>API-GOAT|2</v>
      </c>
      <c r="L368" s="31" t="s">
        <v>1296</v>
      </c>
      <c r="M368" s="31" t="n">
        <v>3</v>
      </c>
      <c r="N368" s="51" t="s">
        <v>462</v>
      </c>
      <c r="O368" s="35" t="s">
        <v>78</v>
      </c>
      <c r="P368" s="52"/>
      <c r="Q368" s="52"/>
      <c r="R368" s="33" t="n">
        <f aca="false">INDEX(Épopées!$L$6:$L$59,MATCH(K368,Épopées!$A$6:$A$59,0))</f>
        <v>46580</v>
      </c>
      <c r="S368" s="33" t="n">
        <f aca="false">INDEX(Épopées!$M$6:$M$59,MATCH(K368,Épopées!$A$6:$A$59,0))</f>
        <v>46595</v>
      </c>
      <c r="T368" s="53" t="s">
        <v>463</v>
      </c>
    </row>
    <row r="369" customFormat="false" ht="15" hidden="false" customHeight="false" outlineLevel="0" collapsed="false">
      <c r="A369" s="31" t="s">
        <v>1322</v>
      </c>
      <c r="B369" s="31" t="s">
        <v>301</v>
      </c>
      <c r="C369" s="31" t="s">
        <v>329</v>
      </c>
      <c r="D369" s="31" t="s">
        <v>330</v>
      </c>
      <c r="E369" s="31" t="s">
        <v>1323</v>
      </c>
      <c r="F369" s="31" t="s">
        <v>472</v>
      </c>
      <c r="G369" s="31" t="s">
        <v>461</v>
      </c>
      <c r="H369" s="31" t="s">
        <v>43</v>
      </c>
      <c r="I369" s="31" t="n">
        <f aca="false">VLOOKUP(H369,Paramètres!$A$15:$B$19,2,FALSE())</f>
        <v>2</v>
      </c>
      <c r="J369" s="31" t="n">
        <v>2</v>
      </c>
      <c r="K369" s="50" t="str">
        <f aca="false">C369&amp;"|"&amp;J369</f>
        <v>API-GOAT|2</v>
      </c>
      <c r="L369" s="31" t="s">
        <v>1324</v>
      </c>
      <c r="M369" s="31" t="n">
        <v>7</v>
      </c>
      <c r="N369" s="51" t="s">
        <v>462</v>
      </c>
      <c r="O369" s="35" t="s">
        <v>78</v>
      </c>
      <c r="P369" s="52"/>
      <c r="Q369" s="52"/>
      <c r="R369" s="33" t="n">
        <f aca="false">INDEX(Épopées!$L$6:$L$59,MATCH(K369,Épopées!$A$6:$A$59,0))</f>
        <v>46580</v>
      </c>
      <c r="S369" s="33" t="n">
        <f aca="false">INDEX(Épopées!$M$6:$M$59,MATCH(K369,Épopées!$A$6:$A$59,0))</f>
        <v>46595</v>
      </c>
      <c r="T369" s="53" t="s">
        <v>463</v>
      </c>
    </row>
    <row r="370" customFormat="false" ht="15" hidden="false" customHeight="false" outlineLevel="0" collapsed="false">
      <c r="A370" s="31" t="s">
        <v>1325</v>
      </c>
      <c r="B370" s="31" t="s">
        <v>301</v>
      </c>
      <c r="C370" s="31" t="s">
        <v>329</v>
      </c>
      <c r="D370" s="31" t="s">
        <v>330</v>
      </c>
      <c r="E370" s="31" t="s">
        <v>1326</v>
      </c>
      <c r="F370" s="31" t="s">
        <v>472</v>
      </c>
      <c r="G370" s="31" t="s">
        <v>466</v>
      </c>
      <c r="H370" s="31" t="s">
        <v>41</v>
      </c>
      <c r="I370" s="31" t="n">
        <f aca="false">VLOOKUP(H370,Paramètres!$A$15:$B$19,2,FALSE())</f>
        <v>1</v>
      </c>
      <c r="J370" s="31" t="n">
        <v>2</v>
      </c>
      <c r="K370" s="50" t="str">
        <f aca="false">C370&amp;"|"&amp;J370</f>
        <v>API-GOAT|2</v>
      </c>
      <c r="L370" s="31" t="s">
        <v>1327</v>
      </c>
      <c r="M370" s="31" t="n">
        <v>3</v>
      </c>
      <c r="N370" s="51" t="s">
        <v>462</v>
      </c>
      <c r="O370" s="35" t="s">
        <v>78</v>
      </c>
      <c r="P370" s="52"/>
      <c r="Q370" s="52"/>
      <c r="R370" s="33" t="n">
        <f aca="false">INDEX(Épopées!$L$6:$L$59,MATCH(K370,Épopées!$A$6:$A$59,0))</f>
        <v>46580</v>
      </c>
      <c r="S370" s="33" t="n">
        <f aca="false">INDEX(Épopées!$M$6:$M$59,MATCH(K370,Épopées!$A$6:$A$59,0))</f>
        <v>46595</v>
      </c>
      <c r="T370" s="53" t="s">
        <v>463</v>
      </c>
    </row>
    <row r="371" customFormat="false" ht="15" hidden="false" customHeight="false" outlineLevel="0" collapsed="false">
      <c r="A371" s="31" t="s">
        <v>1328</v>
      </c>
      <c r="B371" s="31" t="s">
        <v>301</v>
      </c>
      <c r="C371" s="31" t="s">
        <v>329</v>
      </c>
      <c r="D371" s="31" t="s">
        <v>330</v>
      </c>
      <c r="E371" s="31" t="s">
        <v>1329</v>
      </c>
      <c r="F371" s="31" t="s">
        <v>472</v>
      </c>
      <c r="G371" s="31" t="s">
        <v>612</v>
      </c>
      <c r="H371" s="31" t="s">
        <v>41</v>
      </c>
      <c r="I371" s="31" t="n">
        <f aca="false">VLOOKUP(H371,Paramètres!$A$15:$B$19,2,FALSE())</f>
        <v>1</v>
      </c>
      <c r="J371" s="31" t="n">
        <v>2</v>
      </c>
      <c r="K371" s="50" t="str">
        <f aca="false">C371&amp;"|"&amp;J371</f>
        <v>API-GOAT|2</v>
      </c>
      <c r="L371" s="31" t="s">
        <v>1330</v>
      </c>
      <c r="M371" s="31" t="n">
        <v>2</v>
      </c>
      <c r="N371" s="51" t="s">
        <v>462</v>
      </c>
      <c r="O371" s="35" t="s">
        <v>78</v>
      </c>
      <c r="P371" s="52"/>
      <c r="Q371" s="52"/>
      <c r="R371" s="33" t="n">
        <f aca="false">INDEX(Épopées!$L$6:$L$59,MATCH(K371,Épopées!$A$6:$A$59,0))</f>
        <v>46580</v>
      </c>
      <c r="S371" s="33" t="n">
        <f aca="false">INDEX(Épopées!$M$6:$M$59,MATCH(K371,Épopées!$A$6:$A$59,0))</f>
        <v>46595</v>
      </c>
      <c r="T371" s="53" t="s">
        <v>463</v>
      </c>
    </row>
    <row r="372" customFormat="false" ht="15" hidden="false" customHeight="false" outlineLevel="0" collapsed="false">
      <c r="A372" s="31" t="s">
        <v>1331</v>
      </c>
      <c r="B372" s="31" t="s">
        <v>301</v>
      </c>
      <c r="C372" s="31" t="s">
        <v>329</v>
      </c>
      <c r="D372" s="31" t="s">
        <v>330</v>
      </c>
      <c r="E372" s="31" t="s">
        <v>1332</v>
      </c>
      <c r="F372" s="31" t="s">
        <v>503</v>
      </c>
      <c r="G372" s="31" t="s">
        <v>466</v>
      </c>
      <c r="H372" s="31" t="s">
        <v>41</v>
      </c>
      <c r="I372" s="31" t="n">
        <f aca="false">VLOOKUP(H372,Paramètres!$A$15:$B$19,2,FALSE())</f>
        <v>1</v>
      </c>
      <c r="J372" s="31" t="n">
        <v>2</v>
      </c>
      <c r="K372" s="50" t="str">
        <f aca="false">C372&amp;"|"&amp;J372</f>
        <v>API-GOAT|2</v>
      </c>
      <c r="L372" s="31" t="s">
        <v>1296</v>
      </c>
      <c r="M372" s="31" t="n">
        <v>3</v>
      </c>
      <c r="N372" s="51" t="s">
        <v>462</v>
      </c>
      <c r="O372" s="35" t="s">
        <v>78</v>
      </c>
      <c r="P372" s="52"/>
      <c r="Q372" s="52"/>
      <c r="R372" s="33" t="n">
        <f aca="false">INDEX(Épopées!$L$6:$L$59,MATCH(K372,Épopées!$A$6:$A$59,0))</f>
        <v>46580</v>
      </c>
      <c r="S372" s="33" t="n">
        <f aca="false">INDEX(Épopées!$M$6:$M$59,MATCH(K372,Épopées!$A$6:$A$59,0))</f>
        <v>46595</v>
      </c>
      <c r="T372" s="53" t="s">
        <v>463</v>
      </c>
    </row>
    <row r="373" customFormat="false" ht="15" hidden="false" customHeight="false" outlineLevel="0" collapsed="false">
      <c r="A373" s="31" t="s">
        <v>1333</v>
      </c>
      <c r="B373" s="31" t="s">
        <v>301</v>
      </c>
      <c r="C373" s="31" t="s">
        <v>329</v>
      </c>
      <c r="D373" s="31" t="s">
        <v>330</v>
      </c>
      <c r="E373" s="31" t="s">
        <v>1334</v>
      </c>
      <c r="F373" s="31" t="s">
        <v>460</v>
      </c>
      <c r="G373" s="31" t="s">
        <v>612</v>
      </c>
      <c r="H373" s="31" t="s">
        <v>41</v>
      </c>
      <c r="I373" s="31" t="n">
        <f aca="false">VLOOKUP(H373,Paramètres!$A$15:$B$19,2,FALSE())</f>
        <v>1</v>
      </c>
      <c r="J373" s="31" t="n">
        <v>2</v>
      </c>
      <c r="K373" s="50" t="str">
        <f aca="false">C373&amp;"|"&amp;J373</f>
        <v>API-GOAT|2</v>
      </c>
      <c r="L373" s="31" t="s">
        <v>1335</v>
      </c>
      <c r="M373" s="31" t="n">
        <v>2</v>
      </c>
      <c r="N373" s="51" t="s">
        <v>462</v>
      </c>
      <c r="O373" s="35" t="s">
        <v>78</v>
      </c>
      <c r="P373" s="52"/>
      <c r="Q373" s="52"/>
      <c r="R373" s="33" t="n">
        <f aca="false">INDEX(Épopées!$L$6:$L$59,MATCH(K373,Épopées!$A$6:$A$59,0))</f>
        <v>46580</v>
      </c>
      <c r="S373" s="33" t="n">
        <f aca="false">INDEX(Épopées!$M$6:$M$59,MATCH(K373,Épopées!$A$6:$A$59,0))</f>
        <v>46595</v>
      </c>
      <c r="T373" s="53" t="s">
        <v>463</v>
      </c>
    </row>
    <row r="374" customFormat="false" ht="15" hidden="false" customHeight="false" outlineLevel="0" collapsed="false">
      <c r="A374" s="31" t="s">
        <v>1336</v>
      </c>
      <c r="B374" s="31" t="s">
        <v>301</v>
      </c>
      <c r="C374" s="31" t="s">
        <v>329</v>
      </c>
      <c r="D374" s="31" t="s">
        <v>330</v>
      </c>
      <c r="E374" s="31" t="s">
        <v>1337</v>
      </c>
      <c r="F374" s="31" t="s">
        <v>460</v>
      </c>
      <c r="G374" s="31" t="s">
        <v>466</v>
      </c>
      <c r="H374" s="31" t="s">
        <v>39</v>
      </c>
      <c r="I374" s="31" t="n">
        <f aca="false">VLOOKUP(H374,Paramètres!$A$15:$B$19,2,FALSE())</f>
        <v>0.5</v>
      </c>
      <c r="J374" s="31" t="n">
        <v>2</v>
      </c>
      <c r="K374" s="50" t="str">
        <f aca="false">C374&amp;"|"&amp;J374</f>
        <v>API-GOAT|2</v>
      </c>
      <c r="L374" s="31" t="s">
        <v>1338</v>
      </c>
      <c r="M374" s="31" t="n">
        <v>2</v>
      </c>
      <c r="N374" s="51" t="s">
        <v>462</v>
      </c>
      <c r="O374" s="35" t="s">
        <v>78</v>
      </c>
      <c r="P374" s="52"/>
      <c r="Q374" s="52"/>
      <c r="R374" s="33" t="n">
        <f aca="false">INDEX(Épopées!$L$6:$L$59,MATCH(K374,Épopées!$A$6:$A$59,0))</f>
        <v>46580</v>
      </c>
      <c r="S374" s="33" t="n">
        <f aca="false">INDEX(Épopées!$M$6:$M$59,MATCH(K374,Épopées!$A$6:$A$59,0))</f>
        <v>46595</v>
      </c>
      <c r="T374" s="53" t="s">
        <v>463</v>
      </c>
    </row>
    <row r="375" customFormat="false" ht="15" hidden="false" customHeight="false" outlineLevel="0" collapsed="false">
      <c r="A375" s="31" t="s">
        <v>1339</v>
      </c>
      <c r="B375" s="31" t="s">
        <v>301</v>
      </c>
      <c r="C375" s="31" t="s">
        <v>329</v>
      </c>
      <c r="D375" s="31" t="s">
        <v>330</v>
      </c>
      <c r="E375" s="31" t="s">
        <v>1340</v>
      </c>
      <c r="F375" s="31" t="s">
        <v>460</v>
      </c>
      <c r="G375" s="31" t="s">
        <v>466</v>
      </c>
      <c r="H375" s="31" t="s">
        <v>39</v>
      </c>
      <c r="I375" s="31" t="n">
        <f aca="false">VLOOKUP(H375,Paramètres!$A$15:$B$19,2,FALSE())</f>
        <v>0.5</v>
      </c>
      <c r="J375" s="31" t="n">
        <v>2</v>
      </c>
      <c r="K375" s="50" t="str">
        <f aca="false">C375&amp;"|"&amp;J375</f>
        <v>API-GOAT|2</v>
      </c>
      <c r="L375" s="31" t="s">
        <v>1281</v>
      </c>
      <c r="M375" s="31" t="n">
        <v>3</v>
      </c>
      <c r="N375" s="51" t="s">
        <v>462</v>
      </c>
      <c r="O375" s="35" t="s">
        <v>78</v>
      </c>
      <c r="P375" s="52"/>
      <c r="Q375" s="52"/>
      <c r="R375" s="33" t="n">
        <f aca="false">INDEX(Épopées!$L$6:$L$59,MATCH(K375,Épopées!$A$6:$A$59,0))</f>
        <v>46580</v>
      </c>
      <c r="S375" s="33" t="n">
        <f aca="false">INDEX(Épopées!$M$6:$M$59,MATCH(K375,Épopées!$A$6:$A$59,0))</f>
        <v>46595</v>
      </c>
      <c r="T375" s="53" t="s">
        <v>463</v>
      </c>
    </row>
    <row r="376" customFormat="false" ht="15" hidden="false" customHeight="false" outlineLevel="0" collapsed="false">
      <c r="A376" s="31" t="s">
        <v>1341</v>
      </c>
      <c r="B376" s="31" t="s">
        <v>301</v>
      </c>
      <c r="C376" s="31" t="s">
        <v>329</v>
      </c>
      <c r="D376" s="31" t="s">
        <v>330</v>
      </c>
      <c r="E376" s="31" t="s">
        <v>1342</v>
      </c>
      <c r="F376" s="31" t="s">
        <v>481</v>
      </c>
      <c r="G376" s="31" t="s">
        <v>466</v>
      </c>
      <c r="H376" s="31" t="s">
        <v>41</v>
      </c>
      <c r="I376" s="31" t="n">
        <f aca="false">VLOOKUP(H376,Paramètres!$A$15:$B$19,2,FALSE())</f>
        <v>1</v>
      </c>
      <c r="J376" s="31" t="n">
        <v>2</v>
      </c>
      <c r="K376" s="50" t="str">
        <f aca="false">C376&amp;"|"&amp;J376</f>
        <v>API-GOAT|2</v>
      </c>
      <c r="L376" s="31" t="s">
        <v>1296</v>
      </c>
      <c r="M376" s="31" t="n">
        <v>1</v>
      </c>
      <c r="N376" s="51" t="s">
        <v>462</v>
      </c>
      <c r="O376" s="35" t="s">
        <v>78</v>
      </c>
      <c r="P376" s="52"/>
      <c r="Q376" s="52"/>
      <c r="R376" s="33" t="n">
        <f aca="false">INDEX(Épopées!$L$6:$L$59,MATCH(K376,Épopées!$A$6:$A$59,0))</f>
        <v>46580</v>
      </c>
      <c r="S376" s="33" t="n">
        <f aca="false">INDEX(Épopées!$M$6:$M$59,MATCH(K376,Épopées!$A$6:$A$59,0))</f>
        <v>46595</v>
      </c>
      <c r="T376" s="53" t="s">
        <v>463</v>
      </c>
    </row>
    <row r="377" customFormat="false" ht="15" hidden="false" customHeight="false" outlineLevel="0" collapsed="false">
      <c r="A377" s="31" t="s">
        <v>1343</v>
      </c>
      <c r="B377" s="31" t="s">
        <v>301</v>
      </c>
      <c r="C377" s="31" t="s">
        <v>332</v>
      </c>
      <c r="D377" s="31" t="s">
        <v>333</v>
      </c>
      <c r="E377" s="31" t="s">
        <v>1344</v>
      </c>
      <c r="F377" s="31" t="s">
        <v>486</v>
      </c>
      <c r="G377" s="31" t="s">
        <v>461</v>
      </c>
      <c r="H377" s="31" t="s">
        <v>43</v>
      </c>
      <c r="I377" s="31" t="n">
        <f aca="false">VLOOKUP(H377,Paramètres!$A$15:$B$19,2,FALSE())</f>
        <v>2</v>
      </c>
      <c r="J377" s="31" t="n">
        <v>2</v>
      </c>
      <c r="K377" s="50" t="str">
        <f aca="false">C377&amp;"|"&amp;J377</f>
        <v>API-FANT|2</v>
      </c>
      <c r="L377" s="31"/>
      <c r="M377" s="31" t="n">
        <v>4</v>
      </c>
      <c r="N377" s="51" t="s">
        <v>462</v>
      </c>
      <c r="O377" s="35" t="s">
        <v>78</v>
      </c>
      <c r="P377" s="52"/>
      <c r="Q377" s="52"/>
      <c r="R377" s="33" t="n">
        <f aca="false">INDEX(Épopées!$L$6:$L$59,MATCH(K377,Épopées!$A$6:$A$59,0))</f>
        <v>46596</v>
      </c>
      <c r="S377" s="33" t="n">
        <f aca="false">INDEX(Épopées!$M$6:$M$59,MATCH(K377,Épopées!$A$6:$A$59,0))</f>
        <v>46618</v>
      </c>
      <c r="T377" s="53" t="s">
        <v>463</v>
      </c>
    </row>
    <row r="378" customFormat="false" ht="15" hidden="false" customHeight="false" outlineLevel="0" collapsed="false">
      <c r="A378" s="31" t="s">
        <v>1345</v>
      </c>
      <c r="B378" s="31" t="s">
        <v>301</v>
      </c>
      <c r="C378" s="31" t="s">
        <v>332</v>
      </c>
      <c r="D378" s="31" t="s">
        <v>333</v>
      </c>
      <c r="E378" s="31" t="s">
        <v>1346</v>
      </c>
      <c r="F378" s="31" t="s">
        <v>486</v>
      </c>
      <c r="G378" s="31" t="s">
        <v>461</v>
      </c>
      <c r="H378" s="31" t="s">
        <v>41</v>
      </c>
      <c r="I378" s="31" t="n">
        <f aca="false">VLOOKUP(H378,Paramètres!$A$15:$B$19,2,FALSE())</f>
        <v>1</v>
      </c>
      <c r="J378" s="31" t="n">
        <v>2</v>
      </c>
      <c r="K378" s="50" t="str">
        <f aca="false">C378&amp;"|"&amp;J378</f>
        <v>API-FANT|2</v>
      </c>
      <c r="L378" s="31" t="s">
        <v>1343</v>
      </c>
      <c r="M378" s="31" t="n">
        <v>4</v>
      </c>
      <c r="N378" s="51" t="s">
        <v>462</v>
      </c>
      <c r="O378" s="35" t="s">
        <v>78</v>
      </c>
      <c r="P378" s="52"/>
      <c r="Q378" s="52"/>
      <c r="R378" s="33" t="n">
        <f aca="false">INDEX(Épopées!$L$6:$L$59,MATCH(K378,Épopées!$A$6:$A$59,0))</f>
        <v>46596</v>
      </c>
      <c r="S378" s="33" t="n">
        <f aca="false">INDEX(Épopées!$M$6:$M$59,MATCH(K378,Épopées!$A$6:$A$59,0))</f>
        <v>46618</v>
      </c>
      <c r="T378" s="53" t="s">
        <v>463</v>
      </c>
    </row>
    <row r="379" customFormat="false" ht="15" hidden="false" customHeight="false" outlineLevel="0" collapsed="false">
      <c r="A379" s="31" t="s">
        <v>1347</v>
      </c>
      <c r="B379" s="31" t="s">
        <v>301</v>
      </c>
      <c r="C379" s="31" t="s">
        <v>332</v>
      </c>
      <c r="D379" s="31" t="s">
        <v>333</v>
      </c>
      <c r="E379" s="31" t="s">
        <v>1348</v>
      </c>
      <c r="F379" s="31" t="s">
        <v>491</v>
      </c>
      <c r="G379" s="31" t="s">
        <v>461</v>
      </c>
      <c r="H379" s="31" t="s">
        <v>41</v>
      </c>
      <c r="I379" s="31" t="n">
        <f aca="false">VLOOKUP(H379,Paramètres!$A$15:$B$19,2,FALSE())</f>
        <v>1</v>
      </c>
      <c r="J379" s="31" t="n">
        <v>2</v>
      </c>
      <c r="K379" s="50" t="str">
        <f aca="false">C379&amp;"|"&amp;J379</f>
        <v>API-FANT|2</v>
      </c>
      <c r="L379" s="31" t="s">
        <v>1345</v>
      </c>
      <c r="M379" s="31" t="n">
        <v>4</v>
      </c>
      <c r="N379" s="51" t="s">
        <v>462</v>
      </c>
      <c r="O379" s="35" t="s">
        <v>78</v>
      </c>
      <c r="P379" s="52"/>
      <c r="Q379" s="52"/>
      <c r="R379" s="33" t="n">
        <f aca="false">INDEX(Épopées!$L$6:$L$59,MATCH(K379,Épopées!$A$6:$A$59,0))</f>
        <v>46596</v>
      </c>
      <c r="S379" s="33" t="n">
        <f aca="false">INDEX(Épopées!$M$6:$M$59,MATCH(K379,Épopées!$A$6:$A$59,0))</f>
        <v>46618</v>
      </c>
      <c r="T379" s="53" t="s">
        <v>463</v>
      </c>
    </row>
    <row r="380" customFormat="false" ht="15" hidden="false" customHeight="false" outlineLevel="0" collapsed="false">
      <c r="A380" s="31" t="s">
        <v>1349</v>
      </c>
      <c r="B380" s="31" t="s">
        <v>301</v>
      </c>
      <c r="C380" s="31" t="s">
        <v>332</v>
      </c>
      <c r="D380" s="31" t="s">
        <v>333</v>
      </c>
      <c r="E380" s="31" t="s">
        <v>1350</v>
      </c>
      <c r="F380" s="31" t="s">
        <v>460</v>
      </c>
      <c r="G380" s="31" t="s">
        <v>461</v>
      </c>
      <c r="H380" s="31" t="s">
        <v>41</v>
      </c>
      <c r="I380" s="31" t="n">
        <f aca="false">VLOOKUP(H380,Paramètres!$A$15:$B$19,2,FALSE())</f>
        <v>1</v>
      </c>
      <c r="J380" s="31" t="n">
        <v>2</v>
      </c>
      <c r="K380" s="50" t="str">
        <f aca="false">C380&amp;"|"&amp;J380</f>
        <v>API-FANT|2</v>
      </c>
      <c r="L380" s="31" t="s">
        <v>1347</v>
      </c>
      <c r="M380" s="31" t="n">
        <v>2</v>
      </c>
      <c r="N380" s="51" t="s">
        <v>462</v>
      </c>
      <c r="O380" s="35" t="s">
        <v>78</v>
      </c>
      <c r="P380" s="52"/>
      <c r="Q380" s="52"/>
      <c r="R380" s="33" t="n">
        <f aca="false">INDEX(Épopées!$L$6:$L$59,MATCH(K380,Épopées!$A$6:$A$59,0))</f>
        <v>46596</v>
      </c>
      <c r="S380" s="33" t="n">
        <f aca="false">INDEX(Épopées!$M$6:$M$59,MATCH(K380,Épopées!$A$6:$A$59,0))</f>
        <v>46618</v>
      </c>
      <c r="T380" s="53" t="s">
        <v>463</v>
      </c>
    </row>
    <row r="381" customFormat="false" ht="15" hidden="false" customHeight="false" outlineLevel="0" collapsed="false">
      <c r="A381" s="31" t="s">
        <v>1351</v>
      </c>
      <c r="B381" s="31" t="s">
        <v>301</v>
      </c>
      <c r="C381" s="31" t="s">
        <v>332</v>
      </c>
      <c r="D381" s="31" t="s">
        <v>333</v>
      </c>
      <c r="E381" s="31" t="s">
        <v>1352</v>
      </c>
      <c r="F381" s="31" t="s">
        <v>460</v>
      </c>
      <c r="G381" s="31" t="s">
        <v>461</v>
      </c>
      <c r="H381" s="31" t="s">
        <v>39</v>
      </c>
      <c r="I381" s="31" t="n">
        <f aca="false">VLOOKUP(H381,Paramètres!$A$15:$B$19,2,FALSE())</f>
        <v>0.5</v>
      </c>
      <c r="J381" s="31" t="n">
        <v>2</v>
      </c>
      <c r="K381" s="50" t="str">
        <f aca="false">C381&amp;"|"&amp;J381</f>
        <v>API-FANT|2</v>
      </c>
      <c r="L381" s="31" t="s">
        <v>1353</v>
      </c>
      <c r="M381" s="31" t="n">
        <v>6</v>
      </c>
      <c r="N381" s="51" t="s">
        <v>462</v>
      </c>
      <c r="O381" s="35" t="s">
        <v>78</v>
      </c>
      <c r="P381" s="52"/>
      <c r="Q381" s="52"/>
      <c r="R381" s="33" t="n">
        <f aca="false">INDEX(Épopées!$L$6:$L$59,MATCH(K381,Épopées!$A$6:$A$59,0))</f>
        <v>46596</v>
      </c>
      <c r="S381" s="33" t="n">
        <f aca="false">INDEX(Épopées!$M$6:$M$59,MATCH(K381,Épopées!$A$6:$A$59,0))</f>
        <v>46618</v>
      </c>
      <c r="T381" s="53" t="s">
        <v>463</v>
      </c>
    </row>
    <row r="382" customFormat="false" ht="15" hidden="false" customHeight="false" outlineLevel="0" collapsed="false">
      <c r="A382" s="31" t="s">
        <v>1354</v>
      </c>
      <c r="B382" s="31" t="s">
        <v>301</v>
      </c>
      <c r="C382" s="31" t="s">
        <v>332</v>
      </c>
      <c r="D382" s="31" t="s">
        <v>333</v>
      </c>
      <c r="E382" s="31" t="s">
        <v>1355</v>
      </c>
      <c r="F382" s="31" t="s">
        <v>460</v>
      </c>
      <c r="G382" s="31" t="s">
        <v>461</v>
      </c>
      <c r="H382" s="31" t="s">
        <v>43</v>
      </c>
      <c r="I382" s="31" t="n">
        <f aca="false">VLOOKUP(H382,Paramètres!$A$15:$B$19,2,FALSE())</f>
        <v>2</v>
      </c>
      <c r="J382" s="31" t="n">
        <v>2</v>
      </c>
      <c r="K382" s="50" t="str">
        <f aca="false">C382&amp;"|"&amp;J382</f>
        <v>API-FANT|2</v>
      </c>
      <c r="L382" s="31" t="s">
        <v>1356</v>
      </c>
      <c r="M382" s="31" t="n">
        <v>4</v>
      </c>
      <c r="N382" s="51" t="s">
        <v>462</v>
      </c>
      <c r="O382" s="35" t="s">
        <v>78</v>
      </c>
      <c r="P382" s="52"/>
      <c r="Q382" s="52"/>
      <c r="R382" s="33" t="n">
        <f aca="false">INDEX(Épopées!$L$6:$L$59,MATCH(K382,Épopées!$A$6:$A$59,0))</f>
        <v>46596</v>
      </c>
      <c r="S382" s="33" t="n">
        <f aca="false">INDEX(Épopées!$M$6:$M$59,MATCH(K382,Épopées!$A$6:$A$59,0))</f>
        <v>46618</v>
      </c>
      <c r="T382" s="53" t="s">
        <v>463</v>
      </c>
    </row>
    <row r="383" customFormat="false" ht="15" hidden="false" customHeight="false" outlineLevel="0" collapsed="false">
      <c r="A383" s="31" t="s">
        <v>1357</v>
      </c>
      <c r="B383" s="31" t="s">
        <v>301</v>
      </c>
      <c r="C383" s="31" t="s">
        <v>332</v>
      </c>
      <c r="D383" s="31" t="s">
        <v>333</v>
      </c>
      <c r="E383" s="31" t="s">
        <v>1358</v>
      </c>
      <c r="F383" s="31" t="s">
        <v>491</v>
      </c>
      <c r="G383" s="31" t="s">
        <v>461</v>
      </c>
      <c r="H383" s="31" t="s">
        <v>41</v>
      </c>
      <c r="I383" s="31" t="n">
        <f aca="false">VLOOKUP(H383,Paramètres!$A$15:$B$19,2,FALSE())</f>
        <v>1</v>
      </c>
      <c r="J383" s="31" t="n">
        <v>2</v>
      </c>
      <c r="K383" s="50" t="str">
        <f aca="false">C383&amp;"|"&amp;J383</f>
        <v>API-FANT|2</v>
      </c>
      <c r="L383" s="31" t="s">
        <v>1343</v>
      </c>
      <c r="M383" s="31" t="n">
        <v>3</v>
      </c>
      <c r="N383" s="51" t="s">
        <v>462</v>
      </c>
      <c r="O383" s="35" t="s">
        <v>78</v>
      </c>
      <c r="P383" s="52"/>
      <c r="Q383" s="52"/>
      <c r="R383" s="33" t="n">
        <f aca="false">INDEX(Épopées!$L$6:$L$59,MATCH(K383,Épopées!$A$6:$A$59,0))</f>
        <v>46596</v>
      </c>
      <c r="S383" s="33" t="n">
        <f aca="false">INDEX(Épopées!$M$6:$M$59,MATCH(K383,Épopées!$A$6:$A$59,0))</f>
        <v>46618</v>
      </c>
      <c r="T383" s="53" t="s">
        <v>463</v>
      </c>
    </row>
    <row r="384" customFormat="false" ht="15" hidden="false" customHeight="false" outlineLevel="0" collapsed="false">
      <c r="A384" s="31" t="s">
        <v>1359</v>
      </c>
      <c r="B384" s="31" t="s">
        <v>301</v>
      </c>
      <c r="C384" s="31" t="s">
        <v>332</v>
      </c>
      <c r="D384" s="31" t="s">
        <v>333</v>
      </c>
      <c r="E384" s="31" t="s">
        <v>1360</v>
      </c>
      <c r="F384" s="31" t="s">
        <v>486</v>
      </c>
      <c r="G384" s="31" t="s">
        <v>461</v>
      </c>
      <c r="H384" s="31" t="s">
        <v>43</v>
      </c>
      <c r="I384" s="31" t="n">
        <f aca="false">VLOOKUP(H384,Paramètres!$A$15:$B$19,2,FALSE())</f>
        <v>2</v>
      </c>
      <c r="J384" s="31" t="n">
        <v>2</v>
      </c>
      <c r="K384" s="50" t="str">
        <f aca="false">C384&amp;"|"&amp;J384</f>
        <v>API-FANT|2</v>
      </c>
      <c r="L384" s="31" t="s">
        <v>1343</v>
      </c>
      <c r="M384" s="31" t="n">
        <v>2</v>
      </c>
      <c r="N384" s="51" t="s">
        <v>462</v>
      </c>
      <c r="O384" s="35" t="s">
        <v>78</v>
      </c>
      <c r="P384" s="52"/>
      <c r="Q384" s="52"/>
      <c r="R384" s="33" t="n">
        <f aca="false">INDEX(Épopées!$L$6:$L$59,MATCH(K384,Épopées!$A$6:$A$59,0))</f>
        <v>46596</v>
      </c>
      <c r="S384" s="33" t="n">
        <f aca="false">INDEX(Épopées!$M$6:$M$59,MATCH(K384,Épopées!$A$6:$A$59,0))</f>
        <v>46618</v>
      </c>
      <c r="T384" s="53" t="s">
        <v>463</v>
      </c>
    </row>
    <row r="385" customFormat="false" ht="15" hidden="false" customHeight="false" outlineLevel="0" collapsed="false">
      <c r="A385" s="31" t="s">
        <v>1361</v>
      </c>
      <c r="B385" s="31" t="s">
        <v>301</v>
      </c>
      <c r="C385" s="31" t="s">
        <v>332</v>
      </c>
      <c r="D385" s="31" t="s">
        <v>333</v>
      </c>
      <c r="E385" s="31" t="s">
        <v>1362</v>
      </c>
      <c r="F385" s="31" t="s">
        <v>486</v>
      </c>
      <c r="G385" s="31" t="s">
        <v>461</v>
      </c>
      <c r="H385" s="31" t="s">
        <v>43</v>
      </c>
      <c r="I385" s="31" t="n">
        <f aca="false">VLOOKUP(H385,Paramètres!$A$15:$B$19,2,FALSE())</f>
        <v>2</v>
      </c>
      <c r="J385" s="31" t="n">
        <v>2</v>
      </c>
      <c r="K385" s="50" t="str">
        <f aca="false">C385&amp;"|"&amp;J385</f>
        <v>API-FANT|2</v>
      </c>
      <c r="L385" s="31"/>
      <c r="M385" s="31" t="n">
        <v>2</v>
      </c>
      <c r="N385" s="51" t="s">
        <v>462</v>
      </c>
      <c r="O385" s="35" t="s">
        <v>78</v>
      </c>
      <c r="P385" s="52"/>
      <c r="Q385" s="52"/>
      <c r="R385" s="33" t="n">
        <f aca="false">INDEX(Épopées!$L$6:$L$59,MATCH(K385,Épopées!$A$6:$A$59,0))</f>
        <v>46596</v>
      </c>
      <c r="S385" s="33" t="n">
        <f aca="false">INDEX(Épopées!$M$6:$M$59,MATCH(K385,Épopées!$A$6:$A$59,0))</f>
        <v>46618</v>
      </c>
      <c r="T385" s="53" t="s">
        <v>463</v>
      </c>
    </row>
    <row r="386" customFormat="false" ht="15" hidden="false" customHeight="false" outlineLevel="0" collapsed="false">
      <c r="A386" s="31" t="s">
        <v>1363</v>
      </c>
      <c r="B386" s="31" t="s">
        <v>301</v>
      </c>
      <c r="C386" s="31" t="s">
        <v>332</v>
      </c>
      <c r="D386" s="31" t="s">
        <v>333</v>
      </c>
      <c r="E386" s="31" t="s">
        <v>1364</v>
      </c>
      <c r="F386" s="31" t="s">
        <v>491</v>
      </c>
      <c r="G386" s="31" t="s">
        <v>461</v>
      </c>
      <c r="H386" s="31" t="s">
        <v>43</v>
      </c>
      <c r="I386" s="31" t="n">
        <f aca="false">VLOOKUP(H386,Paramètres!$A$15:$B$19,2,FALSE())</f>
        <v>2</v>
      </c>
      <c r="J386" s="31" t="n">
        <v>2</v>
      </c>
      <c r="K386" s="50" t="str">
        <f aca="false">C386&amp;"|"&amp;J386</f>
        <v>API-FANT|2</v>
      </c>
      <c r="L386" s="31" t="s">
        <v>1365</v>
      </c>
      <c r="M386" s="31" t="n">
        <v>3</v>
      </c>
      <c r="N386" s="51" t="s">
        <v>462</v>
      </c>
      <c r="O386" s="35" t="s">
        <v>78</v>
      </c>
      <c r="P386" s="52"/>
      <c r="Q386" s="52"/>
      <c r="R386" s="33" t="n">
        <f aca="false">INDEX(Épopées!$L$6:$L$59,MATCH(K386,Épopées!$A$6:$A$59,0))</f>
        <v>46596</v>
      </c>
      <c r="S386" s="33" t="n">
        <f aca="false">INDEX(Épopées!$M$6:$M$59,MATCH(K386,Épopées!$A$6:$A$59,0))</f>
        <v>46618</v>
      </c>
      <c r="T386" s="53" t="s">
        <v>463</v>
      </c>
    </row>
    <row r="387" customFormat="false" ht="15" hidden="false" customHeight="false" outlineLevel="0" collapsed="false">
      <c r="A387" s="31" t="s">
        <v>1366</v>
      </c>
      <c r="B387" s="31" t="s">
        <v>301</v>
      </c>
      <c r="C387" s="31" t="s">
        <v>332</v>
      </c>
      <c r="D387" s="31" t="s">
        <v>333</v>
      </c>
      <c r="E387" s="31" t="s">
        <v>1367</v>
      </c>
      <c r="F387" s="31" t="s">
        <v>481</v>
      </c>
      <c r="G387" s="31" t="s">
        <v>461</v>
      </c>
      <c r="H387" s="31" t="s">
        <v>43</v>
      </c>
      <c r="I387" s="31" t="n">
        <f aca="false">VLOOKUP(H387,Paramètres!$A$15:$B$19,2,FALSE())</f>
        <v>2</v>
      </c>
      <c r="J387" s="31" t="n">
        <v>2</v>
      </c>
      <c r="K387" s="50" t="str">
        <f aca="false">C387&amp;"|"&amp;J387</f>
        <v>API-FANT|2</v>
      </c>
      <c r="L387" s="31" t="s">
        <v>1368</v>
      </c>
      <c r="M387" s="31" t="n">
        <v>2</v>
      </c>
      <c r="N387" s="51" t="s">
        <v>462</v>
      </c>
      <c r="O387" s="35" t="s">
        <v>78</v>
      </c>
      <c r="P387" s="52"/>
      <c r="Q387" s="52"/>
      <c r="R387" s="33" t="n">
        <f aca="false">INDEX(Épopées!$L$6:$L$59,MATCH(K387,Épopées!$A$6:$A$59,0))</f>
        <v>46596</v>
      </c>
      <c r="S387" s="33" t="n">
        <f aca="false">INDEX(Épopées!$M$6:$M$59,MATCH(K387,Épopées!$A$6:$A$59,0))</f>
        <v>46618</v>
      </c>
      <c r="T387" s="53" t="s">
        <v>463</v>
      </c>
    </row>
    <row r="388" customFormat="false" ht="15" hidden="false" customHeight="false" outlineLevel="0" collapsed="false">
      <c r="A388" s="31" t="s">
        <v>1369</v>
      </c>
      <c r="B388" s="31" t="s">
        <v>301</v>
      </c>
      <c r="C388" s="31" t="s">
        <v>332</v>
      </c>
      <c r="D388" s="31" t="s">
        <v>333</v>
      </c>
      <c r="E388" s="31" t="s">
        <v>1370</v>
      </c>
      <c r="F388" s="31" t="s">
        <v>481</v>
      </c>
      <c r="G388" s="31" t="s">
        <v>461</v>
      </c>
      <c r="H388" s="31" t="s">
        <v>41</v>
      </c>
      <c r="I388" s="31" t="n">
        <f aca="false">VLOOKUP(H388,Paramètres!$A$15:$B$19,2,FALSE())</f>
        <v>1</v>
      </c>
      <c r="J388" s="31" t="n">
        <v>2</v>
      </c>
      <c r="K388" s="50" t="str">
        <f aca="false">C388&amp;"|"&amp;J388</f>
        <v>API-FANT|2</v>
      </c>
      <c r="L388" s="31" t="s">
        <v>1366</v>
      </c>
      <c r="M388" s="31" t="n">
        <v>1</v>
      </c>
      <c r="N388" s="51" t="s">
        <v>462</v>
      </c>
      <c r="O388" s="35" t="s">
        <v>78</v>
      </c>
      <c r="P388" s="52"/>
      <c r="Q388" s="52"/>
      <c r="R388" s="33" t="n">
        <f aca="false">INDEX(Épopées!$L$6:$L$59,MATCH(K388,Épopées!$A$6:$A$59,0))</f>
        <v>46596</v>
      </c>
      <c r="S388" s="33" t="n">
        <f aca="false">INDEX(Épopées!$M$6:$M$59,MATCH(K388,Épopées!$A$6:$A$59,0))</f>
        <v>46618</v>
      </c>
      <c r="T388" s="53" t="s">
        <v>463</v>
      </c>
    </row>
    <row r="389" customFormat="false" ht="15" hidden="false" customHeight="false" outlineLevel="0" collapsed="false">
      <c r="A389" s="31" t="s">
        <v>1371</v>
      </c>
      <c r="B389" s="31" t="s">
        <v>301</v>
      </c>
      <c r="C389" s="31" t="s">
        <v>332</v>
      </c>
      <c r="D389" s="31" t="s">
        <v>333</v>
      </c>
      <c r="E389" s="31" t="s">
        <v>1372</v>
      </c>
      <c r="F389" s="31" t="s">
        <v>460</v>
      </c>
      <c r="G389" s="31" t="s">
        <v>461</v>
      </c>
      <c r="H389" s="31" t="s">
        <v>41</v>
      </c>
      <c r="I389" s="31" t="n">
        <f aca="false">VLOOKUP(H389,Paramètres!$A$15:$B$19,2,FALSE())</f>
        <v>1</v>
      </c>
      <c r="J389" s="31" t="n">
        <v>2</v>
      </c>
      <c r="K389" s="50" t="str">
        <f aca="false">C389&amp;"|"&amp;J389</f>
        <v>API-FANT|2</v>
      </c>
      <c r="L389" s="31" t="s">
        <v>1373</v>
      </c>
      <c r="M389" s="31" t="n">
        <v>3</v>
      </c>
      <c r="N389" s="51" t="s">
        <v>462</v>
      </c>
      <c r="O389" s="35" t="s">
        <v>78</v>
      </c>
      <c r="P389" s="52"/>
      <c r="Q389" s="52"/>
      <c r="R389" s="33" t="n">
        <f aca="false">INDEX(Épopées!$L$6:$L$59,MATCH(K389,Épopées!$A$6:$A$59,0))</f>
        <v>46596</v>
      </c>
      <c r="S389" s="33" t="n">
        <f aca="false">INDEX(Épopées!$M$6:$M$59,MATCH(K389,Épopées!$A$6:$A$59,0))</f>
        <v>46618</v>
      </c>
      <c r="T389" s="53" t="s">
        <v>463</v>
      </c>
    </row>
    <row r="390" customFormat="false" ht="15" hidden="false" customHeight="false" outlineLevel="0" collapsed="false">
      <c r="A390" s="31" t="s">
        <v>1374</v>
      </c>
      <c r="B390" s="31" t="s">
        <v>301</v>
      </c>
      <c r="C390" s="31" t="s">
        <v>332</v>
      </c>
      <c r="D390" s="31" t="s">
        <v>333</v>
      </c>
      <c r="E390" s="31" t="s">
        <v>1375</v>
      </c>
      <c r="F390" s="31" t="s">
        <v>486</v>
      </c>
      <c r="G390" s="31" t="s">
        <v>461</v>
      </c>
      <c r="H390" s="31" t="s">
        <v>43</v>
      </c>
      <c r="I390" s="31" t="n">
        <f aca="false">VLOOKUP(H390,Paramètres!$A$15:$B$19,2,FALSE())</f>
        <v>2</v>
      </c>
      <c r="J390" s="31" t="n">
        <v>2</v>
      </c>
      <c r="K390" s="50" t="str">
        <f aca="false">C390&amp;"|"&amp;J390</f>
        <v>API-FANT|2</v>
      </c>
      <c r="L390" s="31" t="s">
        <v>1366</v>
      </c>
      <c r="M390" s="31" t="n">
        <v>3</v>
      </c>
      <c r="N390" s="51" t="s">
        <v>462</v>
      </c>
      <c r="O390" s="35" t="s">
        <v>78</v>
      </c>
      <c r="P390" s="52"/>
      <c r="Q390" s="52"/>
      <c r="R390" s="33" t="n">
        <f aca="false">INDEX(Épopées!$L$6:$L$59,MATCH(K390,Épopées!$A$6:$A$59,0))</f>
        <v>46596</v>
      </c>
      <c r="S390" s="33" t="n">
        <f aca="false">INDEX(Épopées!$M$6:$M$59,MATCH(K390,Épopées!$A$6:$A$59,0))</f>
        <v>46618</v>
      </c>
      <c r="T390" s="53" t="s">
        <v>463</v>
      </c>
    </row>
    <row r="391" customFormat="false" ht="15" hidden="false" customHeight="false" outlineLevel="0" collapsed="false">
      <c r="A391" s="31" t="s">
        <v>1376</v>
      </c>
      <c r="B391" s="31" t="s">
        <v>301</v>
      </c>
      <c r="C391" s="31" t="s">
        <v>332</v>
      </c>
      <c r="D391" s="31" t="s">
        <v>333</v>
      </c>
      <c r="E391" s="31" t="s">
        <v>1377</v>
      </c>
      <c r="F391" s="31" t="s">
        <v>460</v>
      </c>
      <c r="G391" s="31" t="s">
        <v>461</v>
      </c>
      <c r="H391" s="31" t="s">
        <v>43</v>
      </c>
      <c r="I391" s="31" t="n">
        <f aca="false">VLOOKUP(H391,Paramètres!$A$15:$B$19,2,FALSE())</f>
        <v>2</v>
      </c>
      <c r="J391" s="31" t="n">
        <v>2</v>
      </c>
      <c r="K391" s="50" t="str">
        <f aca="false">C391&amp;"|"&amp;J391</f>
        <v>API-FANT|2</v>
      </c>
      <c r="L391" s="31" t="s">
        <v>1374</v>
      </c>
      <c r="M391" s="31" t="n">
        <v>4</v>
      </c>
      <c r="N391" s="51" t="s">
        <v>462</v>
      </c>
      <c r="O391" s="35" t="s">
        <v>78</v>
      </c>
      <c r="P391" s="52"/>
      <c r="Q391" s="52"/>
      <c r="R391" s="33" t="n">
        <f aca="false">INDEX(Épopées!$L$6:$L$59,MATCH(K391,Épopées!$A$6:$A$59,0))</f>
        <v>46596</v>
      </c>
      <c r="S391" s="33" t="n">
        <f aca="false">INDEX(Épopées!$M$6:$M$59,MATCH(K391,Épopées!$A$6:$A$59,0))</f>
        <v>46618</v>
      </c>
      <c r="T391" s="53" t="s">
        <v>463</v>
      </c>
    </row>
    <row r="392" customFormat="false" ht="15" hidden="false" customHeight="false" outlineLevel="0" collapsed="false">
      <c r="A392" s="31" t="s">
        <v>1378</v>
      </c>
      <c r="B392" s="31" t="s">
        <v>301</v>
      </c>
      <c r="C392" s="31" t="s">
        <v>332</v>
      </c>
      <c r="D392" s="31" t="s">
        <v>333</v>
      </c>
      <c r="E392" s="31" t="s">
        <v>1379</v>
      </c>
      <c r="F392" s="31" t="s">
        <v>486</v>
      </c>
      <c r="G392" s="31" t="s">
        <v>466</v>
      </c>
      <c r="H392" s="31" t="s">
        <v>41</v>
      </c>
      <c r="I392" s="31" t="n">
        <f aca="false">VLOOKUP(H392,Paramètres!$A$15:$B$19,2,FALSE())</f>
        <v>1</v>
      </c>
      <c r="J392" s="31" t="n">
        <v>2</v>
      </c>
      <c r="K392" s="50" t="str">
        <f aca="false">C392&amp;"|"&amp;J392</f>
        <v>API-FANT|2</v>
      </c>
      <c r="L392" s="31"/>
      <c r="M392" s="31" t="n">
        <v>2</v>
      </c>
      <c r="N392" s="51" t="s">
        <v>462</v>
      </c>
      <c r="O392" s="35" t="s">
        <v>78</v>
      </c>
      <c r="P392" s="52"/>
      <c r="Q392" s="52"/>
      <c r="R392" s="33" t="n">
        <f aca="false">INDEX(Épopées!$L$6:$L$59,MATCH(K392,Épopées!$A$6:$A$59,0))</f>
        <v>46596</v>
      </c>
      <c r="S392" s="33" t="n">
        <f aca="false">INDEX(Épopées!$M$6:$M$59,MATCH(K392,Épopées!$A$6:$A$59,0))</f>
        <v>46618</v>
      </c>
      <c r="T392" s="53" t="s">
        <v>463</v>
      </c>
    </row>
    <row r="393" customFormat="false" ht="15" hidden="false" customHeight="false" outlineLevel="0" collapsed="false">
      <c r="A393" s="31" t="s">
        <v>1380</v>
      </c>
      <c r="B393" s="31" t="s">
        <v>301</v>
      </c>
      <c r="C393" s="31" t="s">
        <v>332</v>
      </c>
      <c r="D393" s="31" t="s">
        <v>333</v>
      </c>
      <c r="E393" s="31" t="s">
        <v>1381</v>
      </c>
      <c r="F393" s="31" t="s">
        <v>460</v>
      </c>
      <c r="G393" s="31" t="s">
        <v>466</v>
      </c>
      <c r="H393" s="31" t="s">
        <v>41</v>
      </c>
      <c r="I393" s="31" t="n">
        <f aca="false">VLOOKUP(H393,Paramètres!$A$15:$B$19,2,FALSE())</f>
        <v>1</v>
      </c>
      <c r="J393" s="31" t="n">
        <v>2</v>
      </c>
      <c r="K393" s="50" t="str">
        <f aca="false">C393&amp;"|"&amp;J393</f>
        <v>API-FANT|2</v>
      </c>
      <c r="L393" s="31" t="s">
        <v>1378</v>
      </c>
      <c r="M393" s="31" t="n">
        <v>2</v>
      </c>
      <c r="N393" s="51" t="s">
        <v>462</v>
      </c>
      <c r="O393" s="35" t="s">
        <v>78</v>
      </c>
      <c r="P393" s="52"/>
      <c r="Q393" s="52"/>
      <c r="R393" s="33" t="n">
        <f aca="false">INDEX(Épopées!$L$6:$L$59,MATCH(K393,Épopées!$A$6:$A$59,0))</f>
        <v>46596</v>
      </c>
      <c r="S393" s="33" t="n">
        <f aca="false">INDEX(Épopées!$M$6:$M$59,MATCH(K393,Épopées!$A$6:$A$59,0))</f>
        <v>46618</v>
      </c>
      <c r="T393" s="53" t="s">
        <v>463</v>
      </c>
    </row>
    <row r="394" customFormat="false" ht="15" hidden="false" customHeight="false" outlineLevel="0" collapsed="false">
      <c r="A394" s="31" t="s">
        <v>1382</v>
      </c>
      <c r="B394" s="31" t="s">
        <v>301</v>
      </c>
      <c r="C394" s="31" t="s">
        <v>332</v>
      </c>
      <c r="D394" s="31" t="s">
        <v>333</v>
      </c>
      <c r="E394" s="31" t="s">
        <v>1383</v>
      </c>
      <c r="F394" s="31" t="s">
        <v>460</v>
      </c>
      <c r="G394" s="31" t="s">
        <v>612</v>
      </c>
      <c r="H394" s="31" t="s">
        <v>43</v>
      </c>
      <c r="I394" s="31" t="n">
        <f aca="false">VLOOKUP(H394,Paramètres!$A$15:$B$19,2,FALSE())</f>
        <v>2</v>
      </c>
      <c r="J394" s="31" t="n">
        <v>2</v>
      </c>
      <c r="K394" s="50" t="str">
        <f aca="false">C394&amp;"|"&amp;J394</f>
        <v>API-FANT|2</v>
      </c>
      <c r="L394" s="31" t="s">
        <v>1380</v>
      </c>
      <c r="M394" s="31" t="n">
        <v>2</v>
      </c>
      <c r="N394" s="51" t="s">
        <v>462</v>
      </c>
      <c r="O394" s="35" t="s">
        <v>78</v>
      </c>
      <c r="P394" s="52"/>
      <c r="Q394" s="52"/>
      <c r="R394" s="33" t="n">
        <f aca="false">INDEX(Épopées!$L$6:$L$59,MATCH(K394,Épopées!$A$6:$A$59,0))</f>
        <v>46596</v>
      </c>
      <c r="S394" s="33" t="n">
        <f aca="false">INDEX(Épopées!$M$6:$M$59,MATCH(K394,Épopées!$A$6:$A$59,0))</f>
        <v>46618</v>
      </c>
      <c r="T394" s="53" t="s">
        <v>463</v>
      </c>
    </row>
    <row r="395" customFormat="false" ht="15" hidden="false" customHeight="false" outlineLevel="0" collapsed="false">
      <c r="A395" s="31" t="s">
        <v>1384</v>
      </c>
      <c r="B395" s="31" t="s">
        <v>301</v>
      </c>
      <c r="C395" s="31" t="s">
        <v>332</v>
      </c>
      <c r="D395" s="31" t="s">
        <v>333</v>
      </c>
      <c r="E395" s="31" t="s">
        <v>1385</v>
      </c>
      <c r="F395" s="31" t="s">
        <v>460</v>
      </c>
      <c r="G395" s="31" t="s">
        <v>466</v>
      </c>
      <c r="H395" s="31" t="s">
        <v>41</v>
      </c>
      <c r="I395" s="31" t="n">
        <f aca="false">VLOOKUP(H395,Paramètres!$A$15:$B$19,2,FALSE())</f>
        <v>1</v>
      </c>
      <c r="J395" s="31" t="n">
        <v>2</v>
      </c>
      <c r="K395" s="50" t="str">
        <f aca="false">C395&amp;"|"&amp;J395</f>
        <v>API-FANT|2</v>
      </c>
      <c r="L395" s="31" t="s">
        <v>1386</v>
      </c>
      <c r="M395" s="31" t="n">
        <v>3</v>
      </c>
      <c r="N395" s="51" t="s">
        <v>462</v>
      </c>
      <c r="O395" s="35" t="s">
        <v>78</v>
      </c>
      <c r="P395" s="52"/>
      <c r="Q395" s="52"/>
      <c r="R395" s="33" t="n">
        <f aca="false">INDEX(Épopées!$L$6:$L$59,MATCH(K395,Épopées!$A$6:$A$59,0))</f>
        <v>46596</v>
      </c>
      <c r="S395" s="33" t="n">
        <f aca="false">INDEX(Épopées!$M$6:$M$59,MATCH(K395,Épopées!$A$6:$A$59,0))</f>
        <v>46618</v>
      </c>
      <c r="T395" s="53" t="s">
        <v>463</v>
      </c>
    </row>
    <row r="396" customFormat="false" ht="15" hidden="false" customHeight="false" outlineLevel="0" collapsed="false">
      <c r="A396" s="31" t="s">
        <v>1387</v>
      </c>
      <c r="B396" s="31" t="s">
        <v>301</v>
      </c>
      <c r="C396" s="31" t="s">
        <v>332</v>
      </c>
      <c r="D396" s="31" t="s">
        <v>333</v>
      </c>
      <c r="E396" s="31" t="s">
        <v>1388</v>
      </c>
      <c r="F396" s="31" t="s">
        <v>491</v>
      </c>
      <c r="G396" s="31" t="s">
        <v>466</v>
      </c>
      <c r="H396" s="31" t="s">
        <v>41</v>
      </c>
      <c r="I396" s="31" t="n">
        <f aca="false">VLOOKUP(H396,Paramètres!$A$15:$B$19,2,FALSE())</f>
        <v>1</v>
      </c>
      <c r="J396" s="31" t="n">
        <v>2</v>
      </c>
      <c r="K396" s="50" t="str">
        <f aca="false">C396&amp;"|"&amp;J396</f>
        <v>API-FANT|2</v>
      </c>
      <c r="L396" s="31"/>
      <c r="M396" s="31" t="n">
        <v>2</v>
      </c>
      <c r="N396" s="51" t="s">
        <v>462</v>
      </c>
      <c r="O396" s="35" t="s">
        <v>78</v>
      </c>
      <c r="P396" s="52"/>
      <c r="Q396" s="52"/>
      <c r="R396" s="33" t="n">
        <f aca="false">INDEX(Épopées!$L$6:$L$59,MATCH(K396,Épopées!$A$6:$A$59,0))</f>
        <v>46596</v>
      </c>
      <c r="S396" s="33" t="n">
        <f aca="false">INDEX(Épopées!$M$6:$M$59,MATCH(K396,Épopées!$A$6:$A$59,0))</f>
        <v>46618</v>
      </c>
      <c r="T396" s="53" t="s">
        <v>463</v>
      </c>
    </row>
    <row r="397" customFormat="false" ht="15" hidden="false" customHeight="false" outlineLevel="0" collapsed="false">
      <c r="A397" s="31" t="s">
        <v>1389</v>
      </c>
      <c r="B397" s="31" t="s">
        <v>301</v>
      </c>
      <c r="C397" s="31" t="s">
        <v>332</v>
      </c>
      <c r="D397" s="31" t="s">
        <v>333</v>
      </c>
      <c r="E397" s="31" t="s">
        <v>1390</v>
      </c>
      <c r="F397" s="31" t="s">
        <v>469</v>
      </c>
      <c r="G397" s="31" t="s">
        <v>461</v>
      </c>
      <c r="H397" s="31" t="s">
        <v>41</v>
      </c>
      <c r="I397" s="31" t="n">
        <f aca="false">VLOOKUP(H397,Paramètres!$A$15:$B$19,2,FALSE())</f>
        <v>1</v>
      </c>
      <c r="J397" s="31" t="n">
        <v>2</v>
      </c>
      <c r="K397" s="50" t="str">
        <f aca="false">C397&amp;"|"&amp;J397</f>
        <v>API-FANT|2</v>
      </c>
      <c r="L397" s="31" t="s">
        <v>1391</v>
      </c>
      <c r="M397" s="31" t="n">
        <v>3</v>
      </c>
      <c r="N397" s="51" t="s">
        <v>462</v>
      </c>
      <c r="O397" s="35" t="s">
        <v>78</v>
      </c>
      <c r="P397" s="52"/>
      <c r="Q397" s="52"/>
      <c r="R397" s="33" t="n">
        <f aca="false">INDEX(Épopées!$L$6:$L$59,MATCH(K397,Épopées!$A$6:$A$59,0))</f>
        <v>46596</v>
      </c>
      <c r="S397" s="33" t="n">
        <f aca="false">INDEX(Épopées!$M$6:$M$59,MATCH(K397,Épopées!$A$6:$A$59,0))</f>
        <v>46618</v>
      </c>
      <c r="T397" s="53" t="s">
        <v>463</v>
      </c>
    </row>
    <row r="398" customFormat="false" ht="15" hidden="false" customHeight="false" outlineLevel="0" collapsed="false">
      <c r="A398" s="31" t="s">
        <v>1392</v>
      </c>
      <c r="B398" s="31" t="s">
        <v>301</v>
      </c>
      <c r="C398" s="31" t="s">
        <v>332</v>
      </c>
      <c r="D398" s="31" t="s">
        <v>333</v>
      </c>
      <c r="E398" s="31" t="s">
        <v>1393</v>
      </c>
      <c r="F398" s="31" t="s">
        <v>579</v>
      </c>
      <c r="G398" s="31" t="s">
        <v>461</v>
      </c>
      <c r="H398" s="31" t="s">
        <v>41</v>
      </c>
      <c r="I398" s="31" t="n">
        <f aca="false">VLOOKUP(H398,Paramètres!$A$15:$B$19,2,FALSE())</f>
        <v>1</v>
      </c>
      <c r="J398" s="31" t="n">
        <v>2</v>
      </c>
      <c r="K398" s="50" t="str">
        <f aca="false">C398&amp;"|"&amp;J398</f>
        <v>API-FANT|2</v>
      </c>
      <c r="L398" s="31" t="s">
        <v>1394</v>
      </c>
      <c r="M398" s="31" t="n">
        <v>3</v>
      </c>
      <c r="N398" s="51" t="s">
        <v>462</v>
      </c>
      <c r="O398" s="35" t="s">
        <v>78</v>
      </c>
      <c r="P398" s="52"/>
      <c r="Q398" s="52"/>
      <c r="R398" s="33" t="n">
        <f aca="false">INDEX(Épopées!$L$6:$L$59,MATCH(K398,Épopées!$A$6:$A$59,0))</f>
        <v>46596</v>
      </c>
      <c r="S398" s="33" t="n">
        <f aca="false">INDEX(Épopées!$M$6:$M$59,MATCH(K398,Épopées!$A$6:$A$59,0))</f>
        <v>46618</v>
      </c>
      <c r="T398" s="53" t="s">
        <v>463</v>
      </c>
    </row>
    <row r="399" customFormat="false" ht="15" hidden="false" customHeight="false" outlineLevel="0" collapsed="false">
      <c r="A399" s="31" t="s">
        <v>1395</v>
      </c>
      <c r="B399" s="31" t="s">
        <v>301</v>
      </c>
      <c r="C399" s="31" t="s">
        <v>332</v>
      </c>
      <c r="D399" s="31" t="s">
        <v>333</v>
      </c>
      <c r="E399" s="31" t="s">
        <v>1396</v>
      </c>
      <c r="F399" s="31" t="s">
        <v>548</v>
      </c>
      <c r="G399" s="31" t="s">
        <v>466</v>
      </c>
      <c r="H399" s="31" t="s">
        <v>41</v>
      </c>
      <c r="I399" s="31" t="n">
        <f aca="false">VLOOKUP(H399,Paramètres!$A$15:$B$19,2,FALSE())</f>
        <v>1</v>
      </c>
      <c r="J399" s="31" t="n">
        <v>2</v>
      </c>
      <c r="K399" s="50" t="str">
        <f aca="false">C399&amp;"|"&amp;J399</f>
        <v>API-FANT|2</v>
      </c>
      <c r="L399" s="31" t="s">
        <v>1397</v>
      </c>
      <c r="M399" s="31" t="n">
        <v>3</v>
      </c>
      <c r="N399" s="51" t="s">
        <v>462</v>
      </c>
      <c r="O399" s="35" t="s">
        <v>78</v>
      </c>
      <c r="P399" s="52"/>
      <c r="Q399" s="52"/>
      <c r="R399" s="33" t="n">
        <f aca="false">INDEX(Épopées!$L$6:$L$59,MATCH(K399,Épopées!$A$6:$A$59,0))</f>
        <v>46596</v>
      </c>
      <c r="S399" s="33" t="n">
        <f aca="false">INDEX(Épopées!$M$6:$M$59,MATCH(K399,Épopées!$A$6:$A$59,0))</f>
        <v>46618</v>
      </c>
      <c r="T399" s="53" t="s">
        <v>463</v>
      </c>
    </row>
    <row r="400" customFormat="false" ht="15" hidden="false" customHeight="false" outlineLevel="0" collapsed="false">
      <c r="A400" s="31" t="s">
        <v>1398</v>
      </c>
      <c r="B400" s="31" t="s">
        <v>301</v>
      </c>
      <c r="C400" s="31" t="s">
        <v>332</v>
      </c>
      <c r="D400" s="31" t="s">
        <v>333</v>
      </c>
      <c r="E400" s="31" t="s">
        <v>1399</v>
      </c>
      <c r="F400" s="31" t="s">
        <v>472</v>
      </c>
      <c r="G400" s="31" t="s">
        <v>461</v>
      </c>
      <c r="H400" s="31" t="s">
        <v>43</v>
      </c>
      <c r="I400" s="31" t="n">
        <f aca="false">VLOOKUP(H400,Paramètres!$A$15:$B$19,2,FALSE())</f>
        <v>2</v>
      </c>
      <c r="J400" s="31" t="n">
        <v>2</v>
      </c>
      <c r="K400" s="50" t="str">
        <f aca="false">C400&amp;"|"&amp;J400</f>
        <v>API-FANT|2</v>
      </c>
      <c r="L400" s="31" t="s">
        <v>1400</v>
      </c>
      <c r="M400" s="31" t="n">
        <v>7</v>
      </c>
      <c r="N400" s="51" t="s">
        <v>462</v>
      </c>
      <c r="O400" s="35" t="s">
        <v>78</v>
      </c>
      <c r="P400" s="52"/>
      <c r="Q400" s="52"/>
      <c r="R400" s="33" t="n">
        <f aca="false">INDEX(Épopées!$L$6:$L$59,MATCH(K400,Épopées!$A$6:$A$59,0))</f>
        <v>46596</v>
      </c>
      <c r="S400" s="33" t="n">
        <f aca="false">INDEX(Épopées!$M$6:$M$59,MATCH(K400,Épopées!$A$6:$A$59,0))</f>
        <v>46618</v>
      </c>
      <c r="T400" s="53" t="s">
        <v>463</v>
      </c>
    </row>
    <row r="401" customFormat="false" ht="15" hidden="false" customHeight="false" outlineLevel="0" collapsed="false">
      <c r="A401" s="31" t="s">
        <v>1401</v>
      </c>
      <c r="B401" s="31" t="s">
        <v>301</v>
      </c>
      <c r="C401" s="31" t="s">
        <v>335</v>
      </c>
      <c r="D401" s="31" t="s">
        <v>336</v>
      </c>
      <c r="E401" s="31" t="s">
        <v>1402</v>
      </c>
      <c r="F401" s="31" t="s">
        <v>486</v>
      </c>
      <c r="G401" s="31" t="s">
        <v>461</v>
      </c>
      <c r="H401" s="31" t="s">
        <v>41</v>
      </c>
      <c r="I401" s="31" t="n">
        <f aca="false">VLOOKUP(H401,Paramètres!$A$15:$B$19,2,FALSE())</f>
        <v>1</v>
      </c>
      <c r="J401" s="31" t="n">
        <v>2</v>
      </c>
      <c r="K401" s="50" t="str">
        <f aca="false">C401&amp;"|"&amp;J401</f>
        <v>API-PASS|2</v>
      </c>
      <c r="L401" s="31"/>
      <c r="M401" s="31" t="n">
        <v>3</v>
      </c>
      <c r="N401" s="51" t="s">
        <v>462</v>
      </c>
      <c r="O401" s="35" t="s">
        <v>78</v>
      </c>
      <c r="P401" s="52"/>
      <c r="Q401" s="52"/>
      <c r="R401" s="33" t="n">
        <f aca="false">INDEX(Épopées!$L$6:$L$59,MATCH(K401,Épopées!$A$6:$A$59,0))</f>
        <v>46619</v>
      </c>
      <c r="S401" s="33" t="n">
        <f aca="false">INDEX(Épopées!$M$6:$M$59,MATCH(K401,Épopées!$A$6:$A$59,0))</f>
        <v>46640</v>
      </c>
      <c r="T401" s="53" t="s">
        <v>463</v>
      </c>
    </row>
    <row r="402" customFormat="false" ht="15" hidden="false" customHeight="false" outlineLevel="0" collapsed="false">
      <c r="A402" s="31" t="s">
        <v>1403</v>
      </c>
      <c r="B402" s="31" t="s">
        <v>301</v>
      </c>
      <c r="C402" s="31" t="s">
        <v>335</v>
      </c>
      <c r="D402" s="31" t="s">
        <v>336</v>
      </c>
      <c r="E402" s="31" t="s">
        <v>1404</v>
      </c>
      <c r="F402" s="31" t="s">
        <v>486</v>
      </c>
      <c r="G402" s="31" t="s">
        <v>461</v>
      </c>
      <c r="H402" s="31" t="s">
        <v>41</v>
      </c>
      <c r="I402" s="31" t="n">
        <f aca="false">VLOOKUP(H402,Paramètres!$A$15:$B$19,2,FALSE())</f>
        <v>1</v>
      </c>
      <c r="J402" s="31" t="n">
        <v>2</v>
      </c>
      <c r="K402" s="50" t="str">
        <f aca="false">C402&amp;"|"&amp;J402</f>
        <v>API-PASS|2</v>
      </c>
      <c r="L402" s="31" t="s">
        <v>1401</v>
      </c>
      <c r="M402" s="31" t="n">
        <v>3</v>
      </c>
      <c r="N402" s="51" t="s">
        <v>462</v>
      </c>
      <c r="O402" s="35" t="s">
        <v>78</v>
      </c>
      <c r="P402" s="52"/>
      <c r="Q402" s="52"/>
      <c r="R402" s="33" t="n">
        <f aca="false">INDEX(Épopées!$L$6:$L$59,MATCH(K402,Épopées!$A$6:$A$59,0))</f>
        <v>46619</v>
      </c>
      <c r="S402" s="33" t="n">
        <f aca="false">INDEX(Épopées!$M$6:$M$59,MATCH(K402,Épopées!$A$6:$A$59,0))</f>
        <v>46640</v>
      </c>
      <c r="T402" s="53" t="s">
        <v>463</v>
      </c>
    </row>
    <row r="403" customFormat="false" ht="15" hidden="false" customHeight="false" outlineLevel="0" collapsed="false">
      <c r="A403" s="31" t="s">
        <v>1405</v>
      </c>
      <c r="B403" s="31" t="s">
        <v>301</v>
      </c>
      <c r="C403" s="31" t="s">
        <v>335</v>
      </c>
      <c r="D403" s="31" t="s">
        <v>336</v>
      </c>
      <c r="E403" s="31" t="s">
        <v>1406</v>
      </c>
      <c r="F403" s="31" t="s">
        <v>491</v>
      </c>
      <c r="G403" s="31" t="s">
        <v>461</v>
      </c>
      <c r="H403" s="31" t="s">
        <v>43</v>
      </c>
      <c r="I403" s="31" t="n">
        <f aca="false">VLOOKUP(H403,Paramètres!$A$15:$B$19,2,FALSE())</f>
        <v>2</v>
      </c>
      <c r="J403" s="31" t="n">
        <v>2</v>
      </c>
      <c r="K403" s="50" t="str">
        <f aca="false">C403&amp;"|"&amp;J403</f>
        <v>API-PASS|2</v>
      </c>
      <c r="L403" s="31" t="s">
        <v>1407</v>
      </c>
      <c r="M403" s="31" t="n">
        <v>3</v>
      </c>
      <c r="N403" s="51" t="s">
        <v>462</v>
      </c>
      <c r="O403" s="35" t="s">
        <v>78</v>
      </c>
      <c r="P403" s="52"/>
      <c r="Q403" s="52"/>
      <c r="R403" s="33" t="n">
        <f aca="false">INDEX(Épopées!$L$6:$L$59,MATCH(K403,Épopées!$A$6:$A$59,0))</f>
        <v>46619</v>
      </c>
      <c r="S403" s="33" t="n">
        <f aca="false">INDEX(Épopées!$M$6:$M$59,MATCH(K403,Épopées!$A$6:$A$59,0))</f>
        <v>46640</v>
      </c>
      <c r="T403" s="53" t="s">
        <v>463</v>
      </c>
    </row>
    <row r="404" customFormat="false" ht="15" hidden="false" customHeight="false" outlineLevel="0" collapsed="false">
      <c r="A404" s="31" t="s">
        <v>1408</v>
      </c>
      <c r="B404" s="31" t="s">
        <v>301</v>
      </c>
      <c r="C404" s="31" t="s">
        <v>335</v>
      </c>
      <c r="D404" s="31" t="s">
        <v>336</v>
      </c>
      <c r="E404" s="31" t="s">
        <v>1409</v>
      </c>
      <c r="F404" s="31" t="s">
        <v>486</v>
      </c>
      <c r="G404" s="31" t="s">
        <v>461</v>
      </c>
      <c r="H404" s="31" t="s">
        <v>39</v>
      </c>
      <c r="I404" s="31" t="n">
        <f aca="false">VLOOKUP(H404,Paramètres!$A$15:$B$19,2,FALSE())</f>
        <v>0.5</v>
      </c>
      <c r="J404" s="31" t="n">
        <v>2</v>
      </c>
      <c r="K404" s="50" t="str">
        <f aca="false">C404&amp;"|"&amp;J404</f>
        <v>API-PASS|2</v>
      </c>
      <c r="L404" s="31"/>
      <c r="M404" s="31" t="n">
        <v>2</v>
      </c>
      <c r="N404" s="51" t="s">
        <v>462</v>
      </c>
      <c r="O404" s="35" t="s">
        <v>78</v>
      </c>
      <c r="P404" s="52"/>
      <c r="Q404" s="52"/>
      <c r="R404" s="33" t="n">
        <f aca="false">INDEX(Épopées!$L$6:$L$59,MATCH(K404,Épopées!$A$6:$A$59,0))</f>
        <v>46619</v>
      </c>
      <c r="S404" s="33" t="n">
        <f aca="false">INDEX(Épopées!$M$6:$M$59,MATCH(K404,Épopées!$A$6:$A$59,0))</f>
        <v>46640</v>
      </c>
      <c r="T404" s="53" t="s">
        <v>463</v>
      </c>
    </row>
    <row r="405" customFormat="false" ht="15" hidden="false" customHeight="false" outlineLevel="0" collapsed="false">
      <c r="A405" s="31" t="s">
        <v>1410</v>
      </c>
      <c r="B405" s="31" t="s">
        <v>301</v>
      </c>
      <c r="C405" s="31" t="s">
        <v>335</v>
      </c>
      <c r="D405" s="31" t="s">
        <v>336</v>
      </c>
      <c r="E405" s="31" t="s">
        <v>1411</v>
      </c>
      <c r="F405" s="31" t="s">
        <v>491</v>
      </c>
      <c r="G405" s="31" t="s">
        <v>466</v>
      </c>
      <c r="H405" s="31" t="s">
        <v>41</v>
      </c>
      <c r="I405" s="31" t="n">
        <f aca="false">VLOOKUP(H405,Paramètres!$A$15:$B$19,2,FALSE())</f>
        <v>1</v>
      </c>
      <c r="J405" s="31" t="n">
        <v>2</v>
      </c>
      <c r="K405" s="50" t="str">
        <f aca="false">C405&amp;"|"&amp;J405</f>
        <v>API-PASS|2</v>
      </c>
      <c r="L405" s="31" t="s">
        <v>1405</v>
      </c>
      <c r="M405" s="31" t="n">
        <v>3</v>
      </c>
      <c r="N405" s="51" t="s">
        <v>462</v>
      </c>
      <c r="O405" s="35" t="s">
        <v>78</v>
      </c>
      <c r="P405" s="52"/>
      <c r="Q405" s="52"/>
      <c r="R405" s="33" t="n">
        <f aca="false">INDEX(Épopées!$L$6:$L$59,MATCH(K405,Épopées!$A$6:$A$59,0))</f>
        <v>46619</v>
      </c>
      <c r="S405" s="33" t="n">
        <f aca="false">INDEX(Épopées!$M$6:$M$59,MATCH(K405,Épopées!$A$6:$A$59,0))</f>
        <v>46640</v>
      </c>
      <c r="T405" s="53" t="s">
        <v>463</v>
      </c>
    </row>
    <row r="406" customFormat="false" ht="15" hidden="false" customHeight="false" outlineLevel="0" collapsed="false">
      <c r="A406" s="31" t="s">
        <v>1412</v>
      </c>
      <c r="B406" s="31" t="s">
        <v>301</v>
      </c>
      <c r="C406" s="31" t="s">
        <v>335</v>
      </c>
      <c r="D406" s="31" t="s">
        <v>336</v>
      </c>
      <c r="E406" s="31" t="s">
        <v>1413</v>
      </c>
      <c r="F406" s="31" t="s">
        <v>491</v>
      </c>
      <c r="G406" s="31" t="s">
        <v>461</v>
      </c>
      <c r="H406" s="31" t="s">
        <v>41</v>
      </c>
      <c r="I406" s="31" t="n">
        <f aca="false">VLOOKUP(H406,Paramètres!$A$15:$B$19,2,FALSE())</f>
        <v>1</v>
      </c>
      <c r="J406" s="31" t="n">
        <v>2</v>
      </c>
      <c r="K406" s="50" t="str">
        <f aca="false">C406&amp;"|"&amp;J406</f>
        <v>API-PASS|2</v>
      </c>
      <c r="L406" s="31" t="s">
        <v>1414</v>
      </c>
      <c r="M406" s="31" t="n">
        <v>2</v>
      </c>
      <c r="N406" s="51" t="s">
        <v>462</v>
      </c>
      <c r="O406" s="35" t="s">
        <v>78</v>
      </c>
      <c r="P406" s="52"/>
      <c r="Q406" s="52"/>
      <c r="R406" s="33" t="n">
        <f aca="false">INDEX(Épopées!$L$6:$L$59,MATCH(K406,Épopées!$A$6:$A$59,0))</f>
        <v>46619</v>
      </c>
      <c r="S406" s="33" t="n">
        <f aca="false">INDEX(Épopées!$M$6:$M$59,MATCH(K406,Épopées!$A$6:$A$59,0))</f>
        <v>46640</v>
      </c>
      <c r="T406" s="53" t="s">
        <v>463</v>
      </c>
    </row>
    <row r="407" customFormat="false" ht="15" hidden="false" customHeight="false" outlineLevel="0" collapsed="false">
      <c r="A407" s="31" t="s">
        <v>1415</v>
      </c>
      <c r="B407" s="31" t="s">
        <v>301</v>
      </c>
      <c r="C407" s="31" t="s">
        <v>335</v>
      </c>
      <c r="D407" s="31" t="s">
        <v>336</v>
      </c>
      <c r="E407" s="31" t="s">
        <v>1416</v>
      </c>
      <c r="F407" s="31" t="s">
        <v>486</v>
      </c>
      <c r="G407" s="31" t="s">
        <v>461</v>
      </c>
      <c r="H407" s="31" t="s">
        <v>41</v>
      </c>
      <c r="I407" s="31" t="n">
        <f aca="false">VLOOKUP(H407,Paramètres!$A$15:$B$19,2,FALSE())</f>
        <v>1</v>
      </c>
      <c r="J407" s="31" t="n">
        <v>2</v>
      </c>
      <c r="K407" s="50" t="str">
        <f aca="false">C407&amp;"|"&amp;J407</f>
        <v>API-PASS|2</v>
      </c>
      <c r="L407" s="31"/>
      <c r="M407" s="31" t="n">
        <v>3</v>
      </c>
      <c r="N407" s="51" t="s">
        <v>462</v>
      </c>
      <c r="O407" s="35" t="s">
        <v>78</v>
      </c>
      <c r="P407" s="52"/>
      <c r="Q407" s="52"/>
      <c r="R407" s="33" t="n">
        <f aca="false">INDEX(Épopées!$L$6:$L$59,MATCH(K407,Épopées!$A$6:$A$59,0))</f>
        <v>46619</v>
      </c>
      <c r="S407" s="33" t="n">
        <f aca="false">INDEX(Épopées!$M$6:$M$59,MATCH(K407,Épopées!$A$6:$A$59,0))</f>
        <v>46640</v>
      </c>
      <c r="T407" s="53" t="s">
        <v>463</v>
      </c>
    </row>
    <row r="408" customFormat="false" ht="15" hidden="false" customHeight="false" outlineLevel="0" collapsed="false">
      <c r="A408" s="31" t="s">
        <v>1417</v>
      </c>
      <c r="B408" s="31" t="s">
        <v>301</v>
      </c>
      <c r="C408" s="31" t="s">
        <v>335</v>
      </c>
      <c r="D408" s="31" t="s">
        <v>336</v>
      </c>
      <c r="E408" s="31" t="s">
        <v>1418</v>
      </c>
      <c r="F408" s="31" t="s">
        <v>486</v>
      </c>
      <c r="G408" s="31" t="s">
        <v>461</v>
      </c>
      <c r="H408" s="31" t="s">
        <v>41</v>
      </c>
      <c r="I408" s="31" t="n">
        <f aca="false">VLOOKUP(H408,Paramètres!$A$15:$B$19,2,FALSE())</f>
        <v>1</v>
      </c>
      <c r="J408" s="31" t="n">
        <v>2</v>
      </c>
      <c r="K408" s="50" t="str">
        <f aca="false">C408&amp;"|"&amp;J408</f>
        <v>API-PASS|2</v>
      </c>
      <c r="L408" s="31" t="s">
        <v>1415</v>
      </c>
      <c r="M408" s="31" t="n">
        <v>4</v>
      </c>
      <c r="N408" s="51" t="s">
        <v>462</v>
      </c>
      <c r="O408" s="35" t="s">
        <v>78</v>
      </c>
      <c r="P408" s="52"/>
      <c r="Q408" s="52"/>
      <c r="R408" s="33" t="n">
        <f aca="false">INDEX(Épopées!$L$6:$L$59,MATCH(K408,Épopées!$A$6:$A$59,0))</f>
        <v>46619</v>
      </c>
      <c r="S408" s="33" t="n">
        <f aca="false">INDEX(Épopées!$M$6:$M$59,MATCH(K408,Épopées!$A$6:$A$59,0))</f>
        <v>46640</v>
      </c>
      <c r="T408" s="53" t="s">
        <v>463</v>
      </c>
    </row>
    <row r="409" customFormat="false" ht="15" hidden="false" customHeight="false" outlineLevel="0" collapsed="false">
      <c r="A409" s="31" t="s">
        <v>1419</v>
      </c>
      <c r="B409" s="31" t="s">
        <v>301</v>
      </c>
      <c r="C409" s="31" t="s">
        <v>335</v>
      </c>
      <c r="D409" s="31" t="s">
        <v>336</v>
      </c>
      <c r="E409" s="31" t="s">
        <v>1420</v>
      </c>
      <c r="F409" s="31" t="s">
        <v>491</v>
      </c>
      <c r="G409" s="31" t="s">
        <v>461</v>
      </c>
      <c r="H409" s="31" t="s">
        <v>43</v>
      </c>
      <c r="I409" s="31" t="n">
        <f aca="false">VLOOKUP(H409,Paramètres!$A$15:$B$19,2,FALSE())</f>
        <v>2</v>
      </c>
      <c r="J409" s="31" t="n">
        <v>2</v>
      </c>
      <c r="K409" s="50" t="str">
        <f aca="false">C409&amp;"|"&amp;J409</f>
        <v>API-PASS|2</v>
      </c>
      <c r="L409" s="31" t="s">
        <v>1421</v>
      </c>
      <c r="M409" s="31" t="n">
        <v>3</v>
      </c>
      <c r="N409" s="51" t="s">
        <v>462</v>
      </c>
      <c r="O409" s="35" t="s">
        <v>78</v>
      </c>
      <c r="P409" s="52"/>
      <c r="Q409" s="52"/>
      <c r="R409" s="33" t="n">
        <f aca="false">INDEX(Épopées!$L$6:$L$59,MATCH(K409,Épopées!$A$6:$A$59,0))</f>
        <v>46619</v>
      </c>
      <c r="S409" s="33" t="n">
        <f aca="false">INDEX(Épopées!$M$6:$M$59,MATCH(K409,Épopées!$A$6:$A$59,0))</f>
        <v>46640</v>
      </c>
      <c r="T409" s="53" t="s">
        <v>463</v>
      </c>
    </row>
    <row r="410" customFormat="false" ht="15" hidden="false" customHeight="false" outlineLevel="0" collapsed="false">
      <c r="A410" s="31" t="s">
        <v>1422</v>
      </c>
      <c r="B410" s="31" t="s">
        <v>301</v>
      </c>
      <c r="C410" s="31" t="s">
        <v>335</v>
      </c>
      <c r="D410" s="31" t="s">
        <v>336</v>
      </c>
      <c r="E410" s="31" t="s">
        <v>1423</v>
      </c>
      <c r="F410" s="31" t="s">
        <v>486</v>
      </c>
      <c r="G410" s="31" t="s">
        <v>461</v>
      </c>
      <c r="H410" s="31" t="s">
        <v>39</v>
      </c>
      <c r="I410" s="31" t="n">
        <f aca="false">VLOOKUP(H410,Paramètres!$A$15:$B$19,2,FALSE())</f>
        <v>0.5</v>
      </c>
      <c r="J410" s="31" t="n">
        <v>2</v>
      </c>
      <c r="K410" s="50" t="str">
        <f aca="false">C410&amp;"|"&amp;J410</f>
        <v>API-PASS|2</v>
      </c>
      <c r="L410" s="31" t="s">
        <v>1415</v>
      </c>
      <c r="M410" s="31" t="n">
        <v>3</v>
      </c>
      <c r="N410" s="51" t="s">
        <v>462</v>
      </c>
      <c r="O410" s="35" t="s">
        <v>78</v>
      </c>
      <c r="P410" s="52"/>
      <c r="Q410" s="52"/>
      <c r="R410" s="33" t="n">
        <f aca="false">INDEX(Épopées!$L$6:$L$59,MATCH(K410,Épopées!$A$6:$A$59,0))</f>
        <v>46619</v>
      </c>
      <c r="S410" s="33" t="n">
        <f aca="false">INDEX(Épopées!$M$6:$M$59,MATCH(K410,Épopées!$A$6:$A$59,0))</f>
        <v>46640</v>
      </c>
      <c r="T410" s="53" t="s">
        <v>463</v>
      </c>
    </row>
    <row r="411" customFormat="false" ht="15" hidden="false" customHeight="false" outlineLevel="0" collapsed="false">
      <c r="A411" s="31" t="s">
        <v>1424</v>
      </c>
      <c r="B411" s="31" t="s">
        <v>301</v>
      </c>
      <c r="C411" s="31" t="s">
        <v>335</v>
      </c>
      <c r="D411" s="31" t="s">
        <v>336</v>
      </c>
      <c r="E411" s="31" t="s">
        <v>1425</v>
      </c>
      <c r="F411" s="31" t="s">
        <v>460</v>
      </c>
      <c r="G411" s="31" t="s">
        <v>461</v>
      </c>
      <c r="H411" s="31" t="s">
        <v>41</v>
      </c>
      <c r="I411" s="31" t="n">
        <f aca="false">VLOOKUP(H411,Paramètres!$A$15:$B$19,2,FALSE())</f>
        <v>1</v>
      </c>
      <c r="J411" s="31" t="n">
        <v>2</v>
      </c>
      <c r="K411" s="50" t="str">
        <f aca="false">C411&amp;"|"&amp;J411</f>
        <v>API-PASS|2</v>
      </c>
      <c r="L411" s="31" t="s">
        <v>1426</v>
      </c>
      <c r="M411" s="31" t="n">
        <v>2</v>
      </c>
      <c r="N411" s="51" t="s">
        <v>462</v>
      </c>
      <c r="O411" s="35" t="s">
        <v>78</v>
      </c>
      <c r="P411" s="52"/>
      <c r="Q411" s="52"/>
      <c r="R411" s="33" t="n">
        <f aca="false">INDEX(Épopées!$L$6:$L$59,MATCH(K411,Épopées!$A$6:$A$59,0))</f>
        <v>46619</v>
      </c>
      <c r="S411" s="33" t="n">
        <f aca="false">INDEX(Épopées!$M$6:$M$59,MATCH(K411,Épopées!$A$6:$A$59,0))</f>
        <v>46640</v>
      </c>
      <c r="T411" s="53" t="s">
        <v>463</v>
      </c>
    </row>
    <row r="412" customFormat="false" ht="15" hidden="false" customHeight="false" outlineLevel="0" collapsed="false">
      <c r="A412" s="31" t="s">
        <v>1427</v>
      </c>
      <c r="B412" s="31" t="s">
        <v>301</v>
      </c>
      <c r="C412" s="31" t="s">
        <v>335</v>
      </c>
      <c r="D412" s="31" t="s">
        <v>336</v>
      </c>
      <c r="E412" s="31" t="s">
        <v>1428</v>
      </c>
      <c r="F412" s="31" t="s">
        <v>460</v>
      </c>
      <c r="G412" s="31" t="s">
        <v>461</v>
      </c>
      <c r="H412" s="31" t="s">
        <v>39</v>
      </c>
      <c r="I412" s="31" t="n">
        <f aca="false">VLOOKUP(H412,Paramètres!$A$15:$B$19,2,FALSE())</f>
        <v>0.5</v>
      </c>
      <c r="J412" s="31" t="n">
        <v>2</v>
      </c>
      <c r="K412" s="50" t="str">
        <f aca="false">C412&amp;"|"&amp;J412</f>
        <v>API-PASS|2</v>
      </c>
      <c r="L412" s="31" t="s">
        <v>1417</v>
      </c>
      <c r="M412" s="31" t="n">
        <v>1</v>
      </c>
      <c r="N412" s="51" t="s">
        <v>462</v>
      </c>
      <c r="O412" s="35" t="s">
        <v>78</v>
      </c>
      <c r="P412" s="52"/>
      <c r="Q412" s="52"/>
      <c r="R412" s="33" t="n">
        <f aca="false">INDEX(Épopées!$L$6:$L$59,MATCH(K412,Épopées!$A$6:$A$59,0))</f>
        <v>46619</v>
      </c>
      <c r="S412" s="33" t="n">
        <f aca="false">INDEX(Épopées!$M$6:$M$59,MATCH(K412,Épopées!$A$6:$A$59,0))</f>
        <v>46640</v>
      </c>
      <c r="T412" s="53" t="s">
        <v>463</v>
      </c>
    </row>
    <row r="413" customFormat="false" ht="15" hidden="false" customHeight="false" outlineLevel="0" collapsed="false">
      <c r="A413" s="31" t="s">
        <v>1429</v>
      </c>
      <c r="B413" s="31" t="s">
        <v>301</v>
      </c>
      <c r="C413" s="31" t="s">
        <v>335</v>
      </c>
      <c r="D413" s="31" t="s">
        <v>336</v>
      </c>
      <c r="E413" s="31" t="s">
        <v>1430</v>
      </c>
      <c r="F413" s="31" t="s">
        <v>460</v>
      </c>
      <c r="G413" s="31" t="s">
        <v>461</v>
      </c>
      <c r="H413" s="31" t="s">
        <v>41</v>
      </c>
      <c r="I413" s="31" t="n">
        <f aca="false">VLOOKUP(H413,Paramètres!$A$15:$B$19,2,FALSE())</f>
        <v>1</v>
      </c>
      <c r="J413" s="31" t="n">
        <v>2</v>
      </c>
      <c r="K413" s="50" t="str">
        <f aca="false">C413&amp;"|"&amp;J413</f>
        <v>API-PASS|2</v>
      </c>
      <c r="L413" s="31" t="s">
        <v>1431</v>
      </c>
      <c r="M413" s="31" t="n">
        <v>3</v>
      </c>
      <c r="N413" s="51" t="s">
        <v>462</v>
      </c>
      <c r="O413" s="35" t="s">
        <v>78</v>
      </c>
      <c r="P413" s="52"/>
      <c r="Q413" s="52"/>
      <c r="R413" s="33" t="n">
        <f aca="false">INDEX(Épopées!$L$6:$L$59,MATCH(K413,Épopées!$A$6:$A$59,0))</f>
        <v>46619</v>
      </c>
      <c r="S413" s="33" t="n">
        <f aca="false">INDEX(Épopées!$M$6:$M$59,MATCH(K413,Épopées!$A$6:$A$59,0))</f>
        <v>46640</v>
      </c>
      <c r="T413" s="53" t="s">
        <v>463</v>
      </c>
    </row>
    <row r="414" customFormat="false" ht="15" hidden="false" customHeight="false" outlineLevel="0" collapsed="false">
      <c r="A414" s="31" t="s">
        <v>1432</v>
      </c>
      <c r="B414" s="31" t="s">
        <v>301</v>
      </c>
      <c r="C414" s="31" t="s">
        <v>335</v>
      </c>
      <c r="D414" s="31" t="s">
        <v>336</v>
      </c>
      <c r="E414" s="31" t="s">
        <v>1433</v>
      </c>
      <c r="F414" s="31" t="s">
        <v>460</v>
      </c>
      <c r="G414" s="31" t="s">
        <v>461</v>
      </c>
      <c r="H414" s="31" t="s">
        <v>41</v>
      </c>
      <c r="I414" s="31" t="n">
        <f aca="false">VLOOKUP(H414,Paramètres!$A$15:$B$19,2,FALSE())</f>
        <v>1</v>
      </c>
      <c r="J414" s="31" t="n">
        <v>2</v>
      </c>
      <c r="K414" s="50" t="str">
        <f aca="false">C414&amp;"|"&amp;J414</f>
        <v>API-PASS|2</v>
      </c>
      <c r="L414" s="31" t="s">
        <v>1419</v>
      </c>
      <c r="M414" s="31" t="n">
        <v>2</v>
      </c>
      <c r="N414" s="51" t="s">
        <v>462</v>
      </c>
      <c r="O414" s="35" t="s">
        <v>78</v>
      </c>
      <c r="P414" s="52"/>
      <c r="Q414" s="52"/>
      <c r="R414" s="33" t="n">
        <f aca="false">INDEX(Épopées!$L$6:$L$59,MATCH(K414,Épopées!$A$6:$A$59,0))</f>
        <v>46619</v>
      </c>
      <c r="S414" s="33" t="n">
        <f aca="false">INDEX(Épopées!$M$6:$M$59,MATCH(K414,Épopées!$A$6:$A$59,0))</f>
        <v>46640</v>
      </c>
      <c r="T414" s="53" t="s">
        <v>463</v>
      </c>
    </row>
    <row r="415" customFormat="false" ht="15" hidden="false" customHeight="false" outlineLevel="0" collapsed="false">
      <c r="A415" s="31" t="s">
        <v>1434</v>
      </c>
      <c r="B415" s="31" t="s">
        <v>301</v>
      </c>
      <c r="C415" s="31" t="s">
        <v>335</v>
      </c>
      <c r="D415" s="31" t="s">
        <v>336</v>
      </c>
      <c r="E415" s="31" t="s">
        <v>1435</v>
      </c>
      <c r="F415" s="31" t="s">
        <v>460</v>
      </c>
      <c r="G415" s="31" t="s">
        <v>466</v>
      </c>
      <c r="H415" s="31" t="s">
        <v>41</v>
      </c>
      <c r="I415" s="31" t="n">
        <f aca="false">VLOOKUP(H415,Paramètres!$A$15:$B$19,2,FALSE())</f>
        <v>1</v>
      </c>
      <c r="J415" s="31" t="n">
        <v>2</v>
      </c>
      <c r="K415" s="50" t="str">
        <f aca="false">C415&amp;"|"&amp;J415</f>
        <v>API-PASS|2</v>
      </c>
      <c r="L415" s="31" t="s">
        <v>1436</v>
      </c>
      <c r="M415" s="31" t="n">
        <v>1</v>
      </c>
      <c r="N415" s="51" t="s">
        <v>462</v>
      </c>
      <c r="O415" s="35" t="s">
        <v>78</v>
      </c>
      <c r="P415" s="52"/>
      <c r="Q415" s="52"/>
      <c r="R415" s="33" t="n">
        <f aca="false">INDEX(Épopées!$L$6:$L$59,MATCH(K415,Épopées!$A$6:$A$59,0))</f>
        <v>46619</v>
      </c>
      <c r="S415" s="33" t="n">
        <f aca="false">INDEX(Épopées!$M$6:$M$59,MATCH(K415,Épopées!$A$6:$A$59,0))</f>
        <v>46640</v>
      </c>
      <c r="T415" s="53" t="s">
        <v>463</v>
      </c>
    </row>
    <row r="416" customFormat="false" ht="15" hidden="false" customHeight="false" outlineLevel="0" collapsed="false">
      <c r="A416" s="31" t="s">
        <v>1436</v>
      </c>
      <c r="B416" s="31" t="s">
        <v>301</v>
      </c>
      <c r="C416" s="31" t="s">
        <v>335</v>
      </c>
      <c r="D416" s="31" t="s">
        <v>336</v>
      </c>
      <c r="E416" s="31" t="s">
        <v>1437</v>
      </c>
      <c r="F416" s="31" t="s">
        <v>486</v>
      </c>
      <c r="G416" s="31" t="s">
        <v>466</v>
      </c>
      <c r="H416" s="31" t="s">
        <v>41</v>
      </c>
      <c r="I416" s="31" t="n">
        <f aca="false">VLOOKUP(H416,Paramètres!$A$15:$B$19,2,FALSE())</f>
        <v>1</v>
      </c>
      <c r="J416" s="31" t="n">
        <v>2</v>
      </c>
      <c r="K416" s="50" t="str">
        <f aca="false">C416&amp;"|"&amp;J416</f>
        <v>API-PASS|2</v>
      </c>
      <c r="L416" s="31" t="s">
        <v>1403</v>
      </c>
      <c r="M416" s="31" t="n">
        <v>2</v>
      </c>
      <c r="N416" s="51" t="s">
        <v>462</v>
      </c>
      <c r="O416" s="35" t="s">
        <v>78</v>
      </c>
      <c r="P416" s="52"/>
      <c r="Q416" s="52"/>
      <c r="R416" s="33" t="n">
        <f aca="false">INDEX(Épopées!$L$6:$L$59,MATCH(K416,Épopées!$A$6:$A$59,0))</f>
        <v>46619</v>
      </c>
      <c r="S416" s="33" t="n">
        <f aca="false">INDEX(Épopées!$M$6:$M$59,MATCH(K416,Épopées!$A$6:$A$59,0))</f>
        <v>46640</v>
      </c>
      <c r="T416" s="53" t="s">
        <v>463</v>
      </c>
    </row>
    <row r="417" customFormat="false" ht="15" hidden="false" customHeight="false" outlineLevel="0" collapsed="false">
      <c r="A417" s="31" t="s">
        <v>1438</v>
      </c>
      <c r="B417" s="31" t="s">
        <v>301</v>
      </c>
      <c r="C417" s="31" t="s">
        <v>335</v>
      </c>
      <c r="D417" s="31" t="s">
        <v>336</v>
      </c>
      <c r="E417" s="31" t="s">
        <v>1439</v>
      </c>
      <c r="F417" s="31" t="s">
        <v>460</v>
      </c>
      <c r="G417" s="31" t="s">
        <v>466</v>
      </c>
      <c r="H417" s="31" t="s">
        <v>41</v>
      </c>
      <c r="I417" s="31" t="n">
        <f aca="false">VLOOKUP(H417,Paramètres!$A$15:$B$19,2,FALSE())</f>
        <v>1</v>
      </c>
      <c r="J417" s="31" t="n">
        <v>2</v>
      </c>
      <c r="K417" s="50" t="str">
        <f aca="false">C417&amp;"|"&amp;J417</f>
        <v>API-PASS|2</v>
      </c>
      <c r="L417" s="31" t="s">
        <v>1412</v>
      </c>
      <c r="M417" s="31" t="n">
        <v>2</v>
      </c>
      <c r="N417" s="51" t="s">
        <v>462</v>
      </c>
      <c r="O417" s="35" t="s">
        <v>78</v>
      </c>
      <c r="P417" s="52"/>
      <c r="Q417" s="52"/>
      <c r="R417" s="33" t="n">
        <f aca="false">INDEX(Épopées!$L$6:$L$59,MATCH(K417,Épopées!$A$6:$A$59,0))</f>
        <v>46619</v>
      </c>
      <c r="S417" s="33" t="n">
        <f aca="false">INDEX(Épopées!$M$6:$M$59,MATCH(K417,Épopées!$A$6:$A$59,0))</f>
        <v>46640</v>
      </c>
      <c r="T417" s="53" t="s">
        <v>463</v>
      </c>
    </row>
    <row r="418" customFormat="false" ht="15" hidden="false" customHeight="false" outlineLevel="0" collapsed="false">
      <c r="A418" s="31" t="s">
        <v>1440</v>
      </c>
      <c r="B418" s="31" t="s">
        <v>301</v>
      </c>
      <c r="C418" s="31" t="s">
        <v>335</v>
      </c>
      <c r="D418" s="31" t="s">
        <v>336</v>
      </c>
      <c r="E418" s="31" t="s">
        <v>1441</v>
      </c>
      <c r="F418" s="31" t="s">
        <v>460</v>
      </c>
      <c r="G418" s="31" t="s">
        <v>612</v>
      </c>
      <c r="H418" s="31" t="s">
        <v>41</v>
      </c>
      <c r="I418" s="31" t="n">
        <f aca="false">VLOOKUP(H418,Paramètres!$A$15:$B$19,2,FALSE())</f>
        <v>1</v>
      </c>
      <c r="J418" s="31" t="n">
        <v>2</v>
      </c>
      <c r="K418" s="50" t="str">
        <f aca="false">C418&amp;"|"&amp;J418</f>
        <v>API-PASS|2</v>
      </c>
      <c r="L418" s="31" t="s">
        <v>1403</v>
      </c>
      <c r="M418" s="31" t="n">
        <v>2</v>
      </c>
      <c r="N418" s="51" t="s">
        <v>462</v>
      </c>
      <c r="O418" s="35" t="s">
        <v>78</v>
      </c>
      <c r="P418" s="52"/>
      <c r="Q418" s="52"/>
      <c r="R418" s="33" t="n">
        <f aca="false">INDEX(Épopées!$L$6:$L$59,MATCH(K418,Épopées!$A$6:$A$59,0))</f>
        <v>46619</v>
      </c>
      <c r="S418" s="33" t="n">
        <f aca="false">INDEX(Épopées!$M$6:$M$59,MATCH(K418,Épopées!$A$6:$A$59,0))</f>
        <v>46640</v>
      </c>
      <c r="T418" s="53" t="s">
        <v>463</v>
      </c>
    </row>
    <row r="419" customFormat="false" ht="15" hidden="false" customHeight="false" outlineLevel="0" collapsed="false">
      <c r="A419" s="31" t="s">
        <v>1442</v>
      </c>
      <c r="B419" s="31" t="s">
        <v>301</v>
      </c>
      <c r="C419" s="31" t="s">
        <v>335</v>
      </c>
      <c r="D419" s="31" t="s">
        <v>336</v>
      </c>
      <c r="E419" s="31" t="s">
        <v>1443</v>
      </c>
      <c r="F419" s="31" t="s">
        <v>491</v>
      </c>
      <c r="G419" s="31" t="s">
        <v>461</v>
      </c>
      <c r="H419" s="31" t="s">
        <v>43</v>
      </c>
      <c r="I419" s="31" t="n">
        <f aca="false">VLOOKUP(H419,Paramètres!$A$15:$B$19,2,FALSE())</f>
        <v>2</v>
      </c>
      <c r="J419" s="31" t="n">
        <v>2</v>
      </c>
      <c r="K419" s="50" t="str">
        <f aca="false">C419&amp;"|"&amp;J419</f>
        <v>API-PASS|2</v>
      </c>
      <c r="L419" s="31"/>
      <c r="M419" s="31" t="n">
        <v>2</v>
      </c>
      <c r="N419" s="51" t="s">
        <v>462</v>
      </c>
      <c r="O419" s="35" t="s">
        <v>78</v>
      </c>
      <c r="P419" s="52"/>
      <c r="Q419" s="52"/>
      <c r="R419" s="33" t="n">
        <f aca="false">INDEX(Épopées!$L$6:$L$59,MATCH(K419,Épopées!$A$6:$A$59,0))</f>
        <v>46619</v>
      </c>
      <c r="S419" s="33" t="n">
        <f aca="false">INDEX(Épopées!$M$6:$M$59,MATCH(K419,Épopées!$A$6:$A$59,0))</f>
        <v>46640</v>
      </c>
      <c r="T419" s="53" t="s">
        <v>463</v>
      </c>
    </row>
    <row r="420" customFormat="false" ht="15" hidden="false" customHeight="false" outlineLevel="0" collapsed="false">
      <c r="A420" s="31" t="s">
        <v>1444</v>
      </c>
      <c r="B420" s="31" t="s">
        <v>301</v>
      </c>
      <c r="C420" s="31" t="s">
        <v>335</v>
      </c>
      <c r="D420" s="31" t="s">
        <v>336</v>
      </c>
      <c r="E420" s="31" t="s">
        <v>1445</v>
      </c>
      <c r="F420" s="31" t="s">
        <v>460</v>
      </c>
      <c r="G420" s="31" t="s">
        <v>461</v>
      </c>
      <c r="H420" s="31" t="s">
        <v>41</v>
      </c>
      <c r="I420" s="31" t="n">
        <f aca="false">VLOOKUP(H420,Paramètres!$A$15:$B$19,2,FALSE())</f>
        <v>1</v>
      </c>
      <c r="J420" s="31" t="n">
        <v>2</v>
      </c>
      <c r="K420" s="50" t="str">
        <f aca="false">C420&amp;"|"&amp;J420</f>
        <v>API-PASS|2</v>
      </c>
      <c r="L420" s="31" t="s">
        <v>1446</v>
      </c>
      <c r="M420" s="31" t="n">
        <v>3</v>
      </c>
      <c r="N420" s="51" t="s">
        <v>462</v>
      </c>
      <c r="O420" s="35" t="s">
        <v>78</v>
      </c>
      <c r="P420" s="52"/>
      <c r="Q420" s="52"/>
      <c r="R420" s="33" t="n">
        <f aca="false">INDEX(Épopées!$L$6:$L$59,MATCH(K420,Épopées!$A$6:$A$59,0))</f>
        <v>46619</v>
      </c>
      <c r="S420" s="33" t="n">
        <f aca="false">INDEX(Épopées!$M$6:$M$59,MATCH(K420,Épopées!$A$6:$A$59,0))</f>
        <v>46640</v>
      </c>
      <c r="T420" s="53" t="s">
        <v>463</v>
      </c>
    </row>
    <row r="421" customFormat="false" ht="15" hidden="false" customHeight="false" outlineLevel="0" collapsed="false">
      <c r="A421" s="31" t="s">
        <v>1447</v>
      </c>
      <c r="B421" s="31" t="s">
        <v>301</v>
      </c>
      <c r="C421" s="31" t="s">
        <v>335</v>
      </c>
      <c r="D421" s="31" t="s">
        <v>336</v>
      </c>
      <c r="E421" s="31" t="s">
        <v>1448</v>
      </c>
      <c r="F421" s="31" t="s">
        <v>460</v>
      </c>
      <c r="G421" s="31" t="s">
        <v>466</v>
      </c>
      <c r="H421" s="31" t="s">
        <v>39</v>
      </c>
      <c r="I421" s="31" t="n">
        <f aca="false">VLOOKUP(H421,Paramètres!$A$15:$B$19,2,FALSE())</f>
        <v>0.5</v>
      </c>
      <c r="J421" s="31" t="n">
        <v>2</v>
      </c>
      <c r="K421" s="50" t="str">
        <f aca="false">C421&amp;"|"&amp;J421</f>
        <v>API-PASS|2</v>
      </c>
      <c r="L421" s="31"/>
      <c r="M421" s="31" t="n">
        <v>2</v>
      </c>
      <c r="N421" s="51" t="s">
        <v>462</v>
      </c>
      <c r="O421" s="35" t="s">
        <v>78</v>
      </c>
      <c r="P421" s="52"/>
      <c r="Q421" s="52"/>
      <c r="R421" s="33" t="n">
        <f aca="false">INDEX(Épopées!$L$6:$L$59,MATCH(K421,Épopées!$A$6:$A$59,0))</f>
        <v>46619</v>
      </c>
      <c r="S421" s="33" t="n">
        <f aca="false">INDEX(Épopées!$M$6:$M$59,MATCH(K421,Épopées!$A$6:$A$59,0))</f>
        <v>46640</v>
      </c>
      <c r="T421" s="53" t="s">
        <v>463</v>
      </c>
    </row>
    <row r="422" customFormat="false" ht="15" hidden="false" customHeight="false" outlineLevel="0" collapsed="false">
      <c r="A422" s="31" t="s">
        <v>1449</v>
      </c>
      <c r="B422" s="31" t="s">
        <v>301</v>
      </c>
      <c r="C422" s="31" t="s">
        <v>335</v>
      </c>
      <c r="D422" s="31" t="s">
        <v>336</v>
      </c>
      <c r="E422" s="31" t="s">
        <v>1450</v>
      </c>
      <c r="F422" s="31" t="s">
        <v>460</v>
      </c>
      <c r="G422" s="31" t="s">
        <v>466</v>
      </c>
      <c r="H422" s="31" t="s">
        <v>41</v>
      </c>
      <c r="I422" s="31" t="n">
        <f aca="false">VLOOKUP(H422,Paramètres!$A$15:$B$19,2,FALSE())</f>
        <v>1</v>
      </c>
      <c r="J422" s="31" t="n">
        <v>2</v>
      </c>
      <c r="K422" s="50" t="str">
        <f aca="false">C422&amp;"|"&amp;J422</f>
        <v>API-PASS|2</v>
      </c>
      <c r="L422" s="31" t="s">
        <v>1419</v>
      </c>
      <c r="M422" s="31" t="n">
        <v>1</v>
      </c>
      <c r="N422" s="51" t="s">
        <v>462</v>
      </c>
      <c r="O422" s="35" t="s">
        <v>78</v>
      </c>
      <c r="P422" s="52"/>
      <c r="Q422" s="52"/>
      <c r="R422" s="33" t="n">
        <f aca="false">INDEX(Épopées!$L$6:$L$59,MATCH(K422,Épopées!$A$6:$A$59,0))</f>
        <v>46619</v>
      </c>
      <c r="S422" s="33" t="n">
        <f aca="false">INDEX(Épopées!$M$6:$M$59,MATCH(K422,Épopées!$A$6:$A$59,0))</f>
        <v>46640</v>
      </c>
      <c r="T422" s="53" t="s">
        <v>463</v>
      </c>
    </row>
    <row r="423" customFormat="false" ht="15" hidden="false" customHeight="false" outlineLevel="0" collapsed="false">
      <c r="A423" s="31" t="s">
        <v>1451</v>
      </c>
      <c r="B423" s="31" t="s">
        <v>301</v>
      </c>
      <c r="C423" s="31" t="s">
        <v>335</v>
      </c>
      <c r="D423" s="31" t="s">
        <v>336</v>
      </c>
      <c r="E423" s="31" t="s">
        <v>1452</v>
      </c>
      <c r="F423" s="31" t="s">
        <v>460</v>
      </c>
      <c r="G423" s="31" t="s">
        <v>612</v>
      </c>
      <c r="H423" s="31" t="s">
        <v>41</v>
      </c>
      <c r="I423" s="31" t="n">
        <f aca="false">VLOOKUP(H423,Paramètres!$A$15:$B$19,2,FALSE())</f>
        <v>1</v>
      </c>
      <c r="J423" s="31" t="n">
        <v>2</v>
      </c>
      <c r="K423" s="50" t="str">
        <f aca="false">C423&amp;"|"&amp;J423</f>
        <v>API-PASS|2</v>
      </c>
      <c r="L423" s="31" t="s">
        <v>1429</v>
      </c>
      <c r="M423" s="31" t="n">
        <v>2</v>
      </c>
      <c r="N423" s="51" t="s">
        <v>462</v>
      </c>
      <c r="O423" s="35" t="s">
        <v>78</v>
      </c>
      <c r="P423" s="52"/>
      <c r="Q423" s="52"/>
      <c r="R423" s="33" t="n">
        <f aca="false">INDEX(Épopées!$L$6:$L$59,MATCH(K423,Épopées!$A$6:$A$59,0))</f>
        <v>46619</v>
      </c>
      <c r="S423" s="33" t="n">
        <f aca="false">INDEX(Épopées!$M$6:$M$59,MATCH(K423,Épopées!$A$6:$A$59,0))</f>
        <v>46640</v>
      </c>
      <c r="T423" s="53" t="s">
        <v>463</v>
      </c>
    </row>
    <row r="424" customFormat="false" ht="15" hidden="false" customHeight="false" outlineLevel="0" collapsed="false">
      <c r="A424" s="31" t="s">
        <v>1453</v>
      </c>
      <c r="B424" s="31" t="s">
        <v>301</v>
      </c>
      <c r="C424" s="31" t="s">
        <v>335</v>
      </c>
      <c r="D424" s="31" t="s">
        <v>336</v>
      </c>
      <c r="E424" s="31" t="s">
        <v>1454</v>
      </c>
      <c r="F424" s="31" t="s">
        <v>469</v>
      </c>
      <c r="G424" s="31" t="s">
        <v>461</v>
      </c>
      <c r="H424" s="31" t="s">
        <v>41</v>
      </c>
      <c r="I424" s="31" t="n">
        <f aca="false">VLOOKUP(H424,Paramètres!$A$15:$B$19,2,FALSE())</f>
        <v>1</v>
      </c>
      <c r="J424" s="31" t="n">
        <v>2</v>
      </c>
      <c r="K424" s="50" t="str">
        <f aca="false">C424&amp;"|"&amp;J424</f>
        <v>API-PASS|2</v>
      </c>
      <c r="L424" s="31" t="s">
        <v>1405</v>
      </c>
      <c r="M424" s="31" t="n">
        <v>2</v>
      </c>
      <c r="N424" s="51" t="s">
        <v>462</v>
      </c>
      <c r="O424" s="35" t="s">
        <v>78</v>
      </c>
      <c r="P424" s="52"/>
      <c r="Q424" s="52"/>
      <c r="R424" s="33" t="n">
        <f aca="false">INDEX(Épopées!$L$6:$L$59,MATCH(K424,Épopées!$A$6:$A$59,0))</f>
        <v>46619</v>
      </c>
      <c r="S424" s="33" t="n">
        <f aca="false">INDEX(Épopées!$M$6:$M$59,MATCH(K424,Épopées!$A$6:$A$59,0))</f>
        <v>46640</v>
      </c>
      <c r="T424" s="53" t="s">
        <v>463</v>
      </c>
    </row>
    <row r="425" customFormat="false" ht="15" hidden="false" customHeight="false" outlineLevel="0" collapsed="false">
      <c r="A425" s="31" t="s">
        <v>1455</v>
      </c>
      <c r="B425" s="31" t="s">
        <v>301</v>
      </c>
      <c r="C425" s="31" t="s">
        <v>335</v>
      </c>
      <c r="D425" s="31" t="s">
        <v>336</v>
      </c>
      <c r="E425" s="31" t="s">
        <v>1456</v>
      </c>
      <c r="F425" s="31" t="s">
        <v>460</v>
      </c>
      <c r="G425" s="31" t="s">
        <v>612</v>
      </c>
      <c r="H425" s="31" t="s">
        <v>41</v>
      </c>
      <c r="I425" s="31" t="n">
        <f aca="false">VLOOKUP(H425,Paramètres!$A$15:$B$19,2,FALSE())</f>
        <v>1</v>
      </c>
      <c r="J425" s="31" t="n">
        <v>2</v>
      </c>
      <c r="K425" s="50" t="str">
        <f aca="false">C425&amp;"|"&amp;J425</f>
        <v>API-PASS|2</v>
      </c>
      <c r="L425" s="31" t="s">
        <v>1457</v>
      </c>
      <c r="M425" s="31" t="n">
        <v>2</v>
      </c>
      <c r="N425" s="51" t="s">
        <v>462</v>
      </c>
      <c r="O425" s="35" t="s">
        <v>78</v>
      </c>
      <c r="P425" s="52"/>
      <c r="Q425" s="52"/>
      <c r="R425" s="33" t="n">
        <f aca="false">INDEX(Épopées!$L$6:$L$59,MATCH(K425,Épopées!$A$6:$A$59,0))</f>
        <v>46619</v>
      </c>
      <c r="S425" s="33" t="n">
        <f aca="false">INDEX(Épopées!$M$6:$M$59,MATCH(K425,Épopées!$A$6:$A$59,0))</f>
        <v>46640</v>
      </c>
      <c r="T425" s="53" t="s">
        <v>463</v>
      </c>
    </row>
    <row r="426" customFormat="false" ht="15" hidden="false" customHeight="false" outlineLevel="0" collapsed="false">
      <c r="A426" s="31" t="s">
        <v>1458</v>
      </c>
      <c r="B426" s="31" t="s">
        <v>301</v>
      </c>
      <c r="C426" s="31" t="s">
        <v>335</v>
      </c>
      <c r="D426" s="31" t="s">
        <v>336</v>
      </c>
      <c r="E426" s="31" t="s">
        <v>1459</v>
      </c>
      <c r="F426" s="31" t="s">
        <v>481</v>
      </c>
      <c r="G426" s="31" t="s">
        <v>466</v>
      </c>
      <c r="H426" s="31" t="s">
        <v>41</v>
      </c>
      <c r="I426" s="31" t="n">
        <f aca="false">VLOOKUP(H426,Paramètres!$A$15:$B$19,2,FALSE())</f>
        <v>1</v>
      </c>
      <c r="J426" s="31" t="n">
        <v>2</v>
      </c>
      <c r="K426" s="50" t="str">
        <f aca="false">C426&amp;"|"&amp;J426</f>
        <v>API-PASS|2</v>
      </c>
      <c r="L426" s="31" t="s">
        <v>1460</v>
      </c>
      <c r="M426" s="31" t="n">
        <v>2</v>
      </c>
      <c r="N426" s="51" t="s">
        <v>462</v>
      </c>
      <c r="O426" s="35" t="s">
        <v>78</v>
      </c>
      <c r="P426" s="52"/>
      <c r="Q426" s="52"/>
      <c r="R426" s="33" t="n">
        <f aca="false">INDEX(Épopées!$L$6:$L$59,MATCH(K426,Épopées!$A$6:$A$59,0))</f>
        <v>46619</v>
      </c>
      <c r="S426" s="33" t="n">
        <f aca="false">INDEX(Épopées!$M$6:$M$59,MATCH(K426,Épopées!$A$6:$A$59,0))</f>
        <v>46640</v>
      </c>
      <c r="T426" s="53" t="s">
        <v>463</v>
      </c>
    </row>
    <row r="427" customFormat="false" ht="15" hidden="false" customHeight="false" outlineLevel="0" collapsed="false">
      <c r="A427" s="31" t="s">
        <v>1461</v>
      </c>
      <c r="B427" s="31" t="s">
        <v>301</v>
      </c>
      <c r="C427" s="31" t="s">
        <v>335</v>
      </c>
      <c r="D427" s="31" t="s">
        <v>336</v>
      </c>
      <c r="E427" s="31" t="s">
        <v>1462</v>
      </c>
      <c r="F427" s="31" t="s">
        <v>548</v>
      </c>
      <c r="G427" s="31" t="s">
        <v>466</v>
      </c>
      <c r="H427" s="31" t="s">
        <v>41</v>
      </c>
      <c r="I427" s="31" t="n">
        <f aca="false">VLOOKUP(H427,Paramètres!$A$15:$B$19,2,FALSE())</f>
        <v>1</v>
      </c>
      <c r="J427" s="31" t="n">
        <v>2</v>
      </c>
      <c r="K427" s="50" t="str">
        <f aca="false">C427&amp;"|"&amp;J427</f>
        <v>API-PASS|2</v>
      </c>
      <c r="L427" s="31" t="s">
        <v>1424</v>
      </c>
      <c r="M427" s="31" t="n">
        <v>5</v>
      </c>
      <c r="N427" s="51" t="s">
        <v>462</v>
      </c>
      <c r="O427" s="35" t="s">
        <v>78</v>
      </c>
      <c r="P427" s="52"/>
      <c r="Q427" s="52"/>
      <c r="R427" s="33" t="n">
        <f aca="false">INDEX(Épopées!$L$6:$L$59,MATCH(K427,Épopées!$A$6:$A$59,0))</f>
        <v>46619</v>
      </c>
      <c r="S427" s="33" t="n">
        <f aca="false">INDEX(Épopées!$M$6:$M$59,MATCH(K427,Épopées!$A$6:$A$59,0))</f>
        <v>46640</v>
      </c>
      <c r="T427" s="53" t="s">
        <v>463</v>
      </c>
    </row>
    <row r="428" customFormat="false" ht="15" hidden="false" customHeight="false" outlineLevel="0" collapsed="false">
      <c r="A428" s="31" t="s">
        <v>1463</v>
      </c>
      <c r="B428" s="31" t="s">
        <v>301</v>
      </c>
      <c r="C428" s="31" t="s">
        <v>335</v>
      </c>
      <c r="D428" s="31" t="s">
        <v>336</v>
      </c>
      <c r="E428" s="31" t="s">
        <v>1464</v>
      </c>
      <c r="F428" s="31" t="s">
        <v>503</v>
      </c>
      <c r="G428" s="31" t="s">
        <v>461</v>
      </c>
      <c r="H428" s="31" t="s">
        <v>41</v>
      </c>
      <c r="I428" s="31" t="n">
        <f aca="false">VLOOKUP(H428,Paramètres!$A$15:$B$19,2,FALSE())</f>
        <v>1</v>
      </c>
      <c r="J428" s="31" t="n">
        <v>2</v>
      </c>
      <c r="K428" s="50" t="str">
        <f aca="false">C428&amp;"|"&amp;J428</f>
        <v>API-PASS|2</v>
      </c>
      <c r="L428" s="31" t="s">
        <v>1465</v>
      </c>
      <c r="M428" s="31" t="n">
        <v>3</v>
      </c>
      <c r="N428" s="51" t="s">
        <v>462</v>
      </c>
      <c r="O428" s="35" t="s">
        <v>78</v>
      </c>
      <c r="P428" s="52"/>
      <c r="Q428" s="52"/>
      <c r="R428" s="33" t="n">
        <f aca="false">INDEX(Épopées!$L$6:$L$59,MATCH(K428,Épopées!$A$6:$A$59,0))</f>
        <v>46619</v>
      </c>
      <c r="S428" s="33" t="n">
        <f aca="false">INDEX(Épopées!$M$6:$M$59,MATCH(K428,Épopées!$A$6:$A$59,0))</f>
        <v>46640</v>
      </c>
      <c r="T428" s="53" t="s">
        <v>463</v>
      </c>
    </row>
    <row r="429" customFormat="false" ht="15" hidden="false" customHeight="false" outlineLevel="0" collapsed="false">
      <c r="A429" s="31" t="s">
        <v>1466</v>
      </c>
      <c r="B429" s="31" t="s">
        <v>301</v>
      </c>
      <c r="C429" s="31" t="s">
        <v>335</v>
      </c>
      <c r="D429" s="31" t="s">
        <v>336</v>
      </c>
      <c r="E429" s="31" t="s">
        <v>1467</v>
      </c>
      <c r="F429" s="31" t="s">
        <v>579</v>
      </c>
      <c r="G429" s="31" t="s">
        <v>461</v>
      </c>
      <c r="H429" s="31" t="s">
        <v>41</v>
      </c>
      <c r="I429" s="31" t="n">
        <f aca="false">VLOOKUP(H429,Paramètres!$A$15:$B$19,2,FALSE())</f>
        <v>1</v>
      </c>
      <c r="J429" s="31" t="n">
        <v>2</v>
      </c>
      <c r="K429" s="50" t="str">
        <f aca="false">C429&amp;"|"&amp;J429</f>
        <v>API-PASS|2</v>
      </c>
      <c r="L429" s="31" t="s">
        <v>1468</v>
      </c>
      <c r="M429" s="31" t="n">
        <v>3</v>
      </c>
      <c r="N429" s="51" t="s">
        <v>462</v>
      </c>
      <c r="O429" s="35" t="s">
        <v>78</v>
      </c>
      <c r="P429" s="52"/>
      <c r="Q429" s="52"/>
      <c r="R429" s="33" t="n">
        <f aca="false">INDEX(Épopées!$L$6:$L$59,MATCH(K429,Épopées!$A$6:$A$59,0))</f>
        <v>46619</v>
      </c>
      <c r="S429" s="33" t="n">
        <f aca="false">INDEX(Épopées!$M$6:$M$59,MATCH(K429,Épopées!$A$6:$A$59,0))</f>
        <v>46640</v>
      </c>
      <c r="T429" s="53" t="s">
        <v>463</v>
      </c>
    </row>
    <row r="430" customFormat="false" ht="15" hidden="false" customHeight="false" outlineLevel="0" collapsed="false">
      <c r="A430" s="31" t="s">
        <v>1469</v>
      </c>
      <c r="B430" s="31" t="s">
        <v>301</v>
      </c>
      <c r="C430" s="31" t="s">
        <v>335</v>
      </c>
      <c r="D430" s="31" t="s">
        <v>336</v>
      </c>
      <c r="E430" s="31" t="s">
        <v>1470</v>
      </c>
      <c r="F430" s="31" t="s">
        <v>548</v>
      </c>
      <c r="G430" s="31" t="s">
        <v>466</v>
      </c>
      <c r="H430" s="31" t="s">
        <v>39</v>
      </c>
      <c r="I430" s="31" t="n">
        <f aca="false">VLOOKUP(H430,Paramètres!$A$15:$B$19,2,FALSE())</f>
        <v>0.5</v>
      </c>
      <c r="J430" s="31" t="n">
        <v>2</v>
      </c>
      <c r="K430" s="50" t="str">
        <f aca="false">C430&amp;"|"&amp;J430</f>
        <v>API-PASS|2</v>
      </c>
      <c r="L430" s="31" t="s">
        <v>1471</v>
      </c>
      <c r="M430" s="31" t="n">
        <v>3</v>
      </c>
      <c r="N430" s="51" t="s">
        <v>462</v>
      </c>
      <c r="O430" s="35" t="s">
        <v>78</v>
      </c>
      <c r="P430" s="52"/>
      <c r="Q430" s="52"/>
      <c r="R430" s="33" t="n">
        <f aca="false">INDEX(Épopées!$L$6:$L$59,MATCH(K430,Épopées!$A$6:$A$59,0))</f>
        <v>46619</v>
      </c>
      <c r="S430" s="33" t="n">
        <f aca="false">INDEX(Épopées!$M$6:$M$59,MATCH(K430,Épopées!$A$6:$A$59,0))</f>
        <v>46640</v>
      </c>
      <c r="T430" s="53" t="s">
        <v>463</v>
      </c>
    </row>
    <row r="431" customFormat="false" ht="15" hidden="false" customHeight="false" outlineLevel="0" collapsed="false">
      <c r="A431" s="31" t="s">
        <v>1472</v>
      </c>
      <c r="B431" s="31" t="s">
        <v>301</v>
      </c>
      <c r="C431" s="31" t="s">
        <v>335</v>
      </c>
      <c r="D431" s="31" t="s">
        <v>336</v>
      </c>
      <c r="E431" s="31" t="s">
        <v>1473</v>
      </c>
      <c r="F431" s="31" t="s">
        <v>472</v>
      </c>
      <c r="G431" s="31" t="s">
        <v>461</v>
      </c>
      <c r="H431" s="31" t="s">
        <v>41</v>
      </c>
      <c r="I431" s="31" t="n">
        <f aca="false">VLOOKUP(H431,Paramètres!$A$15:$B$19,2,FALSE())</f>
        <v>1</v>
      </c>
      <c r="J431" s="31" t="n">
        <v>2</v>
      </c>
      <c r="K431" s="50" t="str">
        <f aca="false">C431&amp;"|"&amp;J431</f>
        <v>API-PASS|2</v>
      </c>
      <c r="L431" s="31" t="s">
        <v>1474</v>
      </c>
      <c r="M431" s="31" t="n">
        <v>5</v>
      </c>
      <c r="N431" s="51" t="s">
        <v>462</v>
      </c>
      <c r="O431" s="35" t="s">
        <v>78</v>
      </c>
      <c r="P431" s="52"/>
      <c r="Q431" s="52"/>
      <c r="R431" s="33" t="n">
        <f aca="false">INDEX(Épopées!$L$6:$L$59,MATCH(K431,Épopées!$A$6:$A$59,0))</f>
        <v>46619</v>
      </c>
      <c r="S431" s="33" t="n">
        <f aca="false">INDEX(Épopées!$M$6:$M$59,MATCH(K431,Épopées!$A$6:$A$59,0))</f>
        <v>46640</v>
      </c>
      <c r="T431" s="53" t="s">
        <v>463</v>
      </c>
    </row>
    <row r="432" customFormat="false" ht="15" hidden="false" customHeight="false" outlineLevel="0" collapsed="false">
      <c r="A432" s="31" t="s">
        <v>1475</v>
      </c>
      <c r="B432" s="31" t="s">
        <v>301</v>
      </c>
      <c r="C432" s="31" t="s">
        <v>335</v>
      </c>
      <c r="D432" s="31" t="s">
        <v>336</v>
      </c>
      <c r="E432" s="31" t="s">
        <v>1476</v>
      </c>
      <c r="F432" s="31" t="s">
        <v>472</v>
      </c>
      <c r="G432" s="31" t="s">
        <v>466</v>
      </c>
      <c r="H432" s="31" t="s">
        <v>41</v>
      </c>
      <c r="I432" s="31" t="n">
        <f aca="false">VLOOKUP(H432,Paramètres!$A$15:$B$19,2,FALSE())</f>
        <v>1</v>
      </c>
      <c r="J432" s="31" t="n">
        <v>2</v>
      </c>
      <c r="K432" s="50" t="str">
        <f aca="false">C432&amp;"|"&amp;J432</f>
        <v>API-PASS|2</v>
      </c>
      <c r="L432" s="31" t="s">
        <v>1477</v>
      </c>
      <c r="M432" s="31" t="n">
        <v>11</v>
      </c>
      <c r="N432" s="51" t="s">
        <v>462</v>
      </c>
      <c r="O432" s="35" t="s">
        <v>78</v>
      </c>
      <c r="P432" s="52"/>
      <c r="Q432" s="52"/>
      <c r="R432" s="33" t="n">
        <f aca="false">INDEX(Épopées!$L$6:$L$59,MATCH(K432,Épopées!$A$6:$A$59,0))</f>
        <v>46619</v>
      </c>
      <c r="S432" s="33" t="n">
        <f aca="false">INDEX(Épopées!$M$6:$M$59,MATCH(K432,Épopées!$A$6:$A$59,0))</f>
        <v>46640</v>
      </c>
      <c r="T432" s="53" t="s">
        <v>463</v>
      </c>
    </row>
    <row r="433" customFormat="false" ht="15" hidden="false" customHeight="false" outlineLevel="0" collapsed="false">
      <c r="A433" s="31" t="s">
        <v>1478</v>
      </c>
      <c r="B433" s="31" t="s">
        <v>301</v>
      </c>
      <c r="C433" s="31" t="s">
        <v>335</v>
      </c>
      <c r="D433" s="31" t="s">
        <v>336</v>
      </c>
      <c r="E433" s="31" t="s">
        <v>1479</v>
      </c>
      <c r="F433" s="31" t="s">
        <v>503</v>
      </c>
      <c r="G433" s="31" t="s">
        <v>612</v>
      </c>
      <c r="H433" s="31" t="s">
        <v>39</v>
      </c>
      <c r="I433" s="31" t="n">
        <f aca="false">VLOOKUP(H433,Paramètres!$A$15:$B$19,2,FALSE())</f>
        <v>0.5</v>
      </c>
      <c r="J433" s="31" t="n">
        <v>2</v>
      </c>
      <c r="K433" s="50" t="str">
        <f aca="false">C433&amp;"|"&amp;J433</f>
        <v>API-PASS|2</v>
      </c>
      <c r="L433" s="31" t="s">
        <v>1475</v>
      </c>
      <c r="M433" s="31" t="n">
        <v>3</v>
      </c>
      <c r="N433" s="51" t="s">
        <v>462</v>
      </c>
      <c r="O433" s="35" t="s">
        <v>78</v>
      </c>
      <c r="P433" s="52"/>
      <c r="Q433" s="52"/>
      <c r="R433" s="33" t="n">
        <f aca="false">INDEX(Épopées!$L$6:$L$59,MATCH(K433,Épopées!$A$6:$A$59,0))</f>
        <v>46619</v>
      </c>
      <c r="S433" s="33" t="n">
        <f aca="false">INDEX(Épopées!$M$6:$M$59,MATCH(K433,Épopées!$A$6:$A$59,0))</f>
        <v>46640</v>
      </c>
      <c r="T433" s="53" t="s">
        <v>463</v>
      </c>
    </row>
    <row r="434" customFormat="false" ht="15" hidden="false" customHeight="false" outlineLevel="0" collapsed="false">
      <c r="A434" s="31" t="s">
        <v>1480</v>
      </c>
      <c r="B434" s="31" t="s">
        <v>301</v>
      </c>
      <c r="C434" s="31" t="s">
        <v>186</v>
      </c>
      <c r="D434" s="31" t="s">
        <v>302</v>
      </c>
      <c r="E434" s="31" t="s">
        <v>1481</v>
      </c>
      <c r="F434" s="31" t="s">
        <v>491</v>
      </c>
      <c r="G434" s="31" t="s">
        <v>612</v>
      </c>
      <c r="H434" s="31" t="s">
        <v>43</v>
      </c>
      <c r="I434" s="31" t="n">
        <f aca="false">VLOOKUP(H434,Paramètres!$A$15:$B$19,2,FALSE())</f>
        <v>2</v>
      </c>
      <c r="J434" s="31" t="n">
        <v>2</v>
      </c>
      <c r="K434" s="50" t="str">
        <f aca="false">C434&amp;"|"&amp;J434</f>
        <v>API-PLAT|2</v>
      </c>
      <c r="L434" s="31" t="s">
        <v>529</v>
      </c>
      <c r="M434" s="31" t="n">
        <v>1</v>
      </c>
      <c r="N434" s="51" t="s">
        <v>462</v>
      </c>
      <c r="O434" s="35" t="s">
        <v>78</v>
      </c>
      <c r="P434" s="52"/>
      <c r="Q434" s="52"/>
      <c r="R434" s="33" t="n">
        <f aca="false">INDEX(Épopées!$L$6:$L$59,MATCH(K434,Épopées!$A$6:$A$59,0))</f>
        <v>46643</v>
      </c>
      <c r="S434" s="33" t="n">
        <f aca="false">INDEX(Épopées!$M$6:$M$59,MATCH(K434,Épopées!$A$6:$A$59,0))</f>
        <v>46644</v>
      </c>
      <c r="T434" s="53" t="s">
        <v>463</v>
      </c>
    </row>
    <row r="435" customFormat="false" ht="15" hidden="false" customHeight="false" outlineLevel="0" collapsed="false">
      <c r="A435" s="31" t="s">
        <v>1482</v>
      </c>
      <c r="B435" s="31" t="s">
        <v>301</v>
      </c>
      <c r="C435" s="31" t="s">
        <v>186</v>
      </c>
      <c r="D435" s="31" t="s">
        <v>302</v>
      </c>
      <c r="E435" s="31" t="s">
        <v>1483</v>
      </c>
      <c r="F435" s="31" t="s">
        <v>469</v>
      </c>
      <c r="G435" s="31" t="s">
        <v>466</v>
      </c>
      <c r="H435" s="31" t="s">
        <v>41</v>
      </c>
      <c r="I435" s="31" t="n">
        <f aca="false">VLOOKUP(H435,Paramètres!$A$15:$B$19,2,FALSE())</f>
        <v>1</v>
      </c>
      <c r="J435" s="31" t="n">
        <v>2</v>
      </c>
      <c r="K435" s="50" t="str">
        <f aca="false">C435&amp;"|"&amp;J435</f>
        <v>API-PLAT|2</v>
      </c>
      <c r="L435" s="31"/>
      <c r="M435" s="31" t="n">
        <v>0</v>
      </c>
      <c r="N435" s="51" t="s">
        <v>462</v>
      </c>
      <c r="O435" s="35" t="s">
        <v>78</v>
      </c>
      <c r="P435" s="52"/>
      <c r="Q435" s="52"/>
      <c r="R435" s="33" t="n">
        <f aca="false">INDEX(Épopées!$L$6:$L$59,MATCH(K435,Épopées!$A$6:$A$59,0))</f>
        <v>46643</v>
      </c>
      <c r="S435" s="33" t="n">
        <f aca="false">INDEX(Épopées!$M$6:$M$59,MATCH(K435,Épopées!$A$6:$A$59,0))</f>
        <v>46644</v>
      </c>
      <c r="T435" s="53" t="s">
        <v>463</v>
      </c>
    </row>
    <row r="436" customFormat="false" ht="15" hidden="false" customHeight="false" outlineLevel="0" collapsed="false">
      <c r="A436" s="31" t="s">
        <v>1484</v>
      </c>
      <c r="B436" s="31" t="s">
        <v>301</v>
      </c>
      <c r="C436" s="31" t="s">
        <v>332</v>
      </c>
      <c r="D436" s="31" t="s">
        <v>333</v>
      </c>
      <c r="E436" s="31" t="s">
        <v>1485</v>
      </c>
      <c r="F436" s="31" t="s">
        <v>486</v>
      </c>
      <c r="G436" s="31" t="s">
        <v>466</v>
      </c>
      <c r="H436" s="31" t="s">
        <v>41</v>
      </c>
      <c r="I436" s="31" t="n">
        <f aca="false">VLOOKUP(H436,Paramètres!$A$15:$B$19,2,FALSE())</f>
        <v>1</v>
      </c>
      <c r="J436" s="31" t="n">
        <v>3</v>
      </c>
      <c r="K436" s="50" t="str">
        <f aca="false">C436&amp;"|"&amp;J436</f>
        <v>API-FANT|3</v>
      </c>
      <c r="L436" s="31"/>
      <c r="M436" s="31" t="n">
        <v>4</v>
      </c>
      <c r="N436" s="51" t="s">
        <v>462</v>
      </c>
      <c r="O436" s="35" t="s">
        <v>78</v>
      </c>
      <c r="P436" s="52"/>
      <c r="Q436" s="52"/>
      <c r="R436" s="33" t="n">
        <f aca="false">INDEX(Épopées!$L$6:$L$59,MATCH(K436,Épopées!$A$6:$A$59,0))</f>
        <v>46645</v>
      </c>
      <c r="S436" s="33" t="n">
        <f aca="false">INDEX(Épopées!$M$6:$M$59,MATCH(K436,Épopées!$A$6:$A$59,0))</f>
        <v>46652</v>
      </c>
      <c r="T436" s="53" t="s">
        <v>463</v>
      </c>
    </row>
    <row r="437" customFormat="false" ht="15" hidden="false" customHeight="false" outlineLevel="0" collapsed="false">
      <c r="A437" s="31" t="s">
        <v>1486</v>
      </c>
      <c r="B437" s="31" t="s">
        <v>301</v>
      </c>
      <c r="C437" s="31" t="s">
        <v>332</v>
      </c>
      <c r="D437" s="31" t="s">
        <v>333</v>
      </c>
      <c r="E437" s="31" t="s">
        <v>1487</v>
      </c>
      <c r="F437" s="31" t="s">
        <v>491</v>
      </c>
      <c r="G437" s="31" t="s">
        <v>466</v>
      </c>
      <c r="H437" s="31" t="s">
        <v>41</v>
      </c>
      <c r="I437" s="31" t="n">
        <f aca="false">VLOOKUP(H437,Paramètres!$A$15:$B$19,2,FALSE())</f>
        <v>1</v>
      </c>
      <c r="J437" s="31" t="n">
        <v>3</v>
      </c>
      <c r="K437" s="50" t="str">
        <f aca="false">C437&amp;"|"&amp;J437</f>
        <v>API-FANT|3</v>
      </c>
      <c r="L437" s="31" t="s">
        <v>1484</v>
      </c>
      <c r="M437" s="31" t="n">
        <v>4</v>
      </c>
      <c r="N437" s="51" t="s">
        <v>462</v>
      </c>
      <c r="O437" s="35" t="s">
        <v>78</v>
      </c>
      <c r="P437" s="52"/>
      <c r="Q437" s="52"/>
      <c r="R437" s="33" t="n">
        <f aca="false">INDEX(Épopées!$L$6:$L$59,MATCH(K437,Épopées!$A$6:$A$59,0))</f>
        <v>46645</v>
      </c>
      <c r="S437" s="33" t="n">
        <f aca="false">INDEX(Épopées!$M$6:$M$59,MATCH(K437,Épopées!$A$6:$A$59,0))</f>
        <v>46652</v>
      </c>
      <c r="T437" s="53" t="s">
        <v>463</v>
      </c>
    </row>
    <row r="438" customFormat="false" ht="15" hidden="false" customHeight="false" outlineLevel="0" collapsed="false">
      <c r="A438" s="31" t="s">
        <v>1488</v>
      </c>
      <c r="B438" s="31" t="s">
        <v>301</v>
      </c>
      <c r="C438" s="31" t="s">
        <v>332</v>
      </c>
      <c r="D438" s="31" t="s">
        <v>333</v>
      </c>
      <c r="E438" s="31" t="s">
        <v>1489</v>
      </c>
      <c r="F438" s="31" t="s">
        <v>460</v>
      </c>
      <c r="G438" s="31" t="s">
        <v>466</v>
      </c>
      <c r="H438" s="31" t="s">
        <v>41</v>
      </c>
      <c r="I438" s="31" t="n">
        <f aca="false">VLOOKUP(H438,Paramètres!$A$15:$B$19,2,FALSE())</f>
        <v>1</v>
      </c>
      <c r="J438" s="31" t="n">
        <v>3</v>
      </c>
      <c r="K438" s="50" t="str">
        <f aca="false">C438&amp;"|"&amp;J438</f>
        <v>API-FANT|3</v>
      </c>
      <c r="L438" s="31" t="s">
        <v>1490</v>
      </c>
      <c r="M438" s="31" t="n">
        <v>3</v>
      </c>
      <c r="N438" s="51" t="s">
        <v>462</v>
      </c>
      <c r="O438" s="35" t="s">
        <v>78</v>
      </c>
      <c r="P438" s="52"/>
      <c r="Q438" s="52"/>
      <c r="R438" s="33" t="n">
        <f aca="false">INDEX(Épopées!$L$6:$L$59,MATCH(K438,Épopées!$A$6:$A$59,0))</f>
        <v>46645</v>
      </c>
      <c r="S438" s="33" t="n">
        <f aca="false">INDEX(Épopées!$M$6:$M$59,MATCH(K438,Épopées!$A$6:$A$59,0))</f>
        <v>46652</v>
      </c>
      <c r="T438" s="53" t="s">
        <v>463</v>
      </c>
    </row>
    <row r="439" customFormat="false" ht="15" hidden="false" customHeight="false" outlineLevel="0" collapsed="false">
      <c r="A439" s="31" t="s">
        <v>1491</v>
      </c>
      <c r="B439" s="31" t="s">
        <v>301</v>
      </c>
      <c r="C439" s="31" t="s">
        <v>332</v>
      </c>
      <c r="D439" s="31" t="s">
        <v>333</v>
      </c>
      <c r="E439" s="31" t="s">
        <v>1492</v>
      </c>
      <c r="F439" s="31" t="s">
        <v>460</v>
      </c>
      <c r="G439" s="31" t="s">
        <v>466</v>
      </c>
      <c r="H439" s="31" t="s">
        <v>41</v>
      </c>
      <c r="I439" s="31" t="n">
        <f aca="false">VLOOKUP(H439,Paramètres!$A$15:$B$19,2,FALSE())</f>
        <v>1</v>
      </c>
      <c r="J439" s="31" t="n">
        <v>3</v>
      </c>
      <c r="K439" s="50" t="str">
        <f aca="false">C439&amp;"|"&amp;J439</f>
        <v>API-FANT|3</v>
      </c>
      <c r="L439" s="31" t="s">
        <v>1488</v>
      </c>
      <c r="M439" s="31" t="n">
        <v>4</v>
      </c>
      <c r="N439" s="51" t="s">
        <v>462</v>
      </c>
      <c r="O439" s="35" t="s">
        <v>78</v>
      </c>
      <c r="P439" s="52"/>
      <c r="Q439" s="52"/>
      <c r="R439" s="33" t="n">
        <f aca="false">INDEX(Épopées!$L$6:$L$59,MATCH(K439,Épopées!$A$6:$A$59,0))</f>
        <v>46645</v>
      </c>
      <c r="S439" s="33" t="n">
        <f aca="false">INDEX(Épopées!$M$6:$M$59,MATCH(K439,Épopées!$A$6:$A$59,0))</f>
        <v>46652</v>
      </c>
      <c r="T439" s="53" t="s">
        <v>463</v>
      </c>
    </row>
    <row r="440" customFormat="false" ht="15" hidden="false" customHeight="false" outlineLevel="0" collapsed="false">
      <c r="A440" s="31" t="s">
        <v>1493</v>
      </c>
      <c r="B440" s="31" t="s">
        <v>301</v>
      </c>
      <c r="C440" s="31" t="s">
        <v>332</v>
      </c>
      <c r="D440" s="31" t="s">
        <v>333</v>
      </c>
      <c r="E440" s="31" t="s">
        <v>1494</v>
      </c>
      <c r="F440" s="31" t="s">
        <v>460</v>
      </c>
      <c r="G440" s="31" t="s">
        <v>466</v>
      </c>
      <c r="H440" s="31" t="s">
        <v>41</v>
      </c>
      <c r="I440" s="31" t="n">
        <f aca="false">VLOOKUP(H440,Paramètres!$A$15:$B$19,2,FALSE())</f>
        <v>1</v>
      </c>
      <c r="J440" s="31" t="n">
        <v>3</v>
      </c>
      <c r="K440" s="50" t="str">
        <f aca="false">C440&amp;"|"&amp;J440</f>
        <v>API-FANT|3</v>
      </c>
      <c r="L440" s="31" t="s">
        <v>1491</v>
      </c>
      <c r="M440" s="31" t="n">
        <v>2</v>
      </c>
      <c r="N440" s="51" t="s">
        <v>462</v>
      </c>
      <c r="O440" s="35" t="s">
        <v>78</v>
      </c>
      <c r="P440" s="52"/>
      <c r="Q440" s="52"/>
      <c r="R440" s="33" t="n">
        <f aca="false">INDEX(Épopées!$L$6:$L$59,MATCH(K440,Épopées!$A$6:$A$59,0))</f>
        <v>46645</v>
      </c>
      <c r="S440" s="33" t="n">
        <f aca="false">INDEX(Épopées!$M$6:$M$59,MATCH(K440,Épopées!$A$6:$A$59,0))</f>
        <v>46652</v>
      </c>
      <c r="T440" s="53" t="s">
        <v>463</v>
      </c>
    </row>
    <row r="441" customFormat="false" ht="15" hidden="false" customHeight="false" outlineLevel="0" collapsed="false">
      <c r="A441" s="31" t="s">
        <v>1495</v>
      </c>
      <c r="B441" s="31" t="s">
        <v>301</v>
      </c>
      <c r="C441" s="31" t="s">
        <v>332</v>
      </c>
      <c r="D441" s="31" t="s">
        <v>333</v>
      </c>
      <c r="E441" s="31" t="s">
        <v>1496</v>
      </c>
      <c r="F441" s="31" t="s">
        <v>491</v>
      </c>
      <c r="G441" s="31" t="s">
        <v>466</v>
      </c>
      <c r="H441" s="31" t="s">
        <v>43</v>
      </c>
      <c r="I441" s="31" t="n">
        <f aca="false">VLOOKUP(H441,Paramètres!$A$15:$B$19,2,FALSE())</f>
        <v>2</v>
      </c>
      <c r="J441" s="31" t="n">
        <v>3</v>
      </c>
      <c r="K441" s="50" t="str">
        <f aca="false">C441&amp;"|"&amp;J441</f>
        <v>API-FANT|3</v>
      </c>
      <c r="L441" s="31" t="s">
        <v>1486</v>
      </c>
      <c r="M441" s="31" t="n">
        <v>3</v>
      </c>
      <c r="N441" s="51" t="s">
        <v>462</v>
      </c>
      <c r="O441" s="35" t="s">
        <v>78</v>
      </c>
      <c r="P441" s="52"/>
      <c r="Q441" s="52"/>
      <c r="R441" s="33" t="n">
        <f aca="false">INDEX(Épopées!$L$6:$L$59,MATCH(K441,Épopées!$A$6:$A$59,0))</f>
        <v>46645</v>
      </c>
      <c r="S441" s="33" t="n">
        <f aca="false">INDEX(Épopées!$M$6:$M$59,MATCH(K441,Épopées!$A$6:$A$59,0))</f>
        <v>46652</v>
      </c>
      <c r="T441" s="53" t="s">
        <v>463</v>
      </c>
    </row>
    <row r="442" customFormat="false" ht="15" hidden="false" customHeight="false" outlineLevel="0" collapsed="false">
      <c r="A442" s="31" t="s">
        <v>1497</v>
      </c>
      <c r="B442" s="31" t="s">
        <v>301</v>
      </c>
      <c r="C442" s="31" t="s">
        <v>332</v>
      </c>
      <c r="D442" s="31" t="s">
        <v>333</v>
      </c>
      <c r="E442" s="31" t="s">
        <v>1498</v>
      </c>
      <c r="F442" s="31" t="s">
        <v>481</v>
      </c>
      <c r="G442" s="31" t="s">
        <v>466</v>
      </c>
      <c r="H442" s="31" t="s">
        <v>41</v>
      </c>
      <c r="I442" s="31" t="n">
        <f aca="false">VLOOKUP(H442,Paramètres!$A$15:$B$19,2,FALSE())</f>
        <v>1</v>
      </c>
      <c r="J442" s="31" t="n">
        <v>3</v>
      </c>
      <c r="K442" s="50" t="str">
        <f aca="false">C442&amp;"|"&amp;J442</f>
        <v>API-FANT|3</v>
      </c>
      <c r="L442" s="31" t="s">
        <v>1499</v>
      </c>
      <c r="M442" s="31" t="n">
        <v>3</v>
      </c>
      <c r="N442" s="51" t="s">
        <v>462</v>
      </c>
      <c r="O442" s="35" t="s">
        <v>78</v>
      </c>
      <c r="P442" s="52"/>
      <c r="Q442" s="52"/>
      <c r="R442" s="33" t="n">
        <f aca="false">INDEX(Épopées!$L$6:$L$59,MATCH(K442,Épopées!$A$6:$A$59,0))</f>
        <v>46645</v>
      </c>
      <c r="S442" s="33" t="n">
        <f aca="false">INDEX(Épopées!$M$6:$M$59,MATCH(K442,Épopées!$A$6:$A$59,0))</f>
        <v>46652</v>
      </c>
      <c r="T442" s="53" t="s">
        <v>463</v>
      </c>
    </row>
    <row r="443" customFormat="false" ht="15" hidden="false" customHeight="false" outlineLevel="0" collapsed="false">
      <c r="A443" s="31" t="s">
        <v>1500</v>
      </c>
      <c r="B443" s="31" t="s">
        <v>301</v>
      </c>
      <c r="C443" s="31" t="s">
        <v>332</v>
      </c>
      <c r="D443" s="31" t="s">
        <v>333</v>
      </c>
      <c r="E443" s="31" t="s">
        <v>1501</v>
      </c>
      <c r="F443" s="31" t="s">
        <v>460</v>
      </c>
      <c r="G443" s="31" t="s">
        <v>466</v>
      </c>
      <c r="H443" s="31" t="s">
        <v>43</v>
      </c>
      <c r="I443" s="31" t="n">
        <f aca="false">VLOOKUP(H443,Paramètres!$A$15:$B$19,2,FALSE())</f>
        <v>2</v>
      </c>
      <c r="J443" s="31" t="n">
        <v>3</v>
      </c>
      <c r="K443" s="50" t="str">
        <f aca="false">C443&amp;"|"&amp;J443</f>
        <v>API-FANT|3</v>
      </c>
      <c r="L443" s="31" t="s">
        <v>1497</v>
      </c>
      <c r="M443" s="31" t="n">
        <v>4</v>
      </c>
      <c r="N443" s="51" t="s">
        <v>462</v>
      </c>
      <c r="O443" s="35" t="s">
        <v>78</v>
      </c>
      <c r="P443" s="52"/>
      <c r="Q443" s="52"/>
      <c r="R443" s="33" t="n">
        <f aca="false">INDEX(Épopées!$L$6:$L$59,MATCH(K443,Épopées!$A$6:$A$59,0))</f>
        <v>46645</v>
      </c>
      <c r="S443" s="33" t="n">
        <f aca="false">INDEX(Épopées!$M$6:$M$59,MATCH(K443,Épopées!$A$6:$A$59,0))</f>
        <v>46652</v>
      </c>
      <c r="T443" s="53" t="s">
        <v>463</v>
      </c>
    </row>
    <row r="444" customFormat="false" ht="15" hidden="false" customHeight="false" outlineLevel="0" collapsed="false">
      <c r="A444" s="31" t="s">
        <v>1502</v>
      </c>
      <c r="B444" s="31" t="s">
        <v>301</v>
      </c>
      <c r="C444" s="31" t="s">
        <v>332</v>
      </c>
      <c r="D444" s="31" t="s">
        <v>333</v>
      </c>
      <c r="E444" s="31" t="s">
        <v>1503</v>
      </c>
      <c r="F444" s="31" t="s">
        <v>491</v>
      </c>
      <c r="G444" s="31" t="s">
        <v>466</v>
      </c>
      <c r="H444" s="31" t="s">
        <v>41</v>
      </c>
      <c r="I444" s="31" t="n">
        <f aca="false">VLOOKUP(H444,Paramètres!$A$15:$B$19,2,FALSE())</f>
        <v>1</v>
      </c>
      <c r="J444" s="31" t="n">
        <v>3</v>
      </c>
      <c r="K444" s="50" t="str">
        <f aca="false">C444&amp;"|"&amp;J444</f>
        <v>API-FANT|3</v>
      </c>
      <c r="L444" s="31" t="s">
        <v>1504</v>
      </c>
      <c r="M444" s="31" t="n">
        <v>5</v>
      </c>
      <c r="N444" s="51" t="s">
        <v>462</v>
      </c>
      <c r="O444" s="35" t="s">
        <v>78</v>
      </c>
      <c r="P444" s="52"/>
      <c r="Q444" s="52"/>
      <c r="R444" s="33" t="n">
        <f aca="false">INDEX(Épopées!$L$6:$L$59,MATCH(K444,Épopées!$A$6:$A$59,0))</f>
        <v>46645</v>
      </c>
      <c r="S444" s="33" t="n">
        <f aca="false">INDEX(Épopées!$M$6:$M$59,MATCH(K444,Épopées!$A$6:$A$59,0))</f>
        <v>46652</v>
      </c>
      <c r="T444" s="53" t="s">
        <v>463</v>
      </c>
    </row>
    <row r="445" customFormat="false" ht="15" hidden="false" customHeight="false" outlineLevel="0" collapsed="false">
      <c r="A445" s="31" t="s">
        <v>1505</v>
      </c>
      <c r="B445" s="31" t="s">
        <v>301</v>
      </c>
      <c r="C445" s="31" t="s">
        <v>332</v>
      </c>
      <c r="D445" s="31" t="s">
        <v>333</v>
      </c>
      <c r="E445" s="31" t="s">
        <v>1506</v>
      </c>
      <c r="F445" s="31" t="s">
        <v>472</v>
      </c>
      <c r="G445" s="31" t="s">
        <v>466</v>
      </c>
      <c r="H445" s="31" t="s">
        <v>41</v>
      </c>
      <c r="I445" s="31" t="n">
        <f aca="false">VLOOKUP(H445,Paramètres!$A$15:$B$19,2,FALSE())</f>
        <v>1</v>
      </c>
      <c r="J445" s="31" t="n">
        <v>3</v>
      </c>
      <c r="K445" s="50" t="str">
        <f aca="false">C445&amp;"|"&amp;J445</f>
        <v>API-FANT|3</v>
      </c>
      <c r="L445" s="31" t="s">
        <v>1507</v>
      </c>
      <c r="M445" s="31" t="n">
        <v>7</v>
      </c>
      <c r="N445" s="51" t="s">
        <v>462</v>
      </c>
      <c r="O445" s="35" t="s">
        <v>78</v>
      </c>
      <c r="P445" s="52"/>
      <c r="Q445" s="52"/>
      <c r="R445" s="33" t="n">
        <f aca="false">INDEX(Épopées!$L$6:$L$59,MATCH(K445,Épopées!$A$6:$A$59,0))</f>
        <v>46645</v>
      </c>
      <c r="S445" s="33" t="n">
        <f aca="false">INDEX(Épopées!$M$6:$M$59,MATCH(K445,Épopées!$A$6:$A$59,0))</f>
        <v>46652</v>
      </c>
      <c r="T445" s="53" t="s">
        <v>463</v>
      </c>
    </row>
    <row r="446" customFormat="false" ht="15" hidden="false" customHeight="false" outlineLevel="0" collapsed="false">
      <c r="A446" s="31" t="s">
        <v>1508</v>
      </c>
      <c r="B446" s="31" t="s">
        <v>301</v>
      </c>
      <c r="C446" s="31" t="s">
        <v>340</v>
      </c>
      <c r="D446" s="31" t="s">
        <v>204</v>
      </c>
      <c r="E446" s="31" t="s">
        <v>1509</v>
      </c>
      <c r="F446" s="31" t="s">
        <v>486</v>
      </c>
      <c r="G446" s="31" t="s">
        <v>461</v>
      </c>
      <c r="H446" s="31" t="s">
        <v>41</v>
      </c>
      <c r="I446" s="31" t="n">
        <f aca="false">VLOOKUP(H446,Paramètres!$A$15:$B$19,2,FALSE())</f>
        <v>1</v>
      </c>
      <c r="J446" s="31" t="n">
        <v>3</v>
      </c>
      <c r="K446" s="50" t="str">
        <f aca="false">C446&amp;"|"&amp;J446</f>
        <v>API-WALL|3</v>
      </c>
      <c r="L446" s="31"/>
      <c r="M446" s="31" t="n">
        <v>4</v>
      </c>
      <c r="N446" s="51" t="s">
        <v>462</v>
      </c>
      <c r="O446" s="35" t="s">
        <v>78</v>
      </c>
      <c r="P446" s="52"/>
      <c r="Q446" s="52"/>
      <c r="R446" s="33" t="n">
        <f aca="false">INDEX(Épopées!$L$6:$L$59,MATCH(K446,Épopées!$A$6:$A$59,0))</f>
        <v>46653</v>
      </c>
      <c r="S446" s="33" t="n">
        <f aca="false">INDEX(Épopées!$M$6:$M$59,MATCH(K446,Épopées!$A$6:$A$59,0))</f>
        <v>46667</v>
      </c>
      <c r="T446" s="53" t="s">
        <v>463</v>
      </c>
    </row>
    <row r="447" customFormat="false" ht="15" hidden="false" customHeight="false" outlineLevel="0" collapsed="false">
      <c r="A447" s="31" t="s">
        <v>1510</v>
      </c>
      <c r="B447" s="31" t="s">
        <v>301</v>
      </c>
      <c r="C447" s="31" t="s">
        <v>340</v>
      </c>
      <c r="D447" s="31" t="s">
        <v>204</v>
      </c>
      <c r="E447" s="31" t="s">
        <v>1511</v>
      </c>
      <c r="F447" s="31" t="s">
        <v>486</v>
      </c>
      <c r="G447" s="31" t="s">
        <v>461</v>
      </c>
      <c r="H447" s="31" t="s">
        <v>41</v>
      </c>
      <c r="I447" s="31" t="n">
        <f aca="false">VLOOKUP(H447,Paramètres!$A$15:$B$19,2,FALSE())</f>
        <v>1</v>
      </c>
      <c r="J447" s="31" t="n">
        <v>3</v>
      </c>
      <c r="K447" s="50" t="str">
        <f aca="false">C447&amp;"|"&amp;J447</f>
        <v>API-WALL|3</v>
      </c>
      <c r="L447" s="31"/>
      <c r="M447" s="31" t="n">
        <v>2</v>
      </c>
      <c r="N447" s="51" t="s">
        <v>462</v>
      </c>
      <c r="O447" s="35" t="s">
        <v>78</v>
      </c>
      <c r="P447" s="52"/>
      <c r="Q447" s="52"/>
      <c r="R447" s="33" t="n">
        <f aca="false">INDEX(Épopées!$L$6:$L$59,MATCH(K447,Épopées!$A$6:$A$59,0))</f>
        <v>46653</v>
      </c>
      <c r="S447" s="33" t="n">
        <f aca="false">INDEX(Épopées!$M$6:$M$59,MATCH(K447,Épopées!$A$6:$A$59,0))</f>
        <v>46667</v>
      </c>
      <c r="T447" s="53" t="s">
        <v>463</v>
      </c>
    </row>
    <row r="448" customFormat="false" ht="15" hidden="false" customHeight="false" outlineLevel="0" collapsed="false">
      <c r="A448" s="31" t="s">
        <v>1512</v>
      </c>
      <c r="B448" s="31" t="s">
        <v>301</v>
      </c>
      <c r="C448" s="31" t="s">
        <v>340</v>
      </c>
      <c r="D448" s="31" t="s">
        <v>204</v>
      </c>
      <c r="E448" s="31" t="s">
        <v>1513</v>
      </c>
      <c r="F448" s="31" t="s">
        <v>460</v>
      </c>
      <c r="G448" s="31" t="s">
        <v>461</v>
      </c>
      <c r="H448" s="31" t="s">
        <v>39</v>
      </c>
      <c r="I448" s="31" t="n">
        <f aca="false">VLOOKUP(H448,Paramètres!$A$15:$B$19,2,FALSE())</f>
        <v>0.5</v>
      </c>
      <c r="J448" s="31" t="n">
        <v>3</v>
      </c>
      <c r="K448" s="50" t="str">
        <f aca="false">C448&amp;"|"&amp;J448</f>
        <v>API-WALL|3</v>
      </c>
      <c r="L448" s="31" t="s">
        <v>1510</v>
      </c>
      <c r="M448" s="31" t="n">
        <v>1</v>
      </c>
      <c r="N448" s="51" t="s">
        <v>462</v>
      </c>
      <c r="O448" s="35" t="s">
        <v>78</v>
      </c>
      <c r="P448" s="52"/>
      <c r="Q448" s="52"/>
      <c r="R448" s="33" t="n">
        <f aca="false">INDEX(Épopées!$L$6:$L$59,MATCH(K448,Épopées!$A$6:$A$59,0))</f>
        <v>46653</v>
      </c>
      <c r="S448" s="33" t="n">
        <f aca="false">INDEX(Épopées!$M$6:$M$59,MATCH(K448,Épopées!$A$6:$A$59,0))</f>
        <v>46667</v>
      </c>
      <c r="T448" s="53" t="s">
        <v>463</v>
      </c>
    </row>
    <row r="449" customFormat="false" ht="15" hidden="false" customHeight="false" outlineLevel="0" collapsed="false">
      <c r="A449" s="31" t="s">
        <v>1514</v>
      </c>
      <c r="B449" s="31" t="s">
        <v>301</v>
      </c>
      <c r="C449" s="31" t="s">
        <v>340</v>
      </c>
      <c r="D449" s="31" t="s">
        <v>204</v>
      </c>
      <c r="E449" s="31" t="s">
        <v>1515</v>
      </c>
      <c r="F449" s="31" t="s">
        <v>491</v>
      </c>
      <c r="G449" s="31" t="s">
        <v>461</v>
      </c>
      <c r="H449" s="31" t="s">
        <v>41</v>
      </c>
      <c r="I449" s="31" t="n">
        <f aca="false">VLOOKUP(H449,Paramètres!$A$15:$B$19,2,FALSE())</f>
        <v>1</v>
      </c>
      <c r="J449" s="31" t="n">
        <v>3</v>
      </c>
      <c r="K449" s="50" t="str">
        <f aca="false">C449&amp;"|"&amp;J449</f>
        <v>API-WALL|3</v>
      </c>
      <c r="L449" s="31" t="s">
        <v>1510</v>
      </c>
      <c r="M449" s="31" t="n">
        <v>2</v>
      </c>
      <c r="N449" s="51" t="s">
        <v>462</v>
      </c>
      <c r="O449" s="35" t="s">
        <v>78</v>
      </c>
      <c r="P449" s="52"/>
      <c r="Q449" s="52"/>
      <c r="R449" s="33" t="n">
        <f aca="false">INDEX(Épopées!$L$6:$L$59,MATCH(K449,Épopées!$A$6:$A$59,0))</f>
        <v>46653</v>
      </c>
      <c r="S449" s="33" t="n">
        <f aca="false">INDEX(Épopées!$M$6:$M$59,MATCH(K449,Épopées!$A$6:$A$59,0))</f>
        <v>46667</v>
      </c>
      <c r="T449" s="53" t="s">
        <v>463</v>
      </c>
    </row>
    <row r="450" customFormat="false" ht="15" hidden="false" customHeight="false" outlineLevel="0" collapsed="false">
      <c r="A450" s="31" t="s">
        <v>1516</v>
      </c>
      <c r="B450" s="31" t="s">
        <v>301</v>
      </c>
      <c r="C450" s="31" t="s">
        <v>340</v>
      </c>
      <c r="D450" s="31" t="s">
        <v>204</v>
      </c>
      <c r="E450" s="31" t="s">
        <v>1517</v>
      </c>
      <c r="F450" s="31" t="s">
        <v>469</v>
      </c>
      <c r="G450" s="31" t="s">
        <v>461</v>
      </c>
      <c r="H450" s="31" t="s">
        <v>41</v>
      </c>
      <c r="I450" s="31" t="n">
        <f aca="false">VLOOKUP(H450,Paramètres!$A$15:$B$19,2,FALSE())</f>
        <v>1</v>
      </c>
      <c r="J450" s="31" t="n">
        <v>3</v>
      </c>
      <c r="K450" s="50" t="str">
        <f aca="false">C450&amp;"|"&amp;J450</f>
        <v>API-WALL|3</v>
      </c>
      <c r="L450" s="31" t="s">
        <v>1514</v>
      </c>
      <c r="M450" s="31" t="n">
        <v>2</v>
      </c>
      <c r="N450" s="51" t="s">
        <v>462</v>
      </c>
      <c r="O450" s="35" t="s">
        <v>78</v>
      </c>
      <c r="P450" s="52"/>
      <c r="Q450" s="52"/>
      <c r="R450" s="33" t="n">
        <f aca="false">INDEX(Épopées!$L$6:$L$59,MATCH(K450,Épopées!$A$6:$A$59,0))</f>
        <v>46653</v>
      </c>
      <c r="S450" s="33" t="n">
        <f aca="false">INDEX(Épopées!$M$6:$M$59,MATCH(K450,Épopées!$A$6:$A$59,0))</f>
        <v>46667</v>
      </c>
      <c r="T450" s="53" t="s">
        <v>463</v>
      </c>
    </row>
    <row r="451" customFormat="false" ht="15" hidden="false" customHeight="false" outlineLevel="0" collapsed="false">
      <c r="A451" s="31" t="s">
        <v>1518</v>
      </c>
      <c r="B451" s="31" t="s">
        <v>301</v>
      </c>
      <c r="C451" s="31" t="s">
        <v>340</v>
      </c>
      <c r="D451" s="31" t="s">
        <v>204</v>
      </c>
      <c r="E451" s="31" t="s">
        <v>1519</v>
      </c>
      <c r="F451" s="31" t="s">
        <v>469</v>
      </c>
      <c r="G451" s="31" t="s">
        <v>461</v>
      </c>
      <c r="H451" s="31" t="s">
        <v>41</v>
      </c>
      <c r="I451" s="31" t="n">
        <f aca="false">VLOOKUP(H451,Paramètres!$A$15:$B$19,2,FALSE())</f>
        <v>1</v>
      </c>
      <c r="J451" s="31" t="n">
        <v>3</v>
      </c>
      <c r="K451" s="50" t="str">
        <f aca="false">C451&amp;"|"&amp;J451</f>
        <v>API-WALL|3</v>
      </c>
      <c r="L451" s="31" t="s">
        <v>1516</v>
      </c>
      <c r="M451" s="31" t="n">
        <v>2</v>
      </c>
      <c r="N451" s="51" t="s">
        <v>462</v>
      </c>
      <c r="O451" s="35" t="s">
        <v>78</v>
      </c>
      <c r="P451" s="52"/>
      <c r="Q451" s="52"/>
      <c r="R451" s="33" t="n">
        <f aca="false">INDEX(Épopées!$L$6:$L$59,MATCH(K451,Épopées!$A$6:$A$59,0))</f>
        <v>46653</v>
      </c>
      <c r="S451" s="33" t="n">
        <f aca="false">INDEX(Épopées!$M$6:$M$59,MATCH(K451,Épopées!$A$6:$A$59,0))</f>
        <v>46667</v>
      </c>
      <c r="T451" s="53" t="s">
        <v>463</v>
      </c>
    </row>
    <row r="452" customFormat="false" ht="15" hidden="false" customHeight="false" outlineLevel="0" collapsed="false">
      <c r="A452" s="31" t="s">
        <v>1520</v>
      </c>
      <c r="B452" s="31" t="s">
        <v>301</v>
      </c>
      <c r="C452" s="31" t="s">
        <v>340</v>
      </c>
      <c r="D452" s="31" t="s">
        <v>204</v>
      </c>
      <c r="E452" s="31" t="s">
        <v>1521</v>
      </c>
      <c r="F452" s="31" t="s">
        <v>460</v>
      </c>
      <c r="G452" s="31" t="s">
        <v>461</v>
      </c>
      <c r="H452" s="31" t="s">
        <v>39</v>
      </c>
      <c r="I452" s="31" t="n">
        <f aca="false">VLOOKUP(H452,Paramètres!$A$15:$B$19,2,FALSE())</f>
        <v>0.5</v>
      </c>
      <c r="J452" s="31" t="n">
        <v>3</v>
      </c>
      <c r="K452" s="50" t="str">
        <f aca="false">C452&amp;"|"&amp;J452</f>
        <v>API-WALL|3</v>
      </c>
      <c r="L452" s="31" t="s">
        <v>1522</v>
      </c>
      <c r="M452" s="31" t="n">
        <v>2</v>
      </c>
      <c r="N452" s="51" t="s">
        <v>462</v>
      </c>
      <c r="O452" s="35" t="s">
        <v>78</v>
      </c>
      <c r="P452" s="52"/>
      <c r="Q452" s="52"/>
      <c r="R452" s="33" t="n">
        <f aca="false">INDEX(Épopées!$L$6:$L$59,MATCH(K452,Épopées!$A$6:$A$59,0))</f>
        <v>46653</v>
      </c>
      <c r="S452" s="33" t="n">
        <f aca="false">INDEX(Épopées!$M$6:$M$59,MATCH(K452,Épopées!$A$6:$A$59,0))</f>
        <v>46667</v>
      </c>
      <c r="T452" s="53" t="s">
        <v>463</v>
      </c>
    </row>
    <row r="453" customFormat="false" ht="15" hidden="false" customHeight="false" outlineLevel="0" collapsed="false">
      <c r="A453" s="31" t="s">
        <v>1523</v>
      </c>
      <c r="B453" s="31" t="s">
        <v>301</v>
      </c>
      <c r="C453" s="31" t="s">
        <v>340</v>
      </c>
      <c r="D453" s="31" t="s">
        <v>204</v>
      </c>
      <c r="E453" s="31" t="s">
        <v>1524</v>
      </c>
      <c r="F453" s="31" t="s">
        <v>491</v>
      </c>
      <c r="G453" s="31" t="s">
        <v>461</v>
      </c>
      <c r="H453" s="31" t="s">
        <v>39</v>
      </c>
      <c r="I453" s="31" t="n">
        <f aca="false">VLOOKUP(H453,Paramètres!$A$15:$B$19,2,FALSE())</f>
        <v>0.5</v>
      </c>
      <c r="J453" s="31" t="n">
        <v>3</v>
      </c>
      <c r="K453" s="50" t="str">
        <f aca="false">C453&amp;"|"&amp;J453</f>
        <v>API-WALL|3</v>
      </c>
      <c r="L453" s="31" t="s">
        <v>1508</v>
      </c>
      <c r="M453" s="31" t="n">
        <v>3</v>
      </c>
      <c r="N453" s="51" t="s">
        <v>462</v>
      </c>
      <c r="O453" s="35" t="s">
        <v>78</v>
      </c>
      <c r="P453" s="52"/>
      <c r="Q453" s="52"/>
      <c r="R453" s="33" t="n">
        <f aca="false">INDEX(Épopées!$L$6:$L$59,MATCH(K453,Épopées!$A$6:$A$59,0))</f>
        <v>46653</v>
      </c>
      <c r="S453" s="33" t="n">
        <f aca="false">INDEX(Épopées!$M$6:$M$59,MATCH(K453,Épopées!$A$6:$A$59,0))</f>
        <v>46667</v>
      </c>
      <c r="T453" s="53" t="s">
        <v>463</v>
      </c>
    </row>
    <row r="454" customFormat="false" ht="15" hidden="false" customHeight="false" outlineLevel="0" collapsed="false">
      <c r="A454" s="31" t="s">
        <v>1525</v>
      </c>
      <c r="B454" s="31" t="s">
        <v>301</v>
      </c>
      <c r="C454" s="31" t="s">
        <v>340</v>
      </c>
      <c r="D454" s="31" t="s">
        <v>204</v>
      </c>
      <c r="E454" s="31" t="s">
        <v>1526</v>
      </c>
      <c r="F454" s="31" t="s">
        <v>460</v>
      </c>
      <c r="G454" s="31" t="s">
        <v>461</v>
      </c>
      <c r="H454" s="31" t="s">
        <v>41</v>
      </c>
      <c r="I454" s="31" t="n">
        <f aca="false">VLOOKUP(H454,Paramètres!$A$15:$B$19,2,FALSE())</f>
        <v>1</v>
      </c>
      <c r="J454" s="31" t="n">
        <v>3</v>
      </c>
      <c r="K454" s="50" t="str">
        <f aca="false">C454&amp;"|"&amp;J454</f>
        <v>API-WALL|3</v>
      </c>
      <c r="L454" s="31" t="s">
        <v>1527</v>
      </c>
      <c r="M454" s="31" t="n">
        <v>3</v>
      </c>
      <c r="N454" s="51" t="s">
        <v>462</v>
      </c>
      <c r="O454" s="35" t="s">
        <v>78</v>
      </c>
      <c r="P454" s="52"/>
      <c r="Q454" s="52"/>
      <c r="R454" s="33" t="n">
        <f aca="false">INDEX(Épopées!$L$6:$L$59,MATCH(K454,Épopées!$A$6:$A$59,0))</f>
        <v>46653</v>
      </c>
      <c r="S454" s="33" t="n">
        <f aca="false">INDEX(Épopées!$M$6:$M$59,MATCH(K454,Épopées!$A$6:$A$59,0))</f>
        <v>46667</v>
      </c>
      <c r="T454" s="53" t="s">
        <v>463</v>
      </c>
    </row>
    <row r="455" customFormat="false" ht="15" hidden="false" customHeight="false" outlineLevel="0" collapsed="false">
      <c r="A455" s="31" t="s">
        <v>1528</v>
      </c>
      <c r="B455" s="31" t="s">
        <v>301</v>
      </c>
      <c r="C455" s="31" t="s">
        <v>340</v>
      </c>
      <c r="D455" s="31" t="s">
        <v>204</v>
      </c>
      <c r="E455" s="31" t="s">
        <v>1529</v>
      </c>
      <c r="F455" s="31" t="s">
        <v>481</v>
      </c>
      <c r="G455" s="31" t="s">
        <v>461</v>
      </c>
      <c r="H455" s="31" t="s">
        <v>41</v>
      </c>
      <c r="I455" s="31" t="n">
        <f aca="false">VLOOKUP(H455,Paramètres!$A$15:$B$19,2,FALSE())</f>
        <v>1</v>
      </c>
      <c r="J455" s="31" t="n">
        <v>3</v>
      </c>
      <c r="K455" s="50" t="str">
        <f aca="false">C455&amp;"|"&amp;J455</f>
        <v>API-WALL|3</v>
      </c>
      <c r="L455" s="31"/>
      <c r="M455" s="31" t="n">
        <v>3</v>
      </c>
      <c r="N455" s="51" t="s">
        <v>462</v>
      </c>
      <c r="O455" s="35" t="s">
        <v>78</v>
      </c>
      <c r="P455" s="52"/>
      <c r="Q455" s="52"/>
      <c r="R455" s="33" t="n">
        <f aca="false">INDEX(Épopées!$L$6:$L$59,MATCH(K455,Épopées!$A$6:$A$59,0))</f>
        <v>46653</v>
      </c>
      <c r="S455" s="33" t="n">
        <f aca="false">INDEX(Épopées!$M$6:$M$59,MATCH(K455,Épopées!$A$6:$A$59,0))</f>
        <v>46667</v>
      </c>
      <c r="T455" s="53" t="s">
        <v>463</v>
      </c>
    </row>
    <row r="456" customFormat="false" ht="15" hidden="false" customHeight="false" outlineLevel="0" collapsed="false">
      <c r="A456" s="31" t="s">
        <v>1530</v>
      </c>
      <c r="B456" s="31" t="s">
        <v>301</v>
      </c>
      <c r="C456" s="31" t="s">
        <v>340</v>
      </c>
      <c r="D456" s="31" t="s">
        <v>204</v>
      </c>
      <c r="E456" s="31" t="s">
        <v>1531</v>
      </c>
      <c r="F456" s="31" t="s">
        <v>481</v>
      </c>
      <c r="G456" s="31" t="s">
        <v>461</v>
      </c>
      <c r="H456" s="31" t="s">
        <v>43</v>
      </c>
      <c r="I456" s="31" t="n">
        <f aca="false">VLOOKUP(H456,Paramètres!$A$15:$B$19,2,FALSE())</f>
        <v>2</v>
      </c>
      <c r="J456" s="31" t="n">
        <v>3</v>
      </c>
      <c r="K456" s="50" t="str">
        <f aca="false">C456&amp;"|"&amp;J456</f>
        <v>API-WALL|3</v>
      </c>
      <c r="L456" s="31" t="s">
        <v>1532</v>
      </c>
      <c r="M456" s="31" t="n">
        <v>3</v>
      </c>
      <c r="N456" s="51" t="s">
        <v>462</v>
      </c>
      <c r="O456" s="35" t="s">
        <v>78</v>
      </c>
      <c r="P456" s="52"/>
      <c r="Q456" s="52"/>
      <c r="R456" s="33" t="n">
        <f aca="false">INDEX(Épopées!$L$6:$L$59,MATCH(K456,Épopées!$A$6:$A$59,0))</f>
        <v>46653</v>
      </c>
      <c r="S456" s="33" t="n">
        <f aca="false">INDEX(Épopées!$M$6:$M$59,MATCH(K456,Épopées!$A$6:$A$59,0))</f>
        <v>46667</v>
      </c>
      <c r="T456" s="53" t="s">
        <v>463</v>
      </c>
    </row>
    <row r="457" customFormat="false" ht="15" hidden="false" customHeight="false" outlineLevel="0" collapsed="false">
      <c r="A457" s="31" t="s">
        <v>1533</v>
      </c>
      <c r="B457" s="31" t="s">
        <v>301</v>
      </c>
      <c r="C457" s="31" t="s">
        <v>340</v>
      </c>
      <c r="D457" s="31" t="s">
        <v>204</v>
      </c>
      <c r="E457" s="31" t="s">
        <v>1534</v>
      </c>
      <c r="F457" s="31" t="s">
        <v>481</v>
      </c>
      <c r="G457" s="31" t="s">
        <v>461</v>
      </c>
      <c r="H457" s="31" t="s">
        <v>41</v>
      </c>
      <c r="I457" s="31" t="n">
        <f aca="false">VLOOKUP(H457,Paramètres!$A$15:$B$19,2,FALSE())</f>
        <v>1</v>
      </c>
      <c r="J457" s="31" t="n">
        <v>3</v>
      </c>
      <c r="K457" s="50" t="str">
        <f aca="false">C457&amp;"|"&amp;J457</f>
        <v>API-WALL|3</v>
      </c>
      <c r="L457" s="31"/>
      <c r="M457" s="31" t="n">
        <v>3</v>
      </c>
      <c r="N457" s="51" t="s">
        <v>462</v>
      </c>
      <c r="O457" s="35" t="s">
        <v>78</v>
      </c>
      <c r="P457" s="52"/>
      <c r="Q457" s="52"/>
      <c r="R457" s="33" t="n">
        <f aca="false">INDEX(Épopées!$L$6:$L$59,MATCH(K457,Épopées!$A$6:$A$59,0))</f>
        <v>46653</v>
      </c>
      <c r="S457" s="33" t="n">
        <f aca="false">INDEX(Épopées!$M$6:$M$59,MATCH(K457,Épopées!$A$6:$A$59,0))</f>
        <v>46667</v>
      </c>
      <c r="T457" s="53" t="s">
        <v>463</v>
      </c>
    </row>
    <row r="458" customFormat="false" ht="15" hidden="false" customHeight="false" outlineLevel="0" collapsed="false">
      <c r="A458" s="31" t="s">
        <v>1535</v>
      </c>
      <c r="B458" s="31" t="s">
        <v>301</v>
      </c>
      <c r="C458" s="31" t="s">
        <v>340</v>
      </c>
      <c r="D458" s="31" t="s">
        <v>204</v>
      </c>
      <c r="E458" s="31" t="s">
        <v>1536</v>
      </c>
      <c r="F458" s="31" t="s">
        <v>469</v>
      </c>
      <c r="G458" s="31" t="s">
        <v>461</v>
      </c>
      <c r="H458" s="31" t="s">
        <v>39</v>
      </c>
      <c r="I458" s="31" t="n">
        <f aca="false">VLOOKUP(H458,Paramètres!$A$15:$B$19,2,FALSE())</f>
        <v>0.5</v>
      </c>
      <c r="J458" s="31" t="n">
        <v>3</v>
      </c>
      <c r="K458" s="50" t="str">
        <f aca="false">C458&amp;"|"&amp;J458</f>
        <v>API-WALL|3</v>
      </c>
      <c r="L458" s="31" t="s">
        <v>1537</v>
      </c>
      <c r="M458" s="31" t="n">
        <v>3</v>
      </c>
      <c r="N458" s="51" t="s">
        <v>462</v>
      </c>
      <c r="O458" s="35" t="s">
        <v>78</v>
      </c>
      <c r="P458" s="52"/>
      <c r="Q458" s="52"/>
      <c r="R458" s="33" t="n">
        <f aca="false">INDEX(Épopées!$L$6:$L$59,MATCH(K458,Épopées!$A$6:$A$59,0))</f>
        <v>46653</v>
      </c>
      <c r="S458" s="33" t="n">
        <f aca="false">INDEX(Épopées!$M$6:$M$59,MATCH(K458,Épopées!$A$6:$A$59,0))</f>
        <v>46667</v>
      </c>
      <c r="T458" s="53" t="s">
        <v>463</v>
      </c>
    </row>
    <row r="459" customFormat="false" ht="15" hidden="false" customHeight="false" outlineLevel="0" collapsed="false">
      <c r="A459" s="31" t="s">
        <v>1538</v>
      </c>
      <c r="B459" s="31" t="s">
        <v>301</v>
      </c>
      <c r="C459" s="31" t="s">
        <v>340</v>
      </c>
      <c r="D459" s="31" t="s">
        <v>204</v>
      </c>
      <c r="E459" s="31" t="s">
        <v>1539</v>
      </c>
      <c r="F459" s="31" t="s">
        <v>491</v>
      </c>
      <c r="G459" s="31" t="s">
        <v>461</v>
      </c>
      <c r="H459" s="31" t="s">
        <v>39</v>
      </c>
      <c r="I459" s="31" t="n">
        <f aca="false">VLOOKUP(H459,Paramètres!$A$15:$B$19,2,FALSE())</f>
        <v>0.5</v>
      </c>
      <c r="J459" s="31" t="n">
        <v>3</v>
      </c>
      <c r="K459" s="50" t="str">
        <f aca="false">C459&amp;"|"&amp;J459</f>
        <v>API-WALL|3</v>
      </c>
      <c r="L459" s="31" t="s">
        <v>1528</v>
      </c>
      <c r="M459" s="31" t="n">
        <v>3</v>
      </c>
      <c r="N459" s="51" t="s">
        <v>462</v>
      </c>
      <c r="O459" s="35" t="s">
        <v>78</v>
      </c>
      <c r="P459" s="52"/>
      <c r="Q459" s="52"/>
      <c r="R459" s="33" t="n">
        <f aca="false">INDEX(Épopées!$L$6:$L$59,MATCH(K459,Épopées!$A$6:$A$59,0))</f>
        <v>46653</v>
      </c>
      <c r="S459" s="33" t="n">
        <f aca="false">INDEX(Épopées!$M$6:$M$59,MATCH(K459,Épopées!$A$6:$A$59,0))</f>
        <v>46667</v>
      </c>
      <c r="T459" s="53" t="s">
        <v>463</v>
      </c>
    </row>
    <row r="460" customFormat="false" ht="15" hidden="false" customHeight="false" outlineLevel="0" collapsed="false">
      <c r="A460" s="31" t="s">
        <v>1540</v>
      </c>
      <c r="B460" s="31" t="s">
        <v>301</v>
      </c>
      <c r="C460" s="31" t="s">
        <v>340</v>
      </c>
      <c r="D460" s="31" t="s">
        <v>204</v>
      </c>
      <c r="E460" s="31" t="s">
        <v>1541</v>
      </c>
      <c r="F460" s="31" t="s">
        <v>469</v>
      </c>
      <c r="G460" s="31" t="s">
        <v>461</v>
      </c>
      <c r="H460" s="31" t="s">
        <v>41</v>
      </c>
      <c r="I460" s="31" t="n">
        <f aca="false">VLOOKUP(H460,Paramètres!$A$15:$B$19,2,FALSE())</f>
        <v>1</v>
      </c>
      <c r="J460" s="31" t="n">
        <v>3</v>
      </c>
      <c r="K460" s="50" t="str">
        <f aca="false">C460&amp;"|"&amp;J460</f>
        <v>API-WALL|3</v>
      </c>
      <c r="L460" s="31" t="s">
        <v>1542</v>
      </c>
      <c r="M460" s="31" t="n">
        <v>3</v>
      </c>
      <c r="N460" s="51" t="s">
        <v>462</v>
      </c>
      <c r="O460" s="35" t="s">
        <v>78</v>
      </c>
      <c r="P460" s="52"/>
      <c r="Q460" s="52"/>
      <c r="R460" s="33" t="n">
        <f aca="false">INDEX(Épopées!$L$6:$L$59,MATCH(K460,Épopées!$A$6:$A$59,0))</f>
        <v>46653</v>
      </c>
      <c r="S460" s="33" t="n">
        <f aca="false">INDEX(Épopées!$M$6:$M$59,MATCH(K460,Épopées!$A$6:$A$59,0))</f>
        <v>46667</v>
      </c>
      <c r="T460" s="53" t="s">
        <v>463</v>
      </c>
    </row>
    <row r="461" customFormat="false" ht="15" hidden="false" customHeight="false" outlineLevel="0" collapsed="false">
      <c r="A461" s="31" t="s">
        <v>1543</v>
      </c>
      <c r="B461" s="31" t="s">
        <v>301</v>
      </c>
      <c r="C461" s="31" t="s">
        <v>340</v>
      </c>
      <c r="D461" s="31" t="s">
        <v>204</v>
      </c>
      <c r="E461" s="31" t="s">
        <v>1544</v>
      </c>
      <c r="F461" s="31" t="s">
        <v>460</v>
      </c>
      <c r="G461" s="31" t="s">
        <v>461</v>
      </c>
      <c r="H461" s="31" t="s">
        <v>39</v>
      </c>
      <c r="I461" s="31" t="n">
        <f aca="false">VLOOKUP(H461,Paramètres!$A$15:$B$19,2,FALSE())</f>
        <v>0.5</v>
      </c>
      <c r="J461" s="31" t="n">
        <v>3</v>
      </c>
      <c r="K461" s="50" t="str">
        <f aca="false">C461&amp;"|"&amp;J461</f>
        <v>API-WALL|3</v>
      </c>
      <c r="L461" s="31" t="s">
        <v>1545</v>
      </c>
      <c r="M461" s="31" t="n">
        <v>3</v>
      </c>
      <c r="N461" s="51" t="s">
        <v>462</v>
      </c>
      <c r="O461" s="35" t="s">
        <v>78</v>
      </c>
      <c r="P461" s="52"/>
      <c r="Q461" s="52"/>
      <c r="R461" s="33" t="n">
        <f aca="false">INDEX(Épopées!$L$6:$L$59,MATCH(K461,Épopées!$A$6:$A$59,0))</f>
        <v>46653</v>
      </c>
      <c r="S461" s="33" t="n">
        <f aca="false">INDEX(Épopées!$M$6:$M$59,MATCH(K461,Épopées!$A$6:$A$59,0))</f>
        <v>46667</v>
      </c>
      <c r="T461" s="53" t="s">
        <v>463</v>
      </c>
    </row>
    <row r="462" customFormat="false" ht="15" hidden="false" customHeight="false" outlineLevel="0" collapsed="false">
      <c r="A462" s="31" t="s">
        <v>1546</v>
      </c>
      <c r="B462" s="31" t="s">
        <v>301</v>
      </c>
      <c r="C462" s="31" t="s">
        <v>340</v>
      </c>
      <c r="D462" s="31" t="s">
        <v>204</v>
      </c>
      <c r="E462" s="31" t="s">
        <v>1547</v>
      </c>
      <c r="F462" s="31" t="s">
        <v>491</v>
      </c>
      <c r="G462" s="31" t="s">
        <v>461</v>
      </c>
      <c r="H462" s="31" t="s">
        <v>39</v>
      </c>
      <c r="I462" s="31" t="n">
        <f aca="false">VLOOKUP(H462,Paramètres!$A$15:$B$19,2,FALSE())</f>
        <v>0.5</v>
      </c>
      <c r="J462" s="31" t="n">
        <v>3</v>
      </c>
      <c r="K462" s="50" t="str">
        <f aca="false">C462&amp;"|"&amp;J462</f>
        <v>API-WALL|3</v>
      </c>
      <c r="L462" s="31" t="s">
        <v>1548</v>
      </c>
      <c r="M462" s="31" t="n">
        <v>2</v>
      </c>
      <c r="N462" s="51" t="s">
        <v>462</v>
      </c>
      <c r="O462" s="35" t="s">
        <v>78</v>
      </c>
      <c r="P462" s="52"/>
      <c r="Q462" s="52"/>
      <c r="R462" s="33" t="n">
        <f aca="false">INDEX(Épopées!$L$6:$L$59,MATCH(K462,Épopées!$A$6:$A$59,0))</f>
        <v>46653</v>
      </c>
      <c r="S462" s="33" t="n">
        <f aca="false">INDEX(Épopées!$M$6:$M$59,MATCH(K462,Épopées!$A$6:$A$59,0))</f>
        <v>46667</v>
      </c>
      <c r="T462" s="53" t="s">
        <v>463</v>
      </c>
    </row>
    <row r="463" customFormat="false" ht="15" hidden="false" customHeight="false" outlineLevel="0" collapsed="false">
      <c r="A463" s="31" t="s">
        <v>1549</v>
      </c>
      <c r="B463" s="31" t="s">
        <v>301</v>
      </c>
      <c r="C463" s="31" t="s">
        <v>340</v>
      </c>
      <c r="D463" s="31" t="s">
        <v>204</v>
      </c>
      <c r="E463" s="31" t="s">
        <v>1550</v>
      </c>
      <c r="F463" s="31" t="s">
        <v>460</v>
      </c>
      <c r="G463" s="31" t="s">
        <v>461</v>
      </c>
      <c r="H463" s="31" t="s">
        <v>39</v>
      </c>
      <c r="I463" s="31" t="n">
        <f aca="false">VLOOKUP(H463,Paramètres!$A$15:$B$19,2,FALSE())</f>
        <v>0.5</v>
      </c>
      <c r="J463" s="31" t="n">
        <v>3</v>
      </c>
      <c r="K463" s="50" t="str">
        <f aca="false">C463&amp;"|"&amp;J463</f>
        <v>API-WALL|3</v>
      </c>
      <c r="L463" s="31" t="s">
        <v>1535</v>
      </c>
      <c r="M463" s="31" t="n">
        <v>2</v>
      </c>
      <c r="N463" s="51" t="s">
        <v>462</v>
      </c>
      <c r="O463" s="35" t="s">
        <v>78</v>
      </c>
      <c r="P463" s="52"/>
      <c r="Q463" s="52"/>
      <c r="R463" s="33" t="n">
        <f aca="false">INDEX(Épopées!$L$6:$L$59,MATCH(K463,Épopées!$A$6:$A$59,0))</f>
        <v>46653</v>
      </c>
      <c r="S463" s="33" t="n">
        <f aca="false">INDEX(Épopées!$M$6:$M$59,MATCH(K463,Épopées!$A$6:$A$59,0))</f>
        <v>46667</v>
      </c>
      <c r="T463" s="53" t="s">
        <v>463</v>
      </c>
    </row>
    <row r="464" customFormat="false" ht="15" hidden="false" customHeight="false" outlineLevel="0" collapsed="false">
      <c r="A464" s="31" t="s">
        <v>1551</v>
      </c>
      <c r="B464" s="31" t="s">
        <v>301</v>
      </c>
      <c r="C464" s="31" t="s">
        <v>340</v>
      </c>
      <c r="D464" s="31" t="s">
        <v>204</v>
      </c>
      <c r="E464" s="31" t="s">
        <v>1552</v>
      </c>
      <c r="F464" s="31" t="s">
        <v>460</v>
      </c>
      <c r="G464" s="31" t="s">
        <v>466</v>
      </c>
      <c r="H464" s="31" t="s">
        <v>39</v>
      </c>
      <c r="I464" s="31" t="n">
        <f aca="false">VLOOKUP(H464,Paramètres!$A$15:$B$19,2,FALSE())</f>
        <v>0.5</v>
      </c>
      <c r="J464" s="31" t="n">
        <v>3</v>
      </c>
      <c r="K464" s="50" t="str">
        <f aca="false">C464&amp;"|"&amp;J464</f>
        <v>API-WALL|3</v>
      </c>
      <c r="L464" s="31" t="s">
        <v>1549</v>
      </c>
      <c r="M464" s="31" t="n">
        <v>2</v>
      </c>
      <c r="N464" s="51" t="s">
        <v>462</v>
      </c>
      <c r="O464" s="35" t="s">
        <v>78</v>
      </c>
      <c r="P464" s="52"/>
      <c r="Q464" s="52"/>
      <c r="R464" s="33" t="n">
        <f aca="false">INDEX(Épopées!$L$6:$L$59,MATCH(K464,Épopées!$A$6:$A$59,0))</f>
        <v>46653</v>
      </c>
      <c r="S464" s="33" t="n">
        <f aca="false">INDEX(Épopées!$M$6:$M$59,MATCH(K464,Épopées!$A$6:$A$59,0))</f>
        <v>46667</v>
      </c>
      <c r="T464" s="53" t="s">
        <v>463</v>
      </c>
    </row>
    <row r="465" customFormat="false" ht="15" hidden="false" customHeight="false" outlineLevel="0" collapsed="false">
      <c r="A465" s="31" t="s">
        <v>1553</v>
      </c>
      <c r="B465" s="31" t="s">
        <v>301</v>
      </c>
      <c r="C465" s="31" t="s">
        <v>340</v>
      </c>
      <c r="D465" s="31" t="s">
        <v>204</v>
      </c>
      <c r="E465" s="31" t="s">
        <v>1554</v>
      </c>
      <c r="F465" s="31" t="s">
        <v>460</v>
      </c>
      <c r="G465" s="31" t="s">
        <v>466</v>
      </c>
      <c r="H465" s="31" t="s">
        <v>39</v>
      </c>
      <c r="I465" s="31" t="n">
        <f aca="false">VLOOKUP(H465,Paramètres!$A$15:$B$19,2,FALSE())</f>
        <v>0.5</v>
      </c>
      <c r="J465" s="31" t="n">
        <v>3</v>
      </c>
      <c r="K465" s="50" t="str">
        <f aca="false">C465&amp;"|"&amp;J465</f>
        <v>API-WALL|3</v>
      </c>
      <c r="L465" s="31" t="s">
        <v>1555</v>
      </c>
      <c r="M465" s="31" t="n">
        <v>3</v>
      </c>
      <c r="N465" s="51" t="s">
        <v>462</v>
      </c>
      <c r="O465" s="35" t="s">
        <v>78</v>
      </c>
      <c r="P465" s="52"/>
      <c r="Q465" s="52"/>
      <c r="R465" s="33" t="n">
        <f aca="false">INDEX(Épopées!$L$6:$L$59,MATCH(K465,Épopées!$A$6:$A$59,0))</f>
        <v>46653</v>
      </c>
      <c r="S465" s="33" t="n">
        <f aca="false">INDEX(Épopées!$M$6:$M$59,MATCH(K465,Épopées!$A$6:$A$59,0))</f>
        <v>46667</v>
      </c>
      <c r="T465" s="53" t="s">
        <v>463</v>
      </c>
    </row>
    <row r="466" customFormat="false" ht="15" hidden="false" customHeight="false" outlineLevel="0" collapsed="false">
      <c r="A466" s="31" t="s">
        <v>1556</v>
      </c>
      <c r="B466" s="31" t="s">
        <v>301</v>
      </c>
      <c r="C466" s="31" t="s">
        <v>340</v>
      </c>
      <c r="D466" s="31" t="s">
        <v>204</v>
      </c>
      <c r="E466" s="31" t="s">
        <v>1557</v>
      </c>
      <c r="F466" s="31" t="s">
        <v>491</v>
      </c>
      <c r="G466" s="31" t="s">
        <v>466</v>
      </c>
      <c r="H466" s="31" t="s">
        <v>39</v>
      </c>
      <c r="I466" s="31" t="n">
        <f aca="false">VLOOKUP(H466,Paramètres!$A$15:$B$19,2,FALSE())</f>
        <v>0.5</v>
      </c>
      <c r="J466" s="31" t="n">
        <v>3</v>
      </c>
      <c r="K466" s="50" t="str">
        <f aca="false">C466&amp;"|"&amp;J466</f>
        <v>API-WALL|3</v>
      </c>
      <c r="L466" s="31" t="s">
        <v>1558</v>
      </c>
      <c r="M466" s="31" t="n">
        <v>2</v>
      </c>
      <c r="N466" s="51" t="s">
        <v>462</v>
      </c>
      <c r="O466" s="35" t="s">
        <v>78</v>
      </c>
      <c r="P466" s="52"/>
      <c r="Q466" s="52"/>
      <c r="R466" s="33" t="n">
        <f aca="false">INDEX(Épopées!$L$6:$L$59,MATCH(K466,Épopées!$A$6:$A$59,0))</f>
        <v>46653</v>
      </c>
      <c r="S466" s="33" t="n">
        <f aca="false">INDEX(Épopées!$M$6:$M$59,MATCH(K466,Épopées!$A$6:$A$59,0))</f>
        <v>46667</v>
      </c>
      <c r="T466" s="53" t="s">
        <v>463</v>
      </c>
    </row>
    <row r="467" customFormat="false" ht="15" hidden="false" customHeight="false" outlineLevel="0" collapsed="false">
      <c r="A467" s="31" t="s">
        <v>1559</v>
      </c>
      <c r="B467" s="31" t="s">
        <v>301</v>
      </c>
      <c r="C467" s="31" t="s">
        <v>340</v>
      </c>
      <c r="D467" s="31" t="s">
        <v>204</v>
      </c>
      <c r="E467" s="31" t="s">
        <v>1560</v>
      </c>
      <c r="F467" s="31" t="s">
        <v>491</v>
      </c>
      <c r="G467" s="31" t="s">
        <v>461</v>
      </c>
      <c r="H467" s="31" t="s">
        <v>39</v>
      </c>
      <c r="I467" s="31" t="n">
        <f aca="false">VLOOKUP(H467,Paramètres!$A$15:$B$19,2,FALSE())</f>
        <v>0.5</v>
      </c>
      <c r="J467" s="31" t="n">
        <v>3</v>
      </c>
      <c r="K467" s="50" t="str">
        <f aca="false">C467&amp;"|"&amp;J467</f>
        <v>API-WALL|3</v>
      </c>
      <c r="L467" s="31" t="s">
        <v>1546</v>
      </c>
      <c r="M467" s="31" t="n">
        <v>2</v>
      </c>
      <c r="N467" s="51" t="s">
        <v>462</v>
      </c>
      <c r="O467" s="35" t="s">
        <v>78</v>
      </c>
      <c r="P467" s="52"/>
      <c r="Q467" s="52"/>
      <c r="R467" s="33" t="n">
        <f aca="false">INDEX(Épopées!$L$6:$L$59,MATCH(K467,Épopées!$A$6:$A$59,0))</f>
        <v>46653</v>
      </c>
      <c r="S467" s="33" t="n">
        <f aca="false">INDEX(Épopées!$M$6:$M$59,MATCH(K467,Épopées!$A$6:$A$59,0))</f>
        <v>46667</v>
      </c>
      <c r="T467" s="53" t="s">
        <v>463</v>
      </c>
    </row>
    <row r="468" customFormat="false" ht="15" hidden="false" customHeight="false" outlineLevel="0" collapsed="false">
      <c r="A468" s="31" t="s">
        <v>1561</v>
      </c>
      <c r="B468" s="31" t="s">
        <v>301</v>
      </c>
      <c r="C468" s="31" t="s">
        <v>340</v>
      </c>
      <c r="D468" s="31" t="s">
        <v>204</v>
      </c>
      <c r="E468" s="31" t="s">
        <v>1562</v>
      </c>
      <c r="F468" s="31" t="s">
        <v>469</v>
      </c>
      <c r="G468" s="31" t="s">
        <v>461</v>
      </c>
      <c r="H468" s="31" t="s">
        <v>37</v>
      </c>
      <c r="I468" s="31" t="n">
        <f aca="false">VLOOKUP(H468,Paramètres!$A$15:$B$19,2,FALSE())</f>
        <v>0.25</v>
      </c>
      <c r="J468" s="31" t="n">
        <v>3</v>
      </c>
      <c r="K468" s="50" t="str">
        <f aca="false">C468&amp;"|"&amp;J468</f>
        <v>API-WALL|3</v>
      </c>
      <c r="L468" s="31" t="s">
        <v>1563</v>
      </c>
      <c r="M468" s="31" t="n">
        <v>3</v>
      </c>
      <c r="N468" s="51" t="s">
        <v>462</v>
      </c>
      <c r="O468" s="35" t="s">
        <v>78</v>
      </c>
      <c r="P468" s="52"/>
      <c r="Q468" s="52"/>
      <c r="R468" s="33" t="n">
        <f aca="false">INDEX(Épopées!$L$6:$L$59,MATCH(K468,Épopées!$A$6:$A$59,0))</f>
        <v>46653</v>
      </c>
      <c r="S468" s="33" t="n">
        <f aca="false">INDEX(Épopées!$M$6:$M$59,MATCH(K468,Épopées!$A$6:$A$59,0))</f>
        <v>46667</v>
      </c>
      <c r="T468" s="53" t="s">
        <v>463</v>
      </c>
    </row>
    <row r="469" customFormat="false" ht="15" hidden="false" customHeight="false" outlineLevel="0" collapsed="false">
      <c r="A469" s="31" t="s">
        <v>1564</v>
      </c>
      <c r="B469" s="31" t="s">
        <v>301</v>
      </c>
      <c r="C469" s="31" t="s">
        <v>340</v>
      </c>
      <c r="D469" s="31" t="s">
        <v>204</v>
      </c>
      <c r="E469" s="31" t="s">
        <v>1565</v>
      </c>
      <c r="F469" s="31" t="s">
        <v>491</v>
      </c>
      <c r="G469" s="31" t="s">
        <v>612</v>
      </c>
      <c r="H469" s="31" t="s">
        <v>39</v>
      </c>
      <c r="I469" s="31" t="n">
        <f aca="false">VLOOKUP(H469,Paramètres!$A$15:$B$19,2,FALSE())</f>
        <v>0.5</v>
      </c>
      <c r="J469" s="31" t="n">
        <v>3</v>
      </c>
      <c r="K469" s="50" t="str">
        <f aca="false">C469&amp;"|"&amp;J469</f>
        <v>API-WALL|3</v>
      </c>
      <c r="L469" s="31" t="s">
        <v>1566</v>
      </c>
      <c r="M469" s="31" t="n">
        <v>1</v>
      </c>
      <c r="N469" s="51" t="s">
        <v>462</v>
      </c>
      <c r="O469" s="35" t="s">
        <v>78</v>
      </c>
      <c r="P469" s="52"/>
      <c r="Q469" s="52"/>
      <c r="R469" s="33" t="n">
        <f aca="false">INDEX(Épopées!$L$6:$L$59,MATCH(K469,Épopées!$A$6:$A$59,0))</f>
        <v>46653</v>
      </c>
      <c r="S469" s="33" t="n">
        <f aca="false">INDEX(Épopées!$M$6:$M$59,MATCH(K469,Épopées!$A$6:$A$59,0))</f>
        <v>46667</v>
      </c>
      <c r="T469" s="53" t="s">
        <v>463</v>
      </c>
    </row>
    <row r="470" customFormat="false" ht="15" hidden="false" customHeight="false" outlineLevel="0" collapsed="false">
      <c r="A470" s="31" t="s">
        <v>1567</v>
      </c>
      <c r="B470" s="31" t="s">
        <v>301</v>
      </c>
      <c r="C470" s="31" t="s">
        <v>340</v>
      </c>
      <c r="D470" s="31" t="s">
        <v>204</v>
      </c>
      <c r="E470" s="31" t="s">
        <v>1568</v>
      </c>
      <c r="F470" s="31" t="s">
        <v>460</v>
      </c>
      <c r="G470" s="31" t="s">
        <v>612</v>
      </c>
      <c r="H470" s="31" t="s">
        <v>41</v>
      </c>
      <c r="I470" s="31" t="n">
        <f aca="false">VLOOKUP(H470,Paramètres!$A$15:$B$19,2,FALSE())</f>
        <v>1</v>
      </c>
      <c r="J470" s="31" t="n">
        <v>3</v>
      </c>
      <c r="K470" s="50" t="str">
        <f aca="false">C470&amp;"|"&amp;J470</f>
        <v>API-WALL|3</v>
      </c>
      <c r="L470" s="31" t="s">
        <v>1564</v>
      </c>
      <c r="M470" s="31" t="n">
        <v>1</v>
      </c>
      <c r="N470" s="51" t="s">
        <v>462</v>
      </c>
      <c r="O470" s="35" t="s">
        <v>78</v>
      </c>
      <c r="P470" s="52"/>
      <c r="Q470" s="52"/>
      <c r="R470" s="33" t="n">
        <f aca="false">INDEX(Épopées!$L$6:$L$59,MATCH(K470,Épopées!$A$6:$A$59,0))</f>
        <v>46653</v>
      </c>
      <c r="S470" s="33" t="n">
        <f aca="false">INDEX(Épopées!$M$6:$M$59,MATCH(K470,Épopées!$A$6:$A$59,0))</f>
        <v>46667</v>
      </c>
      <c r="T470" s="53" t="s">
        <v>463</v>
      </c>
    </row>
    <row r="471" customFormat="false" ht="15" hidden="false" customHeight="false" outlineLevel="0" collapsed="false">
      <c r="A471" s="31" t="s">
        <v>1569</v>
      </c>
      <c r="B471" s="31" t="s">
        <v>301</v>
      </c>
      <c r="C471" s="31" t="s">
        <v>340</v>
      </c>
      <c r="D471" s="31" t="s">
        <v>204</v>
      </c>
      <c r="E471" s="31" t="s">
        <v>1570</v>
      </c>
      <c r="F471" s="31" t="s">
        <v>548</v>
      </c>
      <c r="G471" s="31" t="s">
        <v>466</v>
      </c>
      <c r="H471" s="31" t="s">
        <v>39</v>
      </c>
      <c r="I471" s="31" t="n">
        <f aca="false">VLOOKUP(H471,Paramètres!$A$15:$B$19,2,FALSE())</f>
        <v>0.5</v>
      </c>
      <c r="J471" s="31" t="n">
        <v>3</v>
      </c>
      <c r="K471" s="50" t="str">
        <f aca="false">C471&amp;"|"&amp;J471</f>
        <v>API-WALL|3</v>
      </c>
      <c r="L471" s="31" t="s">
        <v>1530</v>
      </c>
      <c r="M471" s="31" t="n">
        <v>2</v>
      </c>
      <c r="N471" s="51" t="s">
        <v>462</v>
      </c>
      <c r="O471" s="35" t="s">
        <v>78</v>
      </c>
      <c r="P471" s="52"/>
      <c r="Q471" s="52"/>
      <c r="R471" s="33" t="n">
        <f aca="false">INDEX(Épopées!$L$6:$L$59,MATCH(K471,Épopées!$A$6:$A$59,0))</f>
        <v>46653</v>
      </c>
      <c r="S471" s="33" t="n">
        <f aca="false">INDEX(Épopées!$M$6:$M$59,MATCH(K471,Épopées!$A$6:$A$59,0))</f>
        <v>46667</v>
      </c>
      <c r="T471" s="53" t="s">
        <v>463</v>
      </c>
    </row>
    <row r="472" customFormat="false" ht="15" hidden="false" customHeight="false" outlineLevel="0" collapsed="false">
      <c r="A472" s="31" t="s">
        <v>1571</v>
      </c>
      <c r="B472" s="31" t="s">
        <v>301</v>
      </c>
      <c r="C472" s="31" t="s">
        <v>340</v>
      </c>
      <c r="D472" s="31" t="s">
        <v>204</v>
      </c>
      <c r="E472" s="31" t="s">
        <v>1572</v>
      </c>
      <c r="F472" s="31" t="s">
        <v>481</v>
      </c>
      <c r="G472" s="31" t="s">
        <v>466</v>
      </c>
      <c r="H472" s="31" t="s">
        <v>41</v>
      </c>
      <c r="I472" s="31" t="n">
        <f aca="false">VLOOKUP(H472,Paramètres!$A$15:$B$19,2,FALSE())</f>
        <v>1</v>
      </c>
      <c r="J472" s="31" t="n">
        <v>3</v>
      </c>
      <c r="K472" s="50" t="str">
        <f aca="false">C472&amp;"|"&amp;J472</f>
        <v>API-WALL|3</v>
      </c>
      <c r="L472" s="31" t="s">
        <v>1573</v>
      </c>
      <c r="M472" s="31" t="n">
        <v>2</v>
      </c>
      <c r="N472" s="51" t="s">
        <v>462</v>
      </c>
      <c r="O472" s="35" t="s">
        <v>78</v>
      </c>
      <c r="P472" s="52"/>
      <c r="Q472" s="52"/>
      <c r="R472" s="33" t="n">
        <f aca="false">INDEX(Épopées!$L$6:$L$59,MATCH(K472,Épopées!$A$6:$A$59,0))</f>
        <v>46653</v>
      </c>
      <c r="S472" s="33" t="n">
        <f aca="false">INDEX(Épopées!$M$6:$M$59,MATCH(K472,Épopées!$A$6:$A$59,0))</f>
        <v>46667</v>
      </c>
      <c r="T472" s="53" t="s">
        <v>463</v>
      </c>
    </row>
    <row r="473" customFormat="false" ht="15" hidden="false" customHeight="false" outlineLevel="0" collapsed="false">
      <c r="A473" s="31" t="s">
        <v>1574</v>
      </c>
      <c r="B473" s="31" t="s">
        <v>301</v>
      </c>
      <c r="C473" s="31" t="s">
        <v>340</v>
      </c>
      <c r="D473" s="31" t="s">
        <v>204</v>
      </c>
      <c r="E473" s="31" t="s">
        <v>1575</v>
      </c>
      <c r="F473" s="31" t="s">
        <v>579</v>
      </c>
      <c r="G473" s="31" t="s">
        <v>466</v>
      </c>
      <c r="H473" s="31" t="s">
        <v>39</v>
      </c>
      <c r="I473" s="31" t="n">
        <f aca="false">VLOOKUP(H473,Paramètres!$A$15:$B$19,2,FALSE())</f>
        <v>0.5</v>
      </c>
      <c r="J473" s="31" t="n">
        <v>3</v>
      </c>
      <c r="K473" s="50" t="str">
        <f aca="false">C473&amp;"|"&amp;J473</f>
        <v>API-WALL|3</v>
      </c>
      <c r="L473" s="31" t="s">
        <v>1571</v>
      </c>
      <c r="M473" s="31" t="n">
        <v>2</v>
      </c>
      <c r="N473" s="51" t="s">
        <v>462</v>
      </c>
      <c r="O473" s="35" t="s">
        <v>78</v>
      </c>
      <c r="P473" s="52"/>
      <c r="Q473" s="52"/>
      <c r="R473" s="33" t="n">
        <f aca="false">INDEX(Épopées!$L$6:$L$59,MATCH(K473,Épopées!$A$6:$A$59,0))</f>
        <v>46653</v>
      </c>
      <c r="S473" s="33" t="n">
        <f aca="false">INDEX(Épopées!$M$6:$M$59,MATCH(K473,Épopées!$A$6:$A$59,0))</f>
        <v>46667</v>
      </c>
      <c r="T473" s="53" t="s">
        <v>463</v>
      </c>
    </row>
    <row r="474" customFormat="false" ht="15" hidden="false" customHeight="false" outlineLevel="0" collapsed="false">
      <c r="A474" s="31" t="s">
        <v>1576</v>
      </c>
      <c r="B474" s="31" t="s">
        <v>301</v>
      </c>
      <c r="C474" s="31" t="s">
        <v>340</v>
      </c>
      <c r="D474" s="31" t="s">
        <v>204</v>
      </c>
      <c r="E474" s="31" t="s">
        <v>1577</v>
      </c>
      <c r="F474" s="31" t="s">
        <v>548</v>
      </c>
      <c r="G474" s="31" t="s">
        <v>612</v>
      </c>
      <c r="H474" s="31" t="s">
        <v>39</v>
      </c>
      <c r="I474" s="31" t="n">
        <f aca="false">VLOOKUP(H474,Paramètres!$A$15:$B$19,2,FALSE())</f>
        <v>0.5</v>
      </c>
      <c r="J474" s="31" t="n">
        <v>3</v>
      </c>
      <c r="K474" s="50" t="str">
        <f aca="false">C474&amp;"|"&amp;J474</f>
        <v>API-WALL|3</v>
      </c>
      <c r="L474" s="31" t="s">
        <v>1578</v>
      </c>
      <c r="M474" s="31" t="n">
        <v>3</v>
      </c>
      <c r="N474" s="51" t="s">
        <v>462</v>
      </c>
      <c r="O474" s="35" t="s">
        <v>78</v>
      </c>
      <c r="P474" s="52"/>
      <c r="Q474" s="52"/>
      <c r="R474" s="33" t="n">
        <f aca="false">INDEX(Épopées!$L$6:$L$59,MATCH(K474,Épopées!$A$6:$A$59,0))</f>
        <v>46653</v>
      </c>
      <c r="S474" s="33" t="n">
        <f aca="false">INDEX(Épopées!$M$6:$M$59,MATCH(K474,Épopées!$A$6:$A$59,0))</f>
        <v>46667</v>
      </c>
      <c r="T474" s="53" t="s">
        <v>463</v>
      </c>
    </row>
    <row r="475" customFormat="false" ht="15" hidden="false" customHeight="false" outlineLevel="0" collapsed="false">
      <c r="A475" s="31" t="s">
        <v>1579</v>
      </c>
      <c r="B475" s="31" t="s">
        <v>301</v>
      </c>
      <c r="C475" s="31" t="s">
        <v>340</v>
      </c>
      <c r="D475" s="31" t="s">
        <v>204</v>
      </c>
      <c r="E475" s="31" t="s">
        <v>1580</v>
      </c>
      <c r="F475" s="31" t="s">
        <v>472</v>
      </c>
      <c r="G475" s="31" t="s">
        <v>461</v>
      </c>
      <c r="H475" s="31" t="s">
        <v>41</v>
      </c>
      <c r="I475" s="31" t="n">
        <f aca="false">VLOOKUP(H475,Paramètres!$A$15:$B$19,2,FALSE())</f>
        <v>1</v>
      </c>
      <c r="J475" s="31" t="n">
        <v>3</v>
      </c>
      <c r="K475" s="50" t="str">
        <f aca="false">C475&amp;"|"&amp;J475</f>
        <v>API-WALL|3</v>
      </c>
      <c r="L475" s="31" t="s">
        <v>1581</v>
      </c>
      <c r="M475" s="31" t="n">
        <v>9</v>
      </c>
      <c r="N475" s="51" t="s">
        <v>462</v>
      </c>
      <c r="O475" s="35" t="s">
        <v>78</v>
      </c>
      <c r="P475" s="52"/>
      <c r="Q475" s="52"/>
      <c r="R475" s="33" t="n">
        <f aca="false">INDEX(Épopées!$L$6:$L$59,MATCH(K475,Épopées!$A$6:$A$59,0))</f>
        <v>46653</v>
      </c>
      <c r="S475" s="33" t="n">
        <f aca="false">INDEX(Épopées!$M$6:$M$59,MATCH(K475,Épopées!$A$6:$A$59,0))</f>
        <v>46667</v>
      </c>
      <c r="T475" s="53" t="s">
        <v>463</v>
      </c>
    </row>
    <row r="476" customFormat="false" ht="15" hidden="false" customHeight="false" outlineLevel="0" collapsed="false">
      <c r="A476" s="31" t="s">
        <v>1582</v>
      </c>
      <c r="B476" s="31" t="s">
        <v>301</v>
      </c>
      <c r="C476" s="31" t="s">
        <v>340</v>
      </c>
      <c r="D476" s="31" t="s">
        <v>204</v>
      </c>
      <c r="E476" s="31" t="s">
        <v>1583</v>
      </c>
      <c r="F476" s="31" t="s">
        <v>503</v>
      </c>
      <c r="G476" s="31" t="s">
        <v>466</v>
      </c>
      <c r="H476" s="31" t="s">
        <v>39</v>
      </c>
      <c r="I476" s="31" t="n">
        <f aca="false">VLOOKUP(H476,Paramètres!$A$15:$B$19,2,FALSE())</f>
        <v>0.5</v>
      </c>
      <c r="J476" s="31" t="n">
        <v>3</v>
      </c>
      <c r="K476" s="50" t="str">
        <f aca="false">C476&amp;"|"&amp;J476</f>
        <v>API-WALL|3</v>
      </c>
      <c r="L476" s="31" t="s">
        <v>1579</v>
      </c>
      <c r="M476" s="31" t="n">
        <v>4</v>
      </c>
      <c r="N476" s="51" t="s">
        <v>462</v>
      </c>
      <c r="O476" s="35" t="s">
        <v>78</v>
      </c>
      <c r="P476" s="52"/>
      <c r="Q476" s="52"/>
      <c r="R476" s="33" t="n">
        <f aca="false">INDEX(Épopées!$L$6:$L$59,MATCH(K476,Épopées!$A$6:$A$59,0))</f>
        <v>46653</v>
      </c>
      <c r="S476" s="33" t="n">
        <f aca="false">INDEX(Épopées!$M$6:$M$59,MATCH(K476,Épopées!$A$6:$A$59,0))</f>
        <v>46667</v>
      </c>
      <c r="T476" s="53" t="s">
        <v>463</v>
      </c>
    </row>
    <row r="477" customFormat="false" ht="15" hidden="false" customHeight="false" outlineLevel="0" collapsed="false">
      <c r="A477" s="31" t="s">
        <v>1584</v>
      </c>
      <c r="B477" s="31" t="s">
        <v>342</v>
      </c>
      <c r="C477" s="31" t="s">
        <v>343</v>
      </c>
      <c r="D477" s="31" t="s">
        <v>344</v>
      </c>
      <c r="E477" s="31" t="s">
        <v>1585</v>
      </c>
      <c r="F477" s="31" t="s">
        <v>481</v>
      </c>
      <c r="G477" s="31" t="s">
        <v>461</v>
      </c>
      <c r="H477" s="31" t="s">
        <v>41</v>
      </c>
      <c r="I477" s="31" t="n">
        <f aca="false">VLOOKUP(H477,Paramètres!$A$15:$B$19,2,FALSE())</f>
        <v>1</v>
      </c>
      <c r="J477" s="31" t="n">
        <v>0</v>
      </c>
      <c r="K477" s="50" t="str">
        <f aca="false">C477&amp;"|"&amp;J477</f>
        <v>MOB-FND|0</v>
      </c>
      <c r="L477" s="31"/>
      <c r="M477" s="31" t="n">
        <v>0</v>
      </c>
      <c r="N477" s="51" t="s">
        <v>462</v>
      </c>
      <c r="O477" s="35" t="s">
        <v>78</v>
      </c>
      <c r="P477" s="52"/>
      <c r="Q477" s="52"/>
      <c r="R477" s="33" t="n">
        <f aca="false">INDEX(Épopées!$L$6:$L$59,MATCH(K477,Épopées!$A$6:$A$59,0))</f>
        <v>46328</v>
      </c>
      <c r="S477" s="33" t="n">
        <f aca="false">INDEX(Épopées!$M$6:$M$59,MATCH(K477,Épopées!$A$6:$A$59,0))</f>
        <v>46360</v>
      </c>
      <c r="T477" s="53" t="s">
        <v>463</v>
      </c>
    </row>
    <row r="478" customFormat="false" ht="15" hidden="false" customHeight="false" outlineLevel="0" collapsed="false">
      <c r="A478" s="31" t="s">
        <v>1586</v>
      </c>
      <c r="B478" s="31" t="s">
        <v>342</v>
      </c>
      <c r="C478" s="31" t="s">
        <v>343</v>
      </c>
      <c r="D478" s="31" t="s">
        <v>344</v>
      </c>
      <c r="E478" s="31" t="s">
        <v>1587</v>
      </c>
      <c r="F478" s="31" t="s">
        <v>481</v>
      </c>
      <c r="G478" s="31" t="s">
        <v>461</v>
      </c>
      <c r="H478" s="31" t="s">
        <v>39</v>
      </c>
      <c r="I478" s="31" t="n">
        <f aca="false">VLOOKUP(H478,Paramètres!$A$15:$B$19,2,FALSE())</f>
        <v>0.5</v>
      </c>
      <c r="J478" s="31" t="n">
        <v>0</v>
      </c>
      <c r="K478" s="50" t="str">
        <f aca="false">C478&amp;"|"&amp;J478</f>
        <v>MOB-FND|0</v>
      </c>
      <c r="L478" s="31" t="s">
        <v>1584</v>
      </c>
      <c r="M478" s="31" t="n">
        <v>0</v>
      </c>
      <c r="N478" s="51" t="s">
        <v>462</v>
      </c>
      <c r="O478" s="35" t="s">
        <v>78</v>
      </c>
      <c r="P478" s="52"/>
      <c r="Q478" s="52"/>
      <c r="R478" s="33" t="n">
        <f aca="false">INDEX(Épopées!$L$6:$L$59,MATCH(K478,Épopées!$A$6:$A$59,0))</f>
        <v>46328</v>
      </c>
      <c r="S478" s="33" t="n">
        <f aca="false">INDEX(Épopées!$M$6:$M$59,MATCH(K478,Épopées!$A$6:$A$59,0))</f>
        <v>46360</v>
      </c>
      <c r="T478" s="53" t="s">
        <v>463</v>
      </c>
    </row>
    <row r="479" customFormat="false" ht="15" hidden="false" customHeight="false" outlineLevel="0" collapsed="false">
      <c r="A479" s="31" t="s">
        <v>1588</v>
      </c>
      <c r="B479" s="31" t="s">
        <v>342</v>
      </c>
      <c r="C479" s="31" t="s">
        <v>343</v>
      </c>
      <c r="D479" s="31" t="s">
        <v>344</v>
      </c>
      <c r="E479" s="31" t="s">
        <v>1589</v>
      </c>
      <c r="F479" s="31" t="s">
        <v>481</v>
      </c>
      <c r="G479" s="31" t="s">
        <v>461</v>
      </c>
      <c r="H479" s="31" t="s">
        <v>39</v>
      </c>
      <c r="I479" s="31" t="n">
        <f aca="false">VLOOKUP(H479,Paramètres!$A$15:$B$19,2,FALSE())</f>
        <v>0.5</v>
      </c>
      <c r="J479" s="31" t="n">
        <v>0</v>
      </c>
      <c r="K479" s="50" t="str">
        <f aca="false">C479&amp;"|"&amp;J479</f>
        <v>MOB-FND|0</v>
      </c>
      <c r="L479" s="31" t="s">
        <v>1586</v>
      </c>
      <c r="M479" s="31" t="n">
        <v>0</v>
      </c>
      <c r="N479" s="51" t="s">
        <v>462</v>
      </c>
      <c r="O479" s="35" t="s">
        <v>78</v>
      </c>
      <c r="P479" s="52"/>
      <c r="Q479" s="52"/>
      <c r="R479" s="33" t="n">
        <f aca="false">INDEX(Épopées!$L$6:$L$59,MATCH(K479,Épopées!$A$6:$A$59,0))</f>
        <v>46328</v>
      </c>
      <c r="S479" s="33" t="n">
        <f aca="false">INDEX(Épopées!$M$6:$M$59,MATCH(K479,Épopées!$A$6:$A$59,0))</f>
        <v>46360</v>
      </c>
      <c r="T479" s="53" t="s">
        <v>463</v>
      </c>
    </row>
    <row r="480" customFormat="false" ht="15" hidden="false" customHeight="false" outlineLevel="0" collapsed="false">
      <c r="A480" s="31" t="s">
        <v>1590</v>
      </c>
      <c r="B480" s="31" t="s">
        <v>342</v>
      </c>
      <c r="C480" s="31" t="s">
        <v>343</v>
      </c>
      <c r="D480" s="31" t="s">
        <v>344</v>
      </c>
      <c r="E480" s="31" t="s">
        <v>1591</v>
      </c>
      <c r="F480" s="31" t="s">
        <v>491</v>
      </c>
      <c r="G480" s="31" t="s">
        <v>461</v>
      </c>
      <c r="H480" s="31" t="s">
        <v>41</v>
      </c>
      <c r="I480" s="31" t="n">
        <f aca="false">VLOOKUP(H480,Paramètres!$A$15:$B$19,2,FALSE())</f>
        <v>1</v>
      </c>
      <c r="J480" s="31" t="n">
        <v>0</v>
      </c>
      <c r="K480" s="50" t="str">
        <f aca="false">C480&amp;"|"&amp;J480</f>
        <v>MOB-FND|0</v>
      </c>
      <c r="L480" s="31" t="s">
        <v>1592</v>
      </c>
      <c r="M480" s="31" t="n">
        <v>0</v>
      </c>
      <c r="N480" s="51" t="s">
        <v>462</v>
      </c>
      <c r="O480" s="35" t="s">
        <v>78</v>
      </c>
      <c r="P480" s="52"/>
      <c r="Q480" s="52"/>
      <c r="R480" s="33" t="n">
        <f aca="false">INDEX(Épopées!$L$6:$L$59,MATCH(K480,Épopées!$A$6:$A$59,0))</f>
        <v>46328</v>
      </c>
      <c r="S480" s="33" t="n">
        <f aca="false">INDEX(Épopées!$M$6:$M$59,MATCH(K480,Épopées!$A$6:$A$59,0))</f>
        <v>46360</v>
      </c>
      <c r="T480" s="53" t="s">
        <v>463</v>
      </c>
    </row>
    <row r="481" customFormat="false" ht="15" hidden="false" customHeight="false" outlineLevel="0" collapsed="false">
      <c r="A481" s="31" t="s">
        <v>1593</v>
      </c>
      <c r="B481" s="31" t="s">
        <v>342</v>
      </c>
      <c r="C481" s="31" t="s">
        <v>343</v>
      </c>
      <c r="D481" s="31" t="s">
        <v>344</v>
      </c>
      <c r="E481" s="31" t="s">
        <v>1594</v>
      </c>
      <c r="F481" s="31" t="s">
        <v>491</v>
      </c>
      <c r="G481" s="31" t="s">
        <v>461</v>
      </c>
      <c r="H481" s="31" t="s">
        <v>41</v>
      </c>
      <c r="I481" s="31" t="n">
        <f aca="false">VLOOKUP(H481,Paramètres!$A$15:$B$19,2,FALSE())</f>
        <v>1</v>
      </c>
      <c r="J481" s="31" t="n">
        <v>0</v>
      </c>
      <c r="K481" s="50" t="str">
        <f aca="false">C481&amp;"|"&amp;J481</f>
        <v>MOB-FND|0</v>
      </c>
      <c r="L481" s="31" t="s">
        <v>1588</v>
      </c>
      <c r="M481" s="31" t="n">
        <v>0</v>
      </c>
      <c r="N481" s="51" t="s">
        <v>462</v>
      </c>
      <c r="O481" s="35" t="s">
        <v>78</v>
      </c>
      <c r="P481" s="52"/>
      <c r="Q481" s="52"/>
      <c r="R481" s="33" t="n">
        <f aca="false">INDEX(Épopées!$L$6:$L$59,MATCH(K481,Épopées!$A$6:$A$59,0))</f>
        <v>46328</v>
      </c>
      <c r="S481" s="33" t="n">
        <f aca="false">INDEX(Épopées!$M$6:$M$59,MATCH(K481,Épopées!$A$6:$A$59,0))</f>
        <v>46360</v>
      </c>
      <c r="T481" s="53" t="s">
        <v>463</v>
      </c>
    </row>
    <row r="482" customFormat="false" ht="15" hidden="false" customHeight="false" outlineLevel="0" collapsed="false">
      <c r="A482" s="31" t="s">
        <v>1595</v>
      </c>
      <c r="B482" s="31" t="s">
        <v>342</v>
      </c>
      <c r="C482" s="31" t="s">
        <v>343</v>
      </c>
      <c r="D482" s="31" t="s">
        <v>344</v>
      </c>
      <c r="E482" s="31" t="s">
        <v>1596</v>
      </c>
      <c r="F482" s="31" t="s">
        <v>469</v>
      </c>
      <c r="G482" s="31" t="s">
        <v>461</v>
      </c>
      <c r="H482" s="31" t="s">
        <v>39</v>
      </c>
      <c r="I482" s="31" t="n">
        <f aca="false">VLOOKUP(H482,Paramètres!$A$15:$B$19,2,FALSE())</f>
        <v>0.5</v>
      </c>
      <c r="J482" s="31" t="n">
        <v>0</v>
      </c>
      <c r="K482" s="50" t="str">
        <f aca="false">C482&amp;"|"&amp;J482</f>
        <v>MOB-FND|0</v>
      </c>
      <c r="L482" s="31" t="s">
        <v>1586</v>
      </c>
      <c r="M482" s="31" t="n">
        <v>0</v>
      </c>
      <c r="N482" s="51" t="s">
        <v>462</v>
      </c>
      <c r="O482" s="35" t="s">
        <v>78</v>
      </c>
      <c r="P482" s="52"/>
      <c r="Q482" s="52"/>
      <c r="R482" s="33" t="n">
        <f aca="false">INDEX(Épopées!$L$6:$L$59,MATCH(K482,Épopées!$A$6:$A$59,0))</f>
        <v>46328</v>
      </c>
      <c r="S482" s="33" t="n">
        <f aca="false">INDEX(Épopées!$M$6:$M$59,MATCH(K482,Épopées!$A$6:$A$59,0))</f>
        <v>46360</v>
      </c>
      <c r="T482" s="53" t="s">
        <v>463</v>
      </c>
    </row>
    <row r="483" customFormat="false" ht="15" hidden="false" customHeight="false" outlineLevel="0" collapsed="false">
      <c r="A483" s="31" t="s">
        <v>1597</v>
      </c>
      <c r="B483" s="31" t="s">
        <v>342</v>
      </c>
      <c r="C483" s="31" t="s">
        <v>343</v>
      </c>
      <c r="D483" s="31" t="s">
        <v>344</v>
      </c>
      <c r="E483" s="31" t="s">
        <v>1598</v>
      </c>
      <c r="F483" s="31" t="s">
        <v>491</v>
      </c>
      <c r="G483" s="31" t="s">
        <v>461</v>
      </c>
      <c r="H483" s="31" t="s">
        <v>39</v>
      </c>
      <c r="I483" s="31" t="n">
        <f aca="false">VLOOKUP(H483,Paramètres!$A$15:$B$19,2,FALSE())</f>
        <v>0.5</v>
      </c>
      <c r="J483" s="31" t="n">
        <v>0</v>
      </c>
      <c r="K483" s="50" t="str">
        <f aca="false">C483&amp;"|"&amp;J483</f>
        <v>MOB-FND|0</v>
      </c>
      <c r="L483" s="31" t="s">
        <v>1599</v>
      </c>
      <c r="M483" s="31" t="n">
        <v>0</v>
      </c>
      <c r="N483" s="51" t="s">
        <v>462</v>
      </c>
      <c r="O483" s="35" t="s">
        <v>78</v>
      </c>
      <c r="P483" s="52"/>
      <c r="Q483" s="52"/>
      <c r="R483" s="33" t="n">
        <f aca="false">INDEX(Épopées!$L$6:$L$59,MATCH(K483,Épopées!$A$6:$A$59,0))</f>
        <v>46328</v>
      </c>
      <c r="S483" s="33" t="n">
        <f aca="false">INDEX(Épopées!$M$6:$M$59,MATCH(K483,Épopées!$A$6:$A$59,0))</f>
        <v>46360</v>
      </c>
      <c r="T483" s="53" t="s">
        <v>463</v>
      </c>
    </row>
    <row r="484" customFormat="false" ht="15" hidden="false" customHeight="false" outlineLevel="0" collapsed="false">
      <c r="A484" s="31" t="s">
        <v>1600</v>
      </c>
      <c r="B484" s="31" t="s">
        <v>342</v>
      </c>
      <c r="C484" s="31" t="s">
        <v>343</v>
      </c>
      <c r="D484" s="31" t="s">
        <v>344</v>
      </c>
      <c r="E484" s="31" t="s">
        <v>1601</v>
      </c>
      <c r="F484" s="31" t="s">
        <v>491</v>
      </c>
      <c r="G484" s="31" t="s">
        <v>461</v>
      </c>
      <c r="H484" s="31" t="s">
        <v>37</v>
      </c>
      <c r="I484" s="31" t="n">
        <f aca="false">VLOOKUP(H484,Paramètres!$A$15:$B$19,2,FALSE())</f>
        <v>0.25</v>
      </c>
      <c r="J484" s="31" t="n">
        <v>0</v>
      </c>
      <c r="K484" s="50" t="str">
        <f aca="false">C484&amp;"|"&amp;J484</f>
        <v>MOB-FND|0</v>
      </c>
      <c r="L484" s="31" t="s">
        <v>1602</v>
      </c>
      <c r="M484" s="31" t="n">
        <v>0</v>
      </c>
      <c r="N484" s="51" t="s">
        <v>462</v>
      </c>
      <c r="O484" s="35" t="s">
        <v>78</v>
      </c>
      <c r="P484" s="52"/>
      <c r="Q484" s="52"/>
      <c r="R484" s="33" t="n">
        <f aca="false">INDEX(Épopées!$L$6:$L$59,MATCH(K484,Épopées!$A$6:$A$59,0))</f>
        <v>46328</v>
      </c>
      <c r="S484" s="33" t="n">
        <f aca="false">INDEX(Épopées!$M$6:$M$59,MATCH(K484,Épopées!$A$6:$A$59,0))</f>
        <v>46360</v>
      </c>
      <c r="T484" s="53" t="s">
        <v>463</v>
      </c>
    </row>
    <row r="485" customFormat="false" ht="15" hidden="false" customHeight="false" outlineLevel="0" collapsed="false">
      <c r="A485" s="31" t="s">
        <v>1603</v>
      </c>
      <c r="B485" s="31" t="s">
        <v>342</v>
      </c>
      <c r="C485" s="31" t="s">
        <v>343</v>
      </c>
      <c r="D485" s="31" t="s">
        <v>344</v>
      </c>
      <c r="E485" s="31" t="s">
        <v>1604</v>
      </c>
      <c r="F485" s="31" t="s">
        <v>491</v>
      </c>
      <c r="G485" s="31" t="s">
        <v>461</v>
      </c>
      <c r="H485" s="31" t="s">
        <v>41</v>
      </c>
      <c r="I485" s="31" t="n">
        <f aca="false">VLOOKUP(H485,Paramètres!$A$15:$B$19,2,FALSE())</f>
        <v>1</v>
      </c>
      <c r="J485" s="31" t="n">
        <v>0</v>
      </c>
      <c r="K485" s="50" t="str">
        <f aca="false">C485&amp;"|"&amp;J485</f>
        <v>MOB-FND|0</v>
      </c>
      <c r="L485" s="31" t="s">
        <v>1605</v>
      </c>
      <c r="M485" s="31" t="n">
        <v>0</v>
      </c>
      <c r="N485" s="51" t="s">
        <v>462</v>
      </c>
      <c r="O485" s="35" t="s">
        <v>78</v>
      </c>
      <c r="P485" s="52"/>
      <c r="Q485" s="52"/>
      <c r="R485" s="33" t="n">
        <f aca="false">INDEX(Épopées!$L$6:$L$59,MATCH(K485,Épopées!$A$6:$A$59,0))</f>
        <v>46328</v>
      </c>
      <c r="S485" s="33" t="n">
        <f aca="false">INDEX(Épopées!$M$6:$M$59,MATCH(K485,Épopées!$A$6:$A$59,0))</f>
        <v>46360</v>
      </c>
      <c r="T485" s="53" t="s">
        <v>463</v>
      </c>
    </row>
    <row r="486" customFormat="false" ht="15" hidden="false" customHeight="false" outlineLevel="0" collapsed="false">
      <c r="A486" s="31" t="s">
        <v>1606</v>
      </c>
      <c r="B486" s="31" t="s">
        <v>342</v>
      </c>
      <c r="C486" s="31" t="s">
        <v>343</v>
      </c>
      <c r="D486" s="31" t="s">
        <v>344</v>
      </c>
      <c r="E486" s="31" t="s">
        <v>1607</v>
      </c>
      <c r="F486" s="31" t="s">
        <v>491</v>
      </c>
      <c r="G486" s="31" t="s">
        <v>461</v>
      </c>
      <c r="H486" s="31" t="s">
        <v>39</v>
      </c>
      <c r="I486" s="31" t="n">
        <f aca="false">VLOOKUP(H486,Paramètres!$A$15:$B$19,2,FALSE())</f>
        <v>0.5</v>
      </c>
      <c r="J486" s="31" t="n">
        <v>0</v>
      </c>
      <c r="K486" s="50" t="str">
        <f aca="false">C486&amp;"|"&amp;J486</f>
        <v>MOB-FND|0</v>
      </c>
      <c r="L486" s="31" t="s">
        <v>1603</v>
      </c>
      <c r="M486" s="31" t="n">
        <v>0</v>
      </c>
      <c r="N486" s="51" t="s">
        <v>462</v>
      </c>
      <c r="O486" s="35" t="s">
        <v>78</v>
      </c>
      <c r="P486" s="52"/>
      <c r="Q486" s="52"/>
      <c r="R486" s="33" t="n">
        <f aca="false">INDEX(Épopées!$L$6:$L$59,MATCH(K486,Épopées!$A$6:$A$59,0))</f>
        <v>46328</v>
      </c>
      <c r="S486" s="33" t="n">
        <f aca="false">INDEX(Épopées!$M$6:$M$59,MATCH(K486,Épopées!$A$6:$A$59,0))</f>
        <v>46360</v>
      </c>
      <c r="T486" s="53" t="s">
        <v>463</v>
      </c>
    </row>
    <row r="487" customFormat="false" ht="15" hidden="false" customHeight="false" outlineLevel="0" collapsed="false">
      <c r="A487" s="31" t="s">
        <v>1608</v>
      </c>
      <c r="B487" s="31" t="s">
        <v>342</v>
      </c>
      <c r="C487" s="31" t="s">
        <v>343</v>
      </c>
      <c r="D487" s="31" t="s">
        <v>344</v>
      </c>
      <c r="E487" s="31" t="s">
        <v>1609</v>
      </c>
      <c r="F487" s="31" t="s">
        <v>491</v>
      </c>
      <c r="G487" s="31" t="s">
        <v>461</v>
      </c>
      <c r="H487" s="31" t="s">
        <v>39</v>
      </c>
      <c r="I487" s="31" t="n">
        <f aca="false">VLOOKUP(H487,Paramètres!$A$15:$B$19,2,FALSE())</f>
        <v>0.5</v>
      </c>
      <c r="J487" s="31" t="n">
        <v>0</v>
      </c>
      <c r="K487" s="50" t="str">
        <f aca="false">C487&amp;"|"&amp;J487</f>
        <v>MOB-FND|0</v>
      </c>
      <c r="L487" s="31" t="s">
        <v>1610</v>
      </c>
      <c r="M487" s="31" t="n">
        <v>0</v>
      </c>
      <c r="N487" s="51" t="s">
        <v>462</v>
      </c>
      <c r="O487" s="35" t="s">
        <v>78</v>
      </c>
      <c r="P487" s="52"/>
      <c r="Q487" s="52"/>
      <c r="R487" s="33" t="n">
        <f aca="false">INDEX(Épopées!$L$6:$L$59,MATCH(K487,Épopées!$A$6:$A$59,0))</f>
        <v>46328</v>
      </c>
      <c r="S487" s="33" t="n">
        <f aca="false">INDEX(Épopées!$M$6:$M$59,MATCH(K487,Épopées!$A$6:$A$59,0))</f>
        <v>46360</v>
      </c>
      <c r="T487" s="53" t="s">
        <v>463</v>
      </c>
    </row>
    <row r="488" customFormat="false" ht="15" hidden="false" customHeight="false" outlineLevel="0" collapsed="false">
      <c r="A488" s="31" t="s">
        <v>1611</v>
      </c>
      <c r="B488" s="31" t="s">
        <v>342</v>
      </c>
      <c r="C488" s="31" t="s">
        <v>343</v>
      </c>
      <c r="D488" s="31" t="s">
        <v>344</v>
      </c>
      <c r="E488" s="31" t="s">
        <v>1612</v>
      </c>
      <c r="F488" s="31" t="s">
        <v>469</v>
      </c>
      <c r="G488" s="31" t="s">
        <v>461</v>
      </c>
      <c r="H488" s="31" t="s">
        <v>41</v>
      </c>
      <c r="I488" s="31" t="n">
        <f aca="false">VLOOKUP(H488,Paramètres!$A$15:$B$19,2,FALSE())</f>
        <v>1</v>
      </c>
      <c r="J488" s="31" t="n">
        <v>0</v>
      </c>
      <c r="K488" s="50" t="str">
        <f aca="false">C488&amp;"|"&amp;J488</f>
        <v>MOB-FND|0</v>
      </c>
      <c r="L488" s="31" t="s">
        <v>1613</v>
      </c>
      <c r="M488" s="31" t="n">
        <v>0</v>
      </c>
      <c r="N488" s="51" t="s">
        <v>462</v>
      </c>
      <c r="O488" s="35" t="s">
        <v>78</v>
      </c>
      <c r="P488" s="52"/>
      <c r="Q488" s="52"/>
      <c r="R488" s="33" t="n">
        <f aca="false">INDEX(Épopées!$L$6:$L$59,MATCH(K488,Épopées!$A$6:$A$59,0))</f>
        <v>46328</v>
      </c>
      <c r="S488" s="33" t="n">
        <f aca="false">INDEX(Épopées!$M$6:$M$59,MATCH(K488,Épopées!$A$6:$A$59,0))</f>
        <v>46360</v>
      </c>
      <c r="T488" s="53" t="s">
        <v>463</v>
      </c>
    </row>
    <row r="489" customFormat="false" ht="15" hidden="false" customHeight="false" outlineLevel="0" collapsed="false">
      <c r="A489" s="31" t="s">
        <v>1614</v>
      </c>
      <c r="B489" s="31" t="s">
        <v>342</v>
      </c>
      <c r="C489" s="31" t="s">
        <v>343</v>
      </c>
      <c r="D489" s="31" t="s">
        <v>344</v>
      </c>
      <c r="E489" s="31" t="s">
        <v>1615</v>
      </c>
      <c r="F489" s="31" t="s">
        <v>486</v>
      </c>
      <c r="G489" s="31" t="s">
        <v>461</v>
      </c>
      <c r="H489" s="31" t="s">
        <v>41</v>
      </c>
      <c r="I489" s="31" t="n">
        <f aca="false">VLOOKUP(H489,Paramètres!$A$15:$B$19,2,FALSE())</f>
        <v>1</v>
      </c>
      <c r="J489" s="31" t="n">
        <v>0</v>
      </c>
      <c r="K489" s="50" t="str">
        <f aca="false">C489&amp;"|"&amp;J489</f>
        <v>MOB-FND|0</v>
      </c>
      <c r="L489" s="31" t="s">
        <v>1608</v>
      </c>
      <c r="M489" s="31" t="n">
        <v>0</v>
      </c>
      <c r="N489" s="51" t="s">
        <v>462</v>
      </c>
      <c r="O489" s="35" t="s">
        <v>78</v>
      </c>
      <c r="P489" s="52"/>
      <c r="Q489" s="52"/>
      <c r="R489" s="33" t="n">
        <f aca="false">INDEX(Épopées!$L$6:$L$59,MATCH(K489,Épopées!$A$6:$A$59,0))</f>
        <v>46328</v>
      </c>
      <c r="S489" s="33" t="n">
        <f aca="false">INDEX(Épopées!$M$6:$M$59,MATCH(K489,Épopées!$A$6:$A$59,0))</f>
        <v>46360</v>
      </c>
      <c r="T489" s="53" t="s">
        <v>463</v>
      </c>
    </row>
    <row r="490" customFormat="false" ht="15" hidden="false" customHeight="false" outlineLevel="0" collapsed="false">
      <c r="A490" s="31" t="s">
        <v>1616</v>
      </c>
      <c r="B490" s="31" t="s">
        <v>342</v>
      </c>
      <c r="C490" s="31" t="s">
        <v>343</v>
      </c>
      <c r="D490" s="31" t="s">
        <v>344</v>
      </c>
      <c r="E490" s="31" t="s">
        <v>1617</v>
      </c>
      <c r="F490" s="31" t="s">
        <v>491</v>
      </c>
      <c r="G490" s="31" t="s">
        <v>461</v>
      </c>
      <c r="H490" s="31" t="s">
        <v>41</v>
      </c>
      <c r="I490" s="31" t="n">
        <f aca="false">VLOOKUP(H490,Paramètres!$A$15:$B$19,2,FALSE())</f>
        <v>1</v>
      </c>
      <c r="J490" s="31" t="n">
        <v>0</v>
      </c>
      <c r="K490" s="50" t="str">
        <f aca="false">C490&amp;"|"&amp;J490</f>
        <v>MOB-FND|0</v>
      </c>
      <c r="L490" s="31" t="s">
        <v>1618</v>
      </c>
      <c r="M490" s="31" t="n">
        <v>0</v>
      </c>
      <c r="N490" s="51" t="s">
        <v>462</v>
      </c>
      <c r="O490" s="35" t="s">
        <v>78</v>
      </c>
      <c r="P490" s="52"/>
      <c r="Q490" s="52"/>
      <c r="R490" s="33" t="n">
        <f aca="false">INDEX(Épopées!$L$6:$L$59,MATCH(K490,Épopées!$A$6:$A$59,0))</f>
        <v>46328</v>
      </c>
      <c r="S490" s="33" t="n">
        <f aca="false">INDEX(Épopées!$M$6:$M$59,MATCH(K490,Épopées!$A$6:$A$59,0))</f>
        <v>46360</v>
      </c>
      <c r="T490" s="53" t="s">
        <v>463</v>
      </c>
    </row>
    <row r="491" customFormat="false" ht="15" hidden="false" customHeight="false" outlineLevel="0" collapsed="false">
      <c r="A491" s="31" t="s">
        <v>1619</v>
      </c>
      <c r="B491" s="31" t="s">
        <v>342</v>
      </c>
      <c r="C491" s="31" t="s">
        <v>343</v>
      </c>
      <c r="D491" s="31" t="s">
        <v>344</v>
      </c>
      <c r="E491" s="31" t="s">
        <v>1620</v>
      </c>
      <c r="F491" s="31" t="s">
        <v>491</v>
      </c>
      <c r="G491" s="31" t="s">
        <v>461</v>
      </c>
      <c r="H491" s="31" t="s">
        <v>41</v>
      </c>
      <c r="I491" s="31" t="n">
        <f aca="false">VLOOKUP(H491,Paramètres!$A$15:$B$19,2,FALSE())</f>
        <v>1</v>
      </c>
      <c r="J491" s="31" t="n">
        <v>0</v>
      </c>
      <c r="K491" s="50" t="str">
        <f aca="false">C491&amp;"|"&amp;J491</f>
        <v>MOB-FND|0</v>
      </c>
      <c r="L491" s="31" t="s">
        <v>1616</v>
      </c>
      <c r="M491" s="31" t="n">
        <v>0</v>
      </c>
      <c r="N491" s="51" t="s">
        <v>462</v>
      </c>
      <c r="O491" s="35" t="s">
        <v>78</v>
      </c>
      <c r="P491" s="52"/>
      <c r="Q491" s="52"/>
      <c r="R491" s="33" t="n">
        <f aca="false">INDEX(Épopées!$L$6:$L$59,MATCH(K491,Épopées!$A$6:$A$59,0))</f>
        <v>46328</v>
      </c>
      <c r="S491" s="33" t="n">
        <f aca="false">INDEX(Épopées!$M$6:$M$59,MATCH(K491,Épopées!$A$6:$A$59,0))</f>
        <v>46360</v>
      </c>
      <c r="T491" s="53" t="s">
        <v>463</v>
      </c>
    </row>
    <row r="492" customFormat="false" ht="15" hidden="false" customHeight="false" outlineLevel="0" collapsed="false">
      <c r="A492" s="31" t="s">
        <v>1621</v>
      </c>
      <c r="B492" s="31" t="s">
        <v>342</v>
      </c>
      <c r="C492" s="31" t="s">
        <v>343</v>
      </c>
      <c r="D492" s="31" t="s">
        <v>344</v>
      </c>
      <c r="E492" s="31" t="s">
        <v>1622</v>
      </c>
      <c r="F492" s="31" t="s">
        <v>1623</v>
      </c>
      <c r="G492" s="31" t="s">
        <v>461</v>
      </c>
      <c r="H492" s="31" t="s">
        <v>43</v>
      </c>
      <c r="I492" s="31" t="n">
        <f aca="false">VLOOKUP(H492,Paramètres!$A$15:$B$19,2,FALSE())</f>
        <v>2</v>
      </c>
      <c r="J492" s="31" t="n">
        <v>0</v>
      </c>
      <c r="K492" s="50" t="str">
        <f aca="false">C492&amp;"|"&amp;J492</f>
        <v>MOB-FND|0</v>
      </c>
      <c r="L492" s="31" t="s">
        <v>1619</v>
      </c>
      <c r="M492" s="31" t="n">
        <v>2</v>
      </c>
      <c r="N492" s="51" t="s">
        <v>462</v>
      </c>
      <c r="O492" s="35" t="s">
        <v>78</v>
      </c>
      <c r="P492" s="52"/>
      <c r="Q492" s="52"/>
      <c r="R492" s="33" t="n">
        <f aca="false">INDEX(Épopées!$L$6:$L$59,MATCH(K492,Épopées!$A$6:$A$59,0))</f>
        <v>46328</v>
      </c>
      <c r="S492" s="33" t="n">
        <f aca="false">INDEX(Épopées!$M$6:$M$59,MATCH(K492,Épopées!$A$6:$A$59,0))</f>
        <v>46360</v>
      </c>
      <c r="T492" s="53" t="s">
        <v>463</v>
      </c>
    </row>
    <row r="493" customFormat="false" ht="15" hidden="false" customHeight="false" outlineLevel="0" collapsed="false">
      <c r="A493" s="31" t="s">
        <v>1624</v>
      </c>
      <c r="B493" s="31" t="s">
        <v>342</v>
      </c>
      <c r="C493" s="31" t="s">
        <v>343</v>
      </c>
      <c r="D493" s="31" t="s">
        <v>344</v>
      </c>
      <c r="E493" s="31" t="s">
        <v>1625</v>
      </c>
      <c r="F493" s="31" t="s">
        <v>491</v>
      </c>
      <c r="G493" s="31" t="s">
        <v>466</v>
      </c>
      <c r="H493" s="31" t="s">
        <v>43</v>
      </c>
      <c r="I493" s="31" t="n">
        <f aca="false">VLOOKUP(H493,Paramètres!$A$15:$B$19,2,FALSE())</f>
        <v>2</v>
      </c>
      <c r="J493" s="31" t="n">
        <v>0</v>
      </c>
      <c r="K493" s="50" t="str">
        <f aca="false">C493&amp;"|"&amp;J493</f>
        <v>MOB-FND|0</v>
      </c>
      <c r="L493" s="31" t="s">
        <v>1626</v>
      </c>
      <c r="M493" s="31" t="n">
        <v>0</v>
      </c>
      <c r="N493" s="51" t="s">
        <v>462</v>
      </c>
      <c r="O493" s="35" t="s">
        <v>78</v>
      </c>
      <c r="P493" s="52"/>
      <c r="Q493" s="52"/>
      <c r="R493" s="33" t="n">
        <f aca="false">INDEX(Épopées!$L$6:$L$59,MATCH(K493,Épopées!$A$6:$A$59,0))</f>
        <v>46328</v>
      </c>
      <c r="S493" s="33" t="n">
        <f aca="false">INDEX(Épopées!$M$6:$M$59,MATCH(K493,Épopées!$A$6:$A$59,0))</f>
        <v>46360</v>
      </c>
      <c r="T493" s="53" t="s">
        <v>463</v>
      </c>
    </row>
    <row r="494" customFormat="false" ht="15" hidden="false" customHeight="false" outlineLevel="0" collapsed="false">
      <c r="A494" s="31" t="s">
        <v>1627</v>
      </c>
      <c r="B494" s="31" t="s">
        <v>342</v>
      </c>
      <c r="C494" s="31" t="s">
        <v>343</v>
      </c>
      <c r="D494" s="31" t="s">
        <v>344</v>
      </c>
      <c r="E494" s="31" t="s">
        <v>1628</v>
      </c>
      <c r="F494" s="31" t="s">
        <v>486</v>
      </c>
      <c r="G494" s="31" t="s">
        <v>461</v>
      </c>
      <c r="H494" s="31" t="s">
        <v>43</v>
      </c>
      <c r="I494" s="31" t="n">
        <f aca="false">VLOOKUP(H494,Paramètres!$A$15:$B$19,2,FALSE())</f>
        <v>2</v>
      </c>
      <c r="J494" s="31" t="n">
        <v>0</v>
      </c>
      <c r="K494" s="50" t="str">
        <f aca="false">C494&amp;"|"&amp;J494</f>
        <v>MOB-FND|0</v>
      </c>
      <c r="L494" s="31" t="s">
        <v>1586</v>
      </c>
      <c r="M494" s="31" t="n">
        <v>0</v>
      </c>
      <c r="N494" s="51" t="s">
        <v>462</v>
      </c>
      <c r="O494" s="35" t="s">
        <v>78</v>
      </c>
      <c r="P494" s="52"/>
      <c r="Q494" s="52"/>
      <c r="R494" s="33" t="n">
        <f aca="false">INDEX(Épopées!$L$6:$L$59,MATCH(K494,Épopées!$A$6:$A$59,0))</f>
        <v>46328</v>
      </c>
      <c r="S494" s="33" t="n">
        <f aca="false">INDEX(Épopées!$M$6:$M$59,MATCH(K494,Épopées!$A$6:$A$59,0))</f>
        <v>46360</v>
      </c>
      <c r="T494" s="53" t="s">
        <v>463</v>
      </c>
    </row>
    <row r="495" customFormat="false" ht="15" hidden="false" customHeight="false" outlineLevel="0" collapsed="false">
      <c r="A495" s="31" t="s">
        <v>1629</v>
      </c>
      <c r="B495" s="31" t="s">
        <v>342</v>
      </c>
      <c r="C495" s="31" t="s">
        <v>343</v>
      </c>
      <c r="D495" s="31" t="s">
        <v>344</v>
      </c>
      <c r="E495" s="31" t="s">
        <v>1630</v>
      </c>
      <c r="F495" s="31" t="s">
        <v>486</v>
      </c>
      <c r="G495" s="31" t="s">
        <v>461</v>
      </c>
      <c r="H495" s="31" t="s">
        <v>41</v>
      </c>
      <c r="I495" s="31" t="n">
        <f aca="false">VLOOKUP(H495,Paramètres!$A$15:$B$19,2,FALSE())</f>
        <v>1</v>
      </c>
      <c r="J495" s="31" t="n">
        <v>0</v>
      </c>
      <c r="K495" s="50" t="str">
        <f aca="false">C495&amp;"|"&amp;J495</f>
        <v>MOB-FND|0</v>
      </c>
      <c r="L495" s="31" t="s">
        <v>1627</v>
      </c>
      <c r="M495" s="31" t="n">
        <v>0</v>
      </c>
      <c r="N495" s="51" t="s">
        <v>462</v>
      </c>
      <c r="O495" s="35" t="s">
        <v>78</v>
      </c>
      <c r="P495" s="52"/>
      <c r="Q495" s="52"/>
      <c r="R495" s="33" t="n">
        <f aca="false">INDEX(Épopées!$L$6:$L$59,MATCH(K495,Épopées!$A$6:$A$59,0))</f>
        <v>46328</v>
      </c>
      <c r="S495" s="33" t="n">
        <f aca="false">INDEX(Épopées!$M$6:$M$59,MATCH(K495,Épopées!$A$6:$A$59,0))</f>
        <v>46360</v>
      </c>
      <c r="T495" s="53" t="s">
        <v>463</v>
      </c>
    </row>
    <row r="496" customFormat="false" ht="15" hidden="false" customHeight="false" outlineLevel="0" collapsed="false">
      <c r="A496" s="31" t="s">
        <v>1631</v>
      </c>
      <c r="B496" s="31" t="s">
        <v>342</v>
      </c>
      <c r="C496" s="31" t="s">
        <v>343</v>
      </c>
      <c r="D496" s="31" t="s">
        <v>344</v>
      </c>
      <c r="E496" s="31" t="s">
        <v>1632</v>
      </c>
      <c r="F496" s="31" t="s">
        <v>491</v>
      </c>
      <c r="G496" s="31" t="s">
        <v>461</v>
      </c>
      <c r="H496" s="31" t="s">
        <v>41</v>
      </c>
      <c r="I496" s="31" t="n">
        <f aca="false">VLOOKUP(H496,Paramètres!$A$15:$B$19,2,FALSE())</f>
        <v>1</v>
      </c>
      <c r="J496" s="31" t="n">
        <v>0</v>
      </c>
      <c r="K496" s="50" t="str">
        <f aca="false">C496&amp;"|"&amp;J496</f>
        <v>MOB-FND|0</v>
      </c>
      <c r="L496" s="31" t="s">
        <v>1633</v>
      </c>
      <c r="M496" s="31" t="n">
        <v>0</v>
      </c>
      <c r="N496" s="51" t="s">
        <v>462</v>
      </c>
      <c r="O496" s="35" t="s">
        <v>78</v>
      </c>
      <c r="P496" s="52"/>
      <c r="Q496" s="52"/>
      <c r="R496" s="33" t="n">
        <f aca="false">INDEX(Épopées!$L$6:$L$59,MATCH(K496,Épopées!$A$6:$A$59,0))</f>
        <v>46328</v>
      </c>
      <c r="S496" s="33" t="n">
        <f aca="false">INDEX(Épopées!$M$6:$M$59,MATCH(K496,Épopées!$A$6:$A$59,0))</f>
        <v>46360</v>
      </c>
      <c r="T496" s="53" t="s">
        <v>463</v>
      </c>
    </row>
    <row r="497" customFormat="false" ht="15" hidden="false" customHeight="false" outlineLevel="0" collapsed="false">
      <c r="A497" s="31" t="s">
        <v>1634</v>
      </c>
      <c r="B497" s="31" t="s">
        <v>342</v>
      </c>
      <c r="C497" s="31" t="s">
        <v>343</v>
      </c>
      <c r="D497" s="31" t="s">
        <v>344</v>
      </c>
      <c r="E497" s="31" t="s">
        <v>1635</v>
      </c>
      <c r="F497" s="31" t="s">
        <v>491</v>
      </c>
      <c r="G497" s="31" t="s">
        <v>461</v>
      </c>
      <c r="H497" s="31" t="s">
        <v>39</v>
      </c>
      <c r="I497" s="31" t="n">
        <f aca="false">VLOOKUP(H497,Paramètres!$A$15:$B$19,2,FALSE())</f>
        <v>0.5</v>
      </c>
      <c r="J497" s="31" t="n">
        <v>0</v>
      </c>
      <c r="K497" s="50" t="str">
        <f aca="false">C497&amp;"|"&amp;J497</f>
        <v>MOB-FND|0</v>
      </c>
      <c r="L497" s="31" t="s">
        <v>1608</v>
      </c>
      <c r="M497" s="31" t="n">
        <v>1</v>
      </c>
      <c r="N497" s="51" t="s">
        <v>462</v>
      </c>
      <c r="O497" s="35" t="s">
        <v>78</v>
      </c>
      <c r="P497" s="52"/>
      <c r="Q497" s="52"/>
      <c r="R497" s="33" t="n">
        <f aca="false">INDEX(Épopées!$L$6:$L$59,MATCH(K497,Épopées!$A$6:$A$59,0))</f>
        <v>46328</v>
      </c>
      <c r="S497" s="33" t="n">
        <f aca="false">INDEX(Épopées!$M$6:$M$59,MATCH(K497,Épopées!$A$6:$A$59,0))</f>
        <v>46360</v>
      </c>
      <c r="T497" s="53" t="s">
        <v>463</v>
      </c>
    </row>
    <row r="498" customFormat="false" ht="15" hidden="false" customHeight="false" outlineLevel="0" collapsed="false">
      <c r="A498" s="31" t="s">
        <v>1636</v>
      </c>
      <c r="B498" s="31" t="s">
        <v>342</v>
      </c>
      <c r="C498" s="31" t="s">
        <v>343</v>
      </c>
      <c r="D498" s="31" t="s">
        <v>344</v>
      </c>
      <c r="E498" s="31" t="s">
        <v>1637</v>
      </c>
      <c r="F498" s="31" t="s">
        <v>491</v>
      </c>
      <c r="G498" s="31" t="s">
        <v>461</v>
      </c>
      <c r="H498" s="31" t="s">
        <v>43</v>
      </c>
      <c r="I498" s="31" t="n">
        <f aca="false">VLOOKUP(H498,Paramètres!$A$15:$B$19,2,FALSE())</f>
        <v>2</v>
      </c>
      <c r="J498" s="31" t="n">
        <v>0</v>
      </c>
      <c r="K498" s="50" t="str">
        <f aca="false">C498&amp;"|"&amp;J498</f>
        <v>MOB-FND|0</v>
      </c>
      <c r="L498" s="31" t="s">
        <v>1638</v>
      </c>
      <c r="M498" s="31" t="n">
        <v>0</v>
      </c>
      <c r="N498" s="51" t="s">
        <v>462</v>
      </c>
      <c r="O498" s="35" t="s">
        <v>78</v>
      </c>
      <c r="P498" s="52"/>
      <c r="Q498" s="52"/>
      <c r="R498" s="33" t="n">
        <f aca="false">INDEX(Épopées!$L$6:$L$59,MATCH(K498,Épopées!$A$6:$A$59,0))</f>
        <v>46328</v>
      </c>
      <c r="S498" s="33" t="n">
        <f aca="false">INDEX(Épopées!$M$6:$M$59,MATCH(K498,Épopées!$A$6:$A$59,0))</f>
        <v>46360</v>
      </c>
      <c r="T498" s="53" t="s">
        <v>463</v>
      </c>
    </row>
    <row r="499" customFormat="false" ht="15" hidden="false" customHeight="false" outlineLevel="0" collapsed="false">
      <c r="A499" s="31" t="s">
        <v>1639</v>
      </c>
      <c r="B499" s="31" t="s">
        <v>342</v>
      </c>
      <c r="C499" s="31" t="s">
        <v>343</v>
      </c>
      <c r="D499" s="31" t="s">
        <v>344</v>
      </c>
      <c r="E499" s="31" t="s">
        <v>1640</v>
      </c>
      <c r="F499" s="31" t="s">
        <v>588</v>
      </c>
      <c r="G499" s="31" t="s">
        <v>461</v>
      </c>
      <c r="H499" s="31" t="s">
        <v>43</v>
      </c>
      <c r="I499" s="31" t="n">
        <f aca="false">VLOOKUP(H499,Paramètres!$A$15:$B$19,2,FALSE())</f>
        <v>2</v>
      </c>
      <c r="J499" s="31" t="n">
        <v>0</v>
      </c>
      <c r="K499" s="50" t="str">
        <f aca="false">C499&amp;"|"&amp;J499</f>
        <v>MOB-FND|0</v>
      </c>
      <c r="L499" s="31" t="s">
        <v>1641</v>
      </c>
      <c r="M499" s="31" t="n">
        <v>0</v>
      </c>
      <c r="N499" s="51" t="s">
        <v>462</v>
      </c>
      <c r="O499" s="35" t="s">
        <v>78</v>
      </c>
      <c r="P499" s="52"/>
      <c r="Q499" s="52"/>
      <c r="R499" s="33" t="n">
        <f aca="false">INDEX(Épopées!$L$6:$L$59,MATCH(K499,Épopées!$A$6:$A$59,0))</f>
        <v>46328</v>
      </c>
      <c r="S499" s="33" t="n">
        <f aca="false">INDEX(Épopées!$M$6:$M$59,MATCH(K499,Épopées!$A$6:$A$59,0))</f>
        <v>46360</v>
      </c>
      <c r="T499" s="53" t="s">
        <v>463</v>
      </c>
    </row>
    <row r="500" customFormat="false" ht="15" hidden="false" customHeight="false" outlineLevel="0" collapsed="false">
      <c r="A500" s="31" t="s">
        <v>1641</v>
      </c>
      <c r="B500" s="31" t="s">
        <v>342</v>
      </c>
      <c r="C500" s="31" t="s">
        <v>343</v>
      </c>
      <c r="D500" s="31" t="s">
        <v>344</v>
      </c>
      <c r="E500" s="31" t="s">
        <v>1642</v>
      </c>
      <c r="F500" s="31" t="s">
        <v>491</v>
      </c>
      <c r="G500" s="31" t="s">
        <v>461</v>
      </c>
      <c r="H500" s="31" t="s">
        <v>41</v>
      </c>
      <c r="I500" s="31" t="n">
        <f aca="false">VLOOKUP(H500,Paramètres!$A$15:$B$19,2,FALSE())</f>
        <v>1</v>
      </c>
      <c r="J500" s="31" t="n">
        <v>0</v>
      </c>
      <c r="K500" s="50" t="str">
        <f aca="false">C500&amp;"|"&amp;J500</f>
        <v>MOB-FND|0</v>
      </c>
      <c r="L500" s="31" t="s">
        <v>1643</v>
      </c>
      <c r="M500" s="31" t="n">
        <v>0</v>
      </c>
      <c r="N500" s="51" t="s">
        <v>462</v>
      </c>
      <c r="O500" s="35" t="s">
        <v>78</v>
      </c>
      <c r="P500" s="52"/>
      <c r="Q500" s="52"/>
      <c r="R500" s="33" t="n">
        <f aca="false">INDEX(Épopées!$L$6:$L$59,MATCH(K500,Épopées!$A$6:$A$59,0))</f>
        <v>46328</v>
      </c>
      <c r="S500" s="33" t="n">
        <f aca="false">INDEX(Épopées!$M$6:$M$59,MATCH(K500,Épopées!$A$6:$A$59,0))</f>
        <v>46360</v>
      </c>
      <c r="T500" s="53" t="s">
        <v>463</v>
      </c>
    </row>
    <row r="501" customFormat="false" ht="15" hidden="false" customHeight="false" outlineLevel="0" collapsed="false">
      <c r="A501" s="31" t="s">
        <v>1644</v>
      </c>
      <c r="B501" s="31" t="s">
        <v>342</v>
      </c>
      <c r="C501" s="31" t="s">
        <v>343</v>
      </c>
      <c r="D501" s="31" t="s">
        <v>344</v>
      </c>
      <c r="E501" s="31" t="s">
        <v>1645</v>
      </c>
      <c r="F501" s="31" t="s">
        <v>491</v>
      </c>
      <c r="G501" s="31" t="s">
        <v>461</v>
      </c>
      <c r="H501" s="31" t="s">
        <v>39</v>
      </c>
      <c r="I501" s="31" t="n">
        <f aca="false">VLOOKUP(H501,Paramètres!$A$15:$B$19,2,FALSE())</f>
        <v>0.5</v>
      </c>
      <c r="J501" s="31" t="n">
        <v>0</v>
      </c>
      <c r="K501" s="50" t="str">
        <f aca="false">C501&amp;"|"&amp;J501</f>
        <v>MOB-FND|0</v>
      </c>
      <c r="L501" s="31" t="s">
        <v>1627</v>
      </c>
      <c r="M501" s="31" t="n">
        <v>0</v>
      </c>
      <c r="N501" s="51" t="s">
        <v>462</v>
      </c>
      <c r="O501" s="35" t="s">
        <v>78</v>
      </c>
      <c r="P501" s="52"/>
      <c r="Q501" s="52"/>
      <c r="R501" s="33" t="n">
        <f aca="false">INDEX(Épopées!$L$6:$L$59,MATCH(K501,Épopées!$A$6:$A$59,0))</f>
        <v>46328</v>
      </c>
      <c r="S501" s="33" t="n">
        <f aca="false">INDEX(Épopées!$M$6:$M$59,MATCH(K501,Épopées!$A$6:$A$59,0))</f>
        <v>46360</v>
      </c>
      <c r="T501" s="53" t="s">
        <v>463</v>
      </c>
    </row>
    <row r="502" customFormat="false" ht="15" hidden="false" customHeight="false" outlineLevel="0" collapsed="false">
      <c r="A502" s="31" t="s">
        <v>1646</v>
      </c>
      <c r="B502" s="31" t="s">
        <v>342</v>
      </c>
      <c r="C502" s="31" t="s">
        <v>343</v>
      </c>
      <c r="D502" s="31" t="s">
        <v>344</v>
      </c>
      <c r="E502" s="31" t="s">
        <v>1647</v>
      </c>
      <c r="F502" s="31" t="s">
        <v>491</v>
      </c>
      <c r="G502" s="31" t="s">
        <v>461</v>
      </c>
      <c r="H502" s="31" t="s">
        <v>39</v>
      </c>
      <c r="I502" s="31" t="n">
        <f aca="false">VLOOKUP(H502,Paramètres!$A$15:$B$19,2,FALSE())</f>
        <v>0.5</v>
      </c>
      <c r="J502" s="31" t="n">
        <v>0</v>
      </c>
      <c r="K502" s="50" t="str">
        <f aca="false">C502&amp;"|"&amp;J502</f>
        <v>MOB-FND|0</v>
      </c>
      <c r="L502" s="31" t="s">
        <v>1593</v>
      </c>
      <c r="M502" s="31" t="n">
        <v>0</v>
      </c>
      <c r="N502" s="51" t="s">
        <v>462</v>
      </c>
      <c r="O502" s="35" t="s">
        <v>78</v>
      </c>
      <c r="P502" s="52"/>
      <c r="Q502" s="52"/>
      <c r="R502" s="33" t="n">
        <f aca="false">INDEX(Épopées!$L$6:$L$59,MATCH(K502,Épopées!$A$6:$A$59,0))</f>
        <v>46328</v>
      </c>
      <c r="S502" s="33" t="n">
        <f aca="false">INDEX(Épopées!$M$6:$M$59,MATCH(K502,Épopées!$A$6:$A$59,0))</f>
        <v>46360</v>
      </c>
      <c r="T502" s="53" t="s">
        <v>463</v>
      </c>
    </row>
    <row r="503" customFormat="false" ht="15" hidden="false" customHeight="false" outlineLevel="0" collapsed="false">
      <c r="A503" s="31" t="s">
        <v>1648</v>
      </c>
      <c r="B503" s="31" t="s">
        <v>342</v>
      </c>
      <c r="C503" s="31" t="s">
        <v>343</v>
      </c>
      <c r="D503" s="31" t="s">
        <v>344</v>
      </c>
      <c r="E503" s="31" t="s">
        <v>1649</v>
      </c>
      <c r="F503" s="31" t="s">
        <v>491</v>
      </c>
      <c r="G503" s="31" t="s">
        <v>461</v>
      </c>
      <c r="H503" s="31" t="s">
        <v>41</v>
      </c>
      <c r="I503" s="31" t="n">
        <f aca="false">VLOOKUP(H503,Paramètres!$A$15:$B$19,2,FALSE())</f>
        <v>1</v>
      </c>
      <c r="J503" s="31" t="n">
        <v>0</v>
      </c>
      <c r="K503" s="50" t="str">
        <f aca="false">C503&amp;"|"&amp;J503</f>
        <v>MOB-FND|0</v>
      </c>
      <c r="L503" s="31" t="s">
        <v>1650</v>
      </c>
      <c r="M503" s="31" t="n">
        <v>1</v>
      </c>
      <c r="N503" s="51" t="s">
        <v>462</v>
      </c>
      <c r="O503" s="35" t="s">
        <v>78</v>
      </c>
      <c r="P503" s="52"/>
      <c r="Q503" s="52"/>
      <c r="R503" s="33" t="n">
        <f aca="false">INDEX(Épopées!$L$6:$L$59,MATCH(K503,Épopées!$A$6:$A$59,0))</f>
        <v>46328</v>
      </c>
      <c r="S503" s="33" t="n">
        <f aca="false">INDEX(Épopées!$M$6:$M$59,MATCH(K503,Épopées!$A$6:$A$59,0))</f>
        <v>46360</v>
      </c>
      <c r="T503" s="53" t="s">
        <v>463</v>
      </c>
    </row>
    <row r="504" customFormat="false" ht="15" hidden="false" customHeight="false" outlineLevel="0" collapsed="false">
      <c r="A504" s="31" t="s">
        <v>1651</v>
      </c>
      <c r="B504" s="31" t="s">
        <v>342</v>
      </c>
      <c r="C504" s="31" t="s">
        <v>343</v>
      </c>
      <c r="D504" s="31" t="s">
        <v>344</v>
      </c>
      <c r="E504" s="31" t="s">
        <v>1652</v>
      </c>
      <c r="F504" s="31" t="s">
        <v>491</v>
      </c>
      <c r="G504" s="31" t="s">
        <v>466</v>
      </c>
      <c r="H504" s="31" t="s">
        <v>39</v>
      </c>
      <c r="I504" s="31" t="n">
        <f aca="false">VLOOKUP(H504,Paramètres!$A$15:$B$19,2,FALSE())</f>
        <v>0.5</v>
      </c>
      <c r="J504" s="31" t="n">
        <v>0</v>
      </c>
      <c r="K504" s="50" t="str">
        <f aca="false">C504&amp;"|"&amp;J504</f>
        <v>MOB-FND|0</v>
      </c>
      <c r="L504" s="31" t="s">
        <v>1653</v>
      </c>
      <c r="M504" s="31" t="n">
        <v>0</v>
      </c>
      <c r="N504" s="51" t="s">
        <v>462</v>
      </c>
      <c r="O504" s="35" t="s">
        <v>78</v>
      </c>
      <c r="P504" s="52"/>
      <c r="Q504" s="52"/>
      <c r="R504" s="33" t="n">
        <f aca="false">INDEX(Épopées!$L$6:$L$59,MATCH(K504,Épopées!$A$6:$A$59,0))</f>
        <v>46328</v>
      </c>
      <c r="S504" s="33" t="n">
        <f aca="false">INDEX(Épopées!$M$6:$M$59,MATCH(K504,Épopées!$A$6:$A$59,0))</f>
        <v>46360</v>
      </c>
      <c r="T504" s="53" t="s">
        <v>463</v>
      </c>
    </row>
    <row r="505" customFormat="false" ht="15" hidden="false" customHeight="false" outlineLevel="0" collapsed="false">
      <c r="A505" s="31" t="s">
        <v>1654</v>
      </c>
      <c r="B505" s="31" t="s">
        <v>342</v>
      </c>
      <c r="C505" s="31" t="s">
        <v>343</v>
      </c>
      <c r="D505" s="31" t="s">
        <v>344</v>
      </c>
      <c r="E505" s="31" t="s">
        <v>1655</v>
      </c>
      <c r="F505" s="31" t="s">
        <v>481</v>
      </c>
      <c r="G505" s="31" t="s">
        <v>461</v>
      </c>
      <c r="H505" s="31" t="s">
        <v>41</v>
      </c>
      <c r="I505" s="31" t="n">
        <f aca="false">VLOOKUP(H505,Paramètres!$A$15:$B$19,2,FALSE())</f>
        <v>1</v>
      </c>
      <c r="J505" s="31" t="n">
        <v>0</v>
      </c>
      <c r="K505" s="50" t="str">
        <f aca="false">C505&amp;"|"&amp;J505</f>
        <v>MOB-FND|0</v>
      </c>
      <c r="L505" s="31" t="s">
        <v>1656</v>
      </c>
      <c r="M505" s="31" t="n">
        <v>0</v>
      </c>
      <c r="N505" s="51" t="s">
        <v>462</v>
      </c>
      <c r="O505" s="35" t="s">
        <v>78</v>
      </c>
      <c r="P505" s="52"/>
      <c r="Q505" s="52"/>
      <c r="R505" s="33" t="n">
        <f aca="false">INDEX(Épopées!$L$6:$L$59,MATCH(K505,Épopées!$A$6:$A$59,0))</f>
        <v>46328</v>
      </c>
      <c r="S505" s="33" t="n">
        <f aca="false">INDEX(Épopées!$M$6:$M$59,MATCH(K505,Épopées!$A$6:$A$59,0))</f>
        <v>46360</v>
      </c>
      <c r="T505" s="53" t="s">
        <v>463</v>
      </c>
    </row>
    <row r="506" customFormat="false" ht="15" hidden="false" customHeight="false" outlineLevel="0" collapsed="false">
      <c r="A506" s="31" t="s">
        <v>1657</v>
      </c>
      <c r="B506" s="31" t="s">
        <v>342</v>
      </c>
      <c r="C506" s="31" t="s">
        <v>343</v>
      </c>
      <c r="D506" s="31" t="s">
        <v>344</v>
      </c>
      <c r="E506" s="31" t="s">
        <v>1658</v>
      </c>
      <c r="F506" s="31" t="s">
        <v>491</v>
      </c>
      <c r="G506" s="31" t="s">
        <v>461</v>
      </c>
      <c r="H506" s="31" t="s">
        <v>41</v>
      </c>
      <c r="I506" s="31" t="n">
        <f aca="false">VLOOKUP(H506,Paramètres!$A$15:$B$19,2,FALSE())</f>
        <v>1</v>
      </c>
      <c r="J506" s="31" t="n">
        <v>0</v>
      </c>
      <c r="K506" s="50" t="str">
        <f aca="false">C506&amp;"|"&amp;J506</f>
        <v>MOB-FND|0</v>
      </c>
      <c r="L506" s="31" t="s">
        <v>1659</v>
      </c>
      <c r="M506" s="31" t="n">
        <v>0</v>
      </c>
      <c r="N506" s="51" t="s">
        <v>462</v>
      </c>
      <c r="O506" s="35" t="s">
        <v>78</v>
      </c>
      <c r="P506" s="52"/>
      <c r="Q506" s="52"/>
      <c r="R506" s="33" t="n">
        <f aca="false">INDEX(Épopées!$L$6:$L$59,MATCH(K506,Épopées!$A$6:$A$59,0))</f>
        <v>46328</v>
      </c>
      <c r="S506" s="33" t="n">
        <f aca="false">INDEX(Épopées!$M$6:$M$59,MATCH(K506,Épopées!$A$6:$A$59,0))</f>
        <v>46360</v>
      </c>
      <c r="T506" s="53" t="s">
        <v>463</v>
      </c>
    </row>
    <row r="507" customFormat="false" ht="15" hidden="false" customHeight="false" outlineLevel="0" collapsed="false">
      <c r="A507" s="31" t="s">
        <v>1660</v>
      </c>
      <c r="B507" s="31" t="s">
        <v>342</v>
      </c>
      <c r="C507" s="31" t="s">
        <v>343</v>
      </c>
      <c r="D507" s="31" t="s">
        <v>344</v>
      </c>
      <c r="E507" s="31" t="s">
        <v>1661</v>
      </c>
      <c r="F507" s="31" t="s">
        <v>491</v>
      </c>
      <c r="G507" s="31" t="s">
        <v>461</v>
      </c>
      <c r="H507" s="31" t="s">
        <v>43</v>
      </c>
      <c r="I507" s="31" t="n">
        <f aca="false">VLOOKUP(H507,Paramètres!$A$15:$B$19,2,FALSE())</f>
        <v>2</v>
      </c>
      <c r="J507" s="31" t="n">
        <v>0</v>
      </c>
      <c r="K507" s="50" t="str">
        <f aca="false">C507&amp;"|"&amp;J507</f>
        <v>MOB-FND|0</v>
      </c>
      <c r="L507" s="31" t="s">
        <v>1662</v>
      </c>
      <c r="M507" s="31" t="n">
        <v>0</v>
      </c>
      <c r="N507" s="51" t="s">
        <v>462</v>
      </c>
      <c r="O507" s="35" t="s">
        <v>78</v>
      </c>
      <c r="P507" s="52"/>
      <c r="Q507" s="52"/>
      <c r="R507" s="33" t="n">
        <f aca="false">INDEX(Épopées!$L$6:$L$59,MATCH(K507,Épopées!$A$6:$A$59,0))</f>
        <v>46328</v>
      </c>
      <c r="S507" s="33" t="n">
        <f aca="false">INDEX(Épopées!$M$6:$M$59,MATCH(K507,Épopées!$A$6:$A$59,0))</f>
        <v>46360</v>
      </c>
      <c r="T507" s="53" t="s">
        <v>463</v>
      </c>
    </row>
    <row r="508" customFormat="false" ht="15" hidden="false" customHeight="false" outlineLevel="0" collapsed="false">
      <c r="A508" s="31" t="s">
        <v>1663</v>
      </c>
      <c r="B508" s="31" t="s">
        <v>342</v>
      </c>
      <c r="C508" s="31" t="s">
        <v>343</v>
      </c>
      <c r="D508" s="31" t="s">
        <v>344</v>
      </c>
      <c r="E508" s="31" t="s">
        <v>1664</v>
      </c>
      <c r="F508" s="31" t="s">
        <v>491</v>
      </c>
      <c r="G508" s="31" t="s">
        <v>466</v>
      </c>
      <c r="H508" s="31" t="s">
        <v>41</v>
      </c>
      <c r="I508" s="31" t="n">
        <f aca="false">VLOOKUP(H508,Paramètres!$A$15:$B$19,2,FALSE())</f>
        <v>1</v>
      </c>
      <c r="J508" s="31" t="n">
        <v>0</v>
      </c>
      <c r="K508" s="50" t="str">
        <f aca="false">C508&amp;"|"&amp;J508</f>
        <v>MOB-FND|0</v>
      </c>
      <c r="L508" s="31" t="s">
        <v>1660</v>
      </c>
      <c r="M508" s="31" t="n">
        <v>1</v>
      </c>
      <c r="N508" s="51" t="s">
        <v>462</v>
      </c>
      <c r="O508" s="35" t="s">
        <v>78</v>
      </c>
      <c r="P508" s="52"/>
      <c r="Q508" s="52"/>
      <c r="R508" s="33" t="n">
        <f aca="false">INDEX(Épopées!$L$6:$L$59,MATCH(K508,Épopées!$A$6:$A$59,0))</f>
        <v>46328</v>
      </c>
      <c r="S508" s="33" t="n">
        <f aca="false">INDEX(Épopées!$M$6:$M$59,MATCH(K508,Épopées!$A$6:$A$59,0))</f>
        <v>46360</v>
      </c>
      <c r="T508" s="53" t="s">
        <v>463</v>
      </c>
    </row>
    <row r="509" customFormat="false" ht="15" hidden="false" customHeight="false" outlineLevel="0" collapsed="false">
      <c r="A509" s="31" t="s">
        <v>1665</v>
      </c>
      <c r="B509" s="31" t="s">
        <v>342</v>
      </c>
      <c r="C509" s="31" t="s">
        <v>343</v>
      </c>
      <c r="D509" s="31" t="s">
        <v>344</v>
      </c>
      <c r="E509" s="31" t="s">
        <v>1666</v>
      </c>
      <c r="F509" s="31" t="s">
        <v>491</v>
      </c>
      <c r="G509" s="31" t="s">
        <v>466</v>
      </c>
      <c r="H509" s="31" t="s">
        <v>41</v>
      </c>
      <c r="I509" s="31" t="n">
        <f aca="false">VLOOKUP(H509,Paramètres!$A$15:$B$19,2,FALSE())</f>
        <v>1</v>
      </c>
      <c r="J509" s="31" t="n">
        <v>0</v>
      </c>
      <c r="K509" s="50" t="str">
        <f aca="false">C509&amp;"|"&amp;J509</f>
        <v>MOB-FND|0</v>
      </c>
      <c r="L509" s="31" t="s">
        <v>1627</v>
      </c>
      <c r="M509" s="31" t="n">
        <v>0</v>
      </c>
      <c r="N509" s="51" t="s">
        <v>462</v>
      </c>
      <c r="O509" s="35" t="s">
        <v>78</v>
      </c>
      <c r="P509" s="52"/>
      <c r="Q509" s="52"/>
      <c r="R509" s="33" t="n">
        <f aca="false">INDEX(Épopées!$L$6:$L$59,MATCH(K509,Épopées!$A$6:$A$59,0))</f>
        <v>46328</v>
      </c>
      <c r="S509" s="33" t="n">
        <f aca="false">INDEX(Épopées!$M$6:$M$59,MATCH(K509,Épopées!$A$6:$A$59,0))</f>
        <v>46360</v>
      </c>
      <c r="T509" s="53" t="s">
        <v>463</v>
      </c>
    </row>
    <row r="510" customFormat="false" ht="15" hidden="false" customHeight="false" outlineLevel="0" collapsed="false">
      <c r="A510" s="31" t="s">
        <v>1667</v>
      </c>
      <c r="B510" s="31" t="s">
        <v>342</v>
      </c>
      <c r="C510" s="31" t="s">
        <v>343</v>
      </c>
      <c r="D510" s="31" t="s">
        <v>344</v>
      </c>
      <c r="E510" s="31" t="s">
        <v>1668</v>
      </c>
      <c r="F510" s="31" t="s">
        <v>481</v>
      </c>
      <c r="G510" s="31" t="s">
        <v>466</v>
      </c>
      <c r="H510" s="31" t="s">
        <v>43</v>
      </c>
      <c r="I510" s="31" t="n">
        <f aca="false">VLOOKUP(H510,Paramètres!$A$15:$B$19,2,FALSE())</f>
        <v>2</v>
      </c>
      <c r="J510" s="31" t="n">
        <v>0</v>
      </c>
      <c r="K510" s="50" t="str">
        <f aca="false">C510&amp;"|"&amp;J510</f>
        <v>MOB-FND|0</v>
      </c>
      <c r="L510" s="31" t="s">
        <v>1669</v>
      </c>
      <c r="M510" s="31" t="n">
        <v>0</v>
      </c>
      <c r="N510" s="51" t="s">
        <v>462</v>
      </c>
      <c r="O510" s="35" t="s">
        <v>78</v>
      </c>
      <c r="P510" s="52"/>
      <c r="Q510" s="52"/>
      <c r="R510" s="33" t="n">
        <f aca="false">INDEX(Épopées!$L$6:$L$59,MATCH(K510,Épopées!$A$6:$A$59,0))</f>
        <v>46328</v>
      </c>
      <c r="S510" s="33" t="n">
        <f aca="false">INDEX(Épopées!$M$6:$M$59,MATCH(K510,Épopées!$A$6:$A$59,0))</f>
        <v>46360</v>
      </c>
      <c r="T510" s="53" t="s">
        <v>463</v>
      </c>
    </row>
    <row r="511" customFormat="false" ht="15" hidden="false" customHeight="false" outlineLevel="0" collapsed="false">
      <c r="A511" s="31" t="s">
        <v>1670</v>
      </c>
      <c r="B511" s="31" t="s">
        <v>342</v>
      </c>
      <c r="C511" s="31" t="s">
        <v>343</v>
      </c>
      <c r="D511" s="31" t="s">
        <v>344</v>
      </c>
      <c r="E511" s="31" t="s">
        <v>1671</v>
      </c>
      <c r="F511" s="31" t="s">
        <v>491</v>
      </c>
      <c r="G511" s="31" t="s">
        <v>466</v>
      </c>
      <c r="H511" s="31" t="s">
        <v>41</v>
      </c>
      <c r="I511" s="31" t="n">
        <f aca="false">VLOOKUP(H511,Paramètres!$A$15:$B$19,2,FALSE())</f>
        <v>1</v>
      </c>
      <c r="J511" s="31" t="n">
        <v>0</v>
      </c>
      <c r="K511" s="50" t="str">
        <f aca="false">C511&amp;"|"&amp;J511</f>
        <v>MOB-FND|0</v>
      </c>
      <c r="L511" s="31" t="s">
        <v>1672</v>
      </c>
      <c r="M511" s="31" t="n">
        <v>0</v>
      </c>
      <c r="N511" s="51" t="s">
        <v>462</v>
      </c>
      <c r="O511" s="35" t="s">
        <v>78</v>
      </c>
      <c r="P511" s="52"/>
      <c r="Q511" s="52"/>
      <c r="R511" s="33" t="n">
        <f aca="false">INDEX(Épopées!$L$6:$L$59,MATCH(K511,Épopées!$A$6:$A$59,0))</f>
        <v>46328</v>
      </c>
      <c r="S511" s="33" t="n">
        <f aca="false">INDEX(Épopées!$M$6:$M$59,MATCH(K511,Épopées!$A$6:$A$59,0))</f>
        <v>46360</v>
      </c>
      <c r="T511" s="53" t="s">
        <v>463</v>
      </c>
    </row>
    <row r="512" customFormat="false" ht="15" hidden="false" customHeight="false" outlineLevel="0" collapsed="false">
      <c r="A512" s="31" t="s">
        <v>1673</v>
      </c>
      <c r="B512" s="31" t="s">
        <v>342</v>
      </c>
      <c r="C512" s="31" t="s">
        <v>343</v>
      </c>
      <c r="D512" s="31" t="s">
        <v>344</v>
      </c>
      <c r="E512" s="31" t="s">
        <v>1674</v>
      </c>
      <c r="F512" s="31" t="s">
        <v>491</v>
      </c>
      <c r="G512" s="31" t="s">
        <v>461</v>
      </c>
      <c r="H512" s="31" t="s">
        <v>41</v>
      </c>
      <c r="I512" s="31" t="n">
        <f aca="false">VLOOKUP(H512,Paramètres!$A$15:$B$19,2,FALSE())</f>
        <v>1</v>
      </c>
      <c r="J512" s="31" t="n">
        <v>0</v>
      </c>
      <c r="K512" s="50" t="str">
        <f aca="false">C512&amp;"|"&amp;J512</f>
        <v>MOB-FND|0</v>
      </c>
      <c r="L512" s="31" t="s">
        <v>1646</v>
      </c>
      <c r="M512" s="31" t="n">
        <v>2</v>
      </c>
      <c r="N512" s="51" t="s">
        <v>462</v>
      </c>
      <c r="O512" s="35" t="s">
        <v>78</v>
      </c>
      <c r="P512" s="52"/>
      <c r="Q512" s="52"/>
      <c r="R512" s="33" t="n">
        <f aca="false">INDEX(Épopées!$L$6:$L$59,MATCH(K512,Épopées!$A$6:$A$59,0))</f>
        <v>46328</v>
      </c>
      <c r="S512" s="33" t="n">
        <f aca="false">INDEX(Épopées!$M$6:$M$59,MATCH(K512,Épopées!$A$6:$A$59,0))</f>
        <v>46360</v>
      </c>
      <c r="T512" s="53" t="s">
        <v>463</v>
      </c>
    </row>
    <row r="513" customFormat="false" ht="15" hidden="false" customHeight="false" outlineLevel="0" collapsed="false">
      <c r="A513" s="31" t="s">
        <v>1675</v>
      </c>
      <c r="B513" s="31" t="s">
        <v>342</v>
      </c>
      <c r="C513" s="31" t="s">
        <v>343</v>
      </c>
      <c r="D513" s="31" t="s">
        <v>344</v>
      </c>
      <c r="E513" s="31" t="s">
        <v>1676</v>
      </c>
      <c r="F513" s="31" t="s">
        <v>548</v>
      </c>
      <c r="G513" s="31" t="s">
        <v>466</v>
      </c>
      <c r="H513" s="31" t="s">
        <v>41</v>
      </c>
      <c r="I513" s="31" t="n">
        <f aca="false">VLOOKUP(H513,Paramètres!$A$15:$B$19,2,FALSE())</f>
        <v>1</v>
      </c>
      <c r="J513" s="31" t="n">
        <v>0</v>
      </c>
      <c r="K513" s="50" t="str">
        <f aca="false">C513&amp;"|"&amp;J513</f>
        <v>MOB-FND|0</v>
      </c>
      <c r="L513" s="31" t="s">
        <v>1677</v>
      </c>
      <c r="M513" s="31" t="n">
        <v>0</v>
      </c>
      <c r="N513" s="51" t="s">
        <v>462</v>
      </c>
      <c r="O513" s="35" t="s">
        <v>78</v>
      </c>
      <c r="P513" s="52"/>
      <c r="Q513" s="52"/>
      <c r="R513" s="33" t="n">
        <f aca="false">INDEX(Épopées!$L$6:$L$59,MATCH(K513,Épopées!$A$6:$A$59,0))</f>
        <v>46328</v>
      </c>
      <c r="S513" s="33" t="n">
        <f aca="false">INDEX(Épopées!$M$6:$M$59,MATCH(K513,Épopées!$A$6:$A$59,0))</f>
        <v>46360</v>
      </c>
      <c r="T513" s="53" t="s">
        <v>463</v>
      </c>
    </row>
    <row r="514" customFormat="false" ht="15" hidden="false" customHeight="false" outlineLevel="0" collapsed="false">
      <c r="A514" s="31" t="s">
        <v>1678</v>
      </c>
      <c r="B514" s="31" t="s">
        <v>342</v>
      </c>
      <c r="C514" s="31" t="s">
        <v>343</v>
      </c>
      <c r="D514" s="31" t="s">
        <v>344</v>
      </c>
      <c r="E514" s="31" t="s">
        <v>1679</v>
      </c>
      <c r="F514" s="31" t="s">
        <v>548</v>
      </c>
      <c r="G514" s="31" t="s">
        <v>466</v>
      </c>
      <c r="H514" s="31" t="s">
        <v>39</v>
      </c>
      <c r="I514" s="31" t="n">
        <f aca="false">VLOOKUP(H514,Paramètres!$A$15:$B$19,2,FALSE())</f>
        <v>0.5</v>
      </c>
      <c r="J514" s="31" t="n">
        <v>0</v>
      </c>
      <c r="K514" s="50" t="str">
        <f aca="false">C514&amp;"|"&amp;J514</f>
        <v>MOB-FND|0</v>
      </c>
      <c r="L514" s="31" t="s">
        <v>1673</v>
      </c>
      <c r="M514" s="31" t="n">
        <v>1</v>
      </c>
      <c r="N514" s="51" t="s">
        <v>462</v>
      </c>
      <c r="O514" s="35" t="s">
        <v>78</v>
      </c>
      <c r="P514" s="52"/>
      <c r="Q514" s="52"/>
      <c r="R514" s="33" t="n">
        <f aca="false">INDEX(Épopées!$L$6:$L$59,MATCH(K514,Épopées!$A$6:$A$59,0))</f>
        <v>46328</v>
      </c>
      <c r="S514" s="33" t="n">
        <f aca="false">INDEX(Épopées!$M$6:$M$59,MATCH(K514,Épopées!$A$6:$A$59,0))</f>
        <v>46360</v>
      </c>
      <c r="T514" s="53" t="s">
        <v>463</v>
      </c>
    </row>
    <row r="515" customFormat="false" ht="15" hidden="false" customHeight="false" outlineLevel="0" collapsed="false">
      <c r="A515" s="31" t="s">
        <v>1680</v>
      </c>
      <c r="B515" s="31" t="s">
        <v>342</v>
      </c>
      <c r="C515" s="31" t="s">
        <v>343</v>
      </c>
      <c r="D515" s="31" t="s">
        <v>344</v>
      </c>
      <c r="E515" s="31" t="s">
        <v>1681</v>
      </c>
      <c r="F515" s="31" t="s">
        <v>472</v>
      </c>
      <c r="G515" s="31" t="s">
        <v>461</v>
      </c>
      <c r="H515" s="31" t="s">
        <v>41</v>
      </c>
      <c r="I515" s="31" t="n">
        <f aca="false">VLOOKUP(H515,Paramètres!$A$15:$B$19,2,FALSE())</f>
        <v>1</v>
      </c>
      <c r="J515" s="31" t="n">
        <v>0</v>
      </c>
      <c r="K515" s="50" t="str">
        <f aca="false">C515&amp;"|"&amp;J515</f>
        <v>MOB-FND|0</v>
      </c>
      <c r="L515" s="31" t="s">
        <v>1639</v>
      </c>
      <c r="M515" s="31" t="n">
        <v>0</v>
      </c>
      <c r="N515" s="51" t="s">
        <v>462</v>
      </c>
      <c r="O515" s="35" t="s">
        <v>78</v>
      </c>
      <c r="P515" s="52"/>
      <c r="Q515" s="52"/>
      <c r="R515" s="33" t="n">
        <f aca="false">INDEX(Épopées!$L$6:$L$59,MATCH(K515,Épopées!$A$6:$A$59,0))</f>
        <v>46328</v>
      </c>
      <c r="S515" s="33" t="n">
        <f aca="false">INDEX(Épopées!$M$6:$M$59,MATCH(K515,Épopées!$A$6:$A$59,0))</f>
        <v>46360</v>
      </c>
      <c r="T515" s="53" t="s">
        <v>463</v>
      </c>
    </row>
    <row r="516" customFormat="false" ht="15" hidden="false" customHeight="false" outlineLevel="0" collapsed="false">
      <c r="A516" s="31" t="s">
        <v>1682</v>
      </c>
      <c r="B516" s="31" t="s">
        <v>342</v>
      </c>
      <c r="C516" s="31" t="s">
        <v>343</v>
      </c>
      <c r="D516" s="31" t="s">
        <v>344</v>
      </c>
      <c r="E516" s="31" t="s">
        <v>1683</v>
      </c>
      <c r="F516" s="31" t="s">
        <v>472</v>
      </c>
      <c r="G516" s="31" t="s">
        <v>461</v>
      </c>
      <c r="H516" s="31" t="s">
        <v>41</v>
      </c>
      <c r="I516" s="31" t="n">
        <f aca="false">VLOOKUP(H516,Paramètres!$A$15:$B$19,2,FALSE())</f>
        <v>1</v>
      </c>
      <c r="J516" s="31" t="n">
        <v>0</v>
      </c>
      <c r="K516" s="50" t="str">
        <f aca="false">C516&amp;"|"&amp;J516</f>
        <v>MOB-FND|0</v>
      </c>
      <c r="L516" s="31" t="s">
        <v>1680</v>
      </c>
      <c r="M516" s="31" t="n">
        <v>0</v>
      </c>
      <c r="N516" s="51" t="s">
        <v>462</v>
      </c>
      <c r="O516" s="35" t="s">
        <v>78</v>
      </c>
      <c r="P516" s="52"/>
      <c r="Q516" s="52"/>
      <c r="R516" s="33" t="n">
        <f aca="false">INDEX(Épopées!$L$6:$L$59,MATCH(K516,Épopées!$A$6:$A$59,0))</f>
        <v>46328</v>
      </c>
      <c r="S516" s="33" t="n">
        <f aca="false">INDEX(Épopées!$M$6:$M$59,MATCH(K516,Épopées!$A$6:$A$59,0))</f>
        <v>46360</v>
      </c>
      <c r="T516" s="53" t="s">
        <v>463</v>
      </c>
    </row>
    <row r="517" customFormat="false" ht="15" hidden="false" customHeight="false" outlineLevel="0" collapsed="false">
      <c r="A517" s="31" t="s">
        <v>1684</v>
      </c>
      <c r="B517" s="31" t="s">
        <v>342</v>
      </c>
      <c r="C517" s="31" t="s">
        <v>343</v>
      </c>
      <c r="D517" s="31" t="s">
        <v>344</v>
      </c>
      <c r="E517" s="31" t="s">
        <v>1685</v>
      </c>
      <c r="F517" s="31" t="s">
        <v>472</v>
      </c>
      <c r="G517" s="31" t="s">
        <v>466</v>
      </c>
      <c r="H517" s="31" t="s">
        <v>43</v>
      </c>
      <c r="I517" s="31" t="n">
        <f aca="false">VLOOKUP(H517,Paramètres!$A$15:$B$19,2,FALSE())</f>
        <v>2</v>
      </c>
      <c r="J517" s="31" t="n">
        <v>0</v>
      </c>
      <c r="K517" s="50" t="str">
        <f aca="false">C517&amp;"|"&amp;J517</f>
        <v>MOB-FND|0</v>
      </c>
      <c r="L517" s="31" t="s">
        <v>1686</v>
      </c>
      <c r="M517" s="31" t="n">
        <v>0</v>
      </c>
      <c r="N517" s="51" t="s">
        <v>462</v>
      </c>
      <c r="O517" s="35" t="s">
        <v>78</v>
      </c>
      <c r="P517" s="52"/>
      <c r="Q517" s="52"/>
      <c r="R517" s="33" t="n">
        <f aca="false">INDEX(Épopées!$L$6:$L$59,MATCH(K517,Épopées!$A$6:$A$59,0))</f>
        <v>46328</v>
      </c>
      <c r="S517" s="33" t="n">
        <f aca="false">INDEX(Épopées!$M$6:$M$59,MATCH(K517,Épopées!$A$6:$A$59,0))</f>
        <v>46360</v>
      </c>
      <c r="T517" s="53" t="s">
        <v>463</v>
      </c>
    </row>
    <row r="518" customFormat="false" ht="15" hidden="false" customHeight="false" outlineLevel="0" collapsed="false">
      <c r="A518" s="31" t="s">
        <v>1687</v>
      </c>
      <c r="B518" s="31" t="s">
        <v>342</v>
      </c>
      <c r="C518" s="31" t="s">
        <v>343</v>
      </c>
      <c r="D518" s="31" t="s">
        <v>344</v>
      </c>
      <c r="E518" s="31" t="s">
        <v>1688</v>
      </c>
      <c r="F518" s="31" t="s">
        <v>481</v>
      </c>
      <c r="G518" s="31" t="s">
        <v>461</v>
      </c>
      <c r="H518" s="31" t="s">
        <v>41</v>
      </c>
      <c r="I518" s="31" t="n">
        <f aca="false">VLOOKUP(H518,Paramètres!$A$15:$B$19,2,FALSE())</f>
        <v>1</v>
      </c>
      <c r="J518" s="31" t="n">
        <v>0</v>
      </c>
      <c r="K518" s="50" t="str">
        <f aca="false">C518&amp;"|"&amp;J518</f>
        <v>MOB-FND|0</v>
      </c>
      <c r="L518" s="31" t="s">
        <v>1689</v>
      </c>
      <c r="M518" s="31" t="n">
        <v>0</v>
      </c>
      <c r="N518" s="51" t="s">
        <v>462</v>
      </c>
      <c r="O518" s="35" t="s">
        <v>78</v>
      </c>
      <c r="P518" s="52"/>
      <c r="Q518" s="52"/>
      <c r="R518" s="33" t="n">
        <f aca="false">INDEX(Épopées!$L$6:$L$59,MATCH(K518,Épopées!$A$6:$A$59,0))</f>
        <v>46328</v>
      </c>
      <c r="S518" s="33" t="n">
        <f aca="false">INDEX(Épopées!$M$6:$M$59,MATCH(K518,Épopées!$A$6:$A$59,0))</f>
        <v>46360</v>
      </c>
      <c r="T518" s="53" t="s">
        <v>463</v>
      </c>
    </row>
    <row r="519" customFormat="false" ht="15" hidden="false" customHeight="false" outlineLevel="0" collapsed="false">
      <c r="A519" s="31" t="s">
        <v>1690</v>
      </c>
      <c r="B519" s="31" t="s">
        <v>342</v>
      </c>
      <c r="C519" s="31" t="s">
        <v>343</v>
      </c>
      <c r="D519" s="31" t="s">
        <v>344</v>
      </c>
      <c r="E519" s="31" t="s">
        <v>1691</v>
      </c>
      <c r="F519" s="31" t="s">
        <v>481</v>
      </c>
      <c r="G519" s="31" t="s">
        <v>466</v>
      </c>
      <c r="H519" s="31" t="s">
        <v>43</v>
      </c>
      <c r="I519" s="31" t="n">
        <f aca="false">VLOOKUP(H519,Paramètres!$A$15:$B$19,2,FALSE())</f>
        <v>2</v>
      </c>
      <c r="J519" s="31" t="n">
        <v>0</v>
      </c>
      <c r="K519" s="50" t="str">
        <f aca="false">C519&amp;"|"&amp;J519</f>
        <v>MOB-FND|0</v>
      </c>
      <c r="L519" s="31" t="s">
        <v>1692</v>
      </c>
      <c r="M519" s="31" t="n">
        <v>0</v>
      </c>
      <c r="N519" s="51" t="s">
        <v>462</v>
      </c>
      <c r="O519" s="35" t="s">
        <v>78</v>
      </c>
      <c r="P519" s="52"/>
      <c r="Q519" s="52"/>
      <c r="R519" s="33" t="n">
        <f aca="false">INDEX(Épopées!$L$6:$L$59,MATCH(K519,Épopées!$A$6:$A$59,0))</f>
        <v>46328</v>
      </c>
      <c r="S519" s="33" t="n">
        <f aca="false">INDEX(Épopées!$M$6:$M$59,MATCH(K519,Épopées!$A$6:$A$59,0))</f>
        <v>46360</v>
      </c>
      <c r="T519" s="53" t="s">
        <v>463</v>
      </c>
    </row>
    <row r="520" customFormat="false" ht="15" hidden="false" customHeight="false" outlineLevel="0" collapsed="false">
      <c r="A520" s="31" t="s">
        <v>1693</v>
      </c>
      <c r="B520" s="31" t="s">
        <v>342</v>
      </c>
      <c r="C520" s="31" t="s">
        <v>343</v>
      </c>
      <c r="D520" s="31" t="s">
        <v>344</v>
      </c>
      <c r="E520" s="31" t="s">
        <v>1694</v>
      </c>
      <c r="F520" s="31" t="s">
        <v>503</v>
      </c>
      <c r="G520" s="31" t="s">
        <v>466</v>
      </c>
      <c r="H520" s="31" t="s">
        <v>41</v>
      </c>
      <c r="I520" s="31" t="n">
        <f aca="false">VLOOKUP(H520,Paramètres!$A$15:$B$19,2,FALSE())</f>
        <v>1</v>
      </c>
      <c r="J520" s="31" t="n">
        <v>0</v>
      </c>
      <c r="K520" s="50" t="str">
        <f aca="false">C520&amp;"|"&amp;J520</f>
        <v>MOB-FND|0</v>
      </c>
      <c r="L520" s="31" t="s">
        <v>1690</v>
      </c>
      <c r="M520" s="31" t="n">
        <v>1</v>
      </c>
      <c r="N520" s="51" t="s">
        <v>462</v>
      </c>
      <c r="O520" s="35" t="s">
        <v>78</v>
      </c>
      <c r="P520" s="52"/>
      <c r="Q520" s="52"/>
      <c r="R520" s="33" t="n">
        <f aca="false">INDEX(Épopées!$L$6:$L$59,MATCH(K520,Épopées!$A$6:$A$59,0))</f>
        <v>46328</v>
      </c>
      <c r="S520" s="33" t="n">
        <f aca="false">INDEX(Épopées!$M$6:$M$59,MATCH(K520,Épopées!$A$6:$A$59,0))</f>
        <v>46360</v>
      </c>
      <c r="T520" s="53" t="s">
        <v>463</v>
      </c>
    </row>
    <row r="521" customFormat="false" ht="15" hidden="false" customHeight="false" outlineLevel="0" collapsed="false">
      <c r="A521" s="31" t="s">
        <v>1695</v>
      </c>
      <c r="B521" s="31" t="s">
        <v>342</v>
      </c>
      <c r="C521" s="31" t="s">
        <v>343</v>
      </c>
      <c r="D521" s="31" t="s">
        <v>344</v>
      </c>
      <c r="E521" s="31" t="s">
        <v>1696</v>
      </c>
      <c r="F521" s="31" t="s">
        <v>469</v>
      </c>
      <c r="G521" s="31" t="s">
        <v>612</v>
      </c>
      <c r="H521" s="31" t="s">
        <v>43</v>
      </c>
      <c r="I521" s="31" t="n">
        <f aca="false">VLOOKUP(H521,Paramètres!$A$15:$B$19,2,FALSE())</f>
        <v>2</v>
      </c>
      <c r="J521" s="31" t="n">
        <v>0</v>
      </c>
      <c r="K521" s="50" t="str">
        <f aca="false">C521&amp;"|"&amp;J521</f>
        <v>MOB-FND|0</v>
      </c>
      <c r="L521" s="31" t="s">
        <v>1697</v>
      </c>
      <c r="M521" s="31" t="n">
        <v>0</v>
      </c>
      <c r="N521" s="51" t="s">
        <v>462</v>
      </c>
      <c r="O521" s="35" t="s">
        <v>78</v>
      </c>
      <c r="P521" s="52"/>
      <c r="Q521" s="52"/>
      <c r="R521" s="33" t="n">
        <f aca="false">INDEX(Épopées!$L$6:$L$59,MATCH(K521,Épopées!$A$6:$A$59,0))</f>
        <v>46328</v>
      </c>
      <c r="S521" s="33" t="n">
        <f aca="false">INDEX(Épopées!$M$6:$M$59,MATCH(K521,Épopées!$A$6:$A$59,0))</f>
        <v>46360</v>
      </c>
      <c r="T521" s="53" t="s">
        <v>463</v>
      </c>
    </row>
    <row r="522" customFormat="false" ht="15" hidden="false" customHeight="false" outlineLevel="0" collapsed="false">
      <c r="A522" s="31" t="s">
        <v>1698</v>
      </c>
      <c r="B522" s="31" t="s">
        <v>342</v>
      </c>
      <c r="C522" s="31" t="s">
        <v>343</v>
      </c>
      <c r="D522" s="31" t="s">
        <v>344</v>
      </c>
      <c r="E522" s="31" t="s">
        <v>1699</v>
      </c>
      <c r="F522" s="31" t="s">
        <v>472</v>
      </c>
      <c r="G522" s="31" t="s">
        <v>466</v>
      </c>
      <c r="H522" s="31" t="s">
        <v>41</v>
      </c>
      <c r="I522" s="31" t="n">
        <f aca="false">VLOOKUP(H522,Paramètres!$A$15:$B$19,2,FALSE())</f>
        <v>1</v>
      </c>
      <c r="J522" s="31" t="n">
        <v>0</v>
      </c>
      <c r="K522" s="50" t="str">
        <f aca="false">C522&amp;"|"&amp;J522</f>
        <v>MOB-FND|0</v>
      </c>
      <c r="L522" s="31" t="s">
        <v>1639</v>
      </c>
      <c r="M522" s="31" t="n">
        <v>0</v>
      </c>
      <c r="N522" s="51" t="s">
        <v>462</v>
      </c>
      <c r="O522" s="35" t="s">
        <v>78</v>
      </c>
      <c r="P522" s="52"/>
      <c r="Q522" s="52"/>
      <c r="R522" s="33" t="n">
        <f aca="false">INDEX(Épopées!$L$6:$L$59,MATCH(K522,Épopées!$A$6:$A$59,0))</f>
        <v>46328</v>
      </c>
      <c r="S522" s="33" t="n">
        <f aca="false">INDEX(Épopées!$M$6:$M$59,MATCH(K522,Épopées!$A$6:$A$59,0))</f>
        <v>46360</v>
      </c>
      <c r="T522" s="53" t="s">
        <v>463</v>
      </c>
    </row>
    <row r="523" customFormat="false" ht="15" hidden="false" customHeight="false" outlineLevel="0" collapsed="false">
      <c r="A523" s="31" t="s">
        <v>1700</v>
      </c>
      <c r="B523" s="31" t="s">
        <v>342</v>
      </c>
      <c r="C523" s="31" t="s">
        <v>343</v>
      </c>
      <c r="D523" s="31" t="s">
        <v>344</v>
      </c>
      <c r="E523" s="31" t="s">
        <v>1701</v>
      </c>
      <c r="F523" s="31" t="s">
        <v>503</v>
      </c>
      <c r="G523" s="31" t="s">
        <v>612</v>
      </c>
      <c r="H523" s="31" t="s">
        <v>39</v>
      </c>
      <c r="I523" s="31" t="n">
        <f aca="false">VLOOKUP(H523,Paramètres!$A$15:$B$19,2,FALSE())</f>
        <v>0.5</v>
      </c>
      <c r="J523" s="31" t="n">
        <v>0</v>
      </c>
      <c r="K523" s="50" t="str">
        <f aca="false">C523&amp;"|"&amp;J523</f>
        <v>MOB-FND|0</v>
      </c>
      <c r="L523" s="31" t="s">
        <v>1698</v>
      </c>
      <c r="M523" s="31" t="n">
        <v>0</v>
      </c>
      <c r="N523" s="51" t="s">
        <v>462</v>
      </c>
      <c r="O523" s="35" t="s">
        <v>78</v>
      </c>
      <c r="P523" s="52"/>
      <c r="Q523" s="52"/>
      <c r="R523" s="33" t="n">
        <f aca="false">INDEX(Épopées!$L$6:$L$59,MATCH(K523,Épopées!$A$6:$A$59,0))</f>
        <v>46328</v>
      </c>
      <c r="S523" s="33" t="n">
        <f aca="false">INDEX(Épopées!$M$6:$M$59,MATCH(K523,Épopées!$A$6:$A$59,0))</f>
        <v>46360</v>
      </c>
      <c r="T523" s="53" t="s">
        <v>463</v>
      </c>
    </row>
    <row r="524" customFormat="false" ht="15" hidden="false" customHeight="false" outlineLevel="0" collapsed="false">
      <c r="A524" s="31" t="s">
        <v>1702</v>
      </c>
      <c r="B524" s="31" t="s">
        <v>342</v>
      </c>
      <c r="C524" s="31" t="s">
        <v>346</v>
      </c>
      <c r="D524" s="31" t="s">
        <v>347</v>
      </c>
      <c r="E524" s="31" t="s">
        <v>1703</v>
      </c>
      <c r="F524" s="31" t="s">
        <v>486</v>
      </c>
      <c r="G524" s="31" t="s">
        <v>461</v>
      </c>
      <c r="H524" s="31" t="s">
        <v>41</v>
      </c>
      <c r="I524" s="31" t="n">
        <f aca="false">VLOOKUP(H524,Paramètres!$A$15:$B$19,2,FALSE())</f>
        <v>1</v>
      </c>
      <c r="J524" s="31" t="n">
        <v>0</v>
      </c>
      <c r="K524" s="50" t="str">
        <f aca="false">C524&amp;"|"&amp;J524</f>
        <v>MOB-ZA|0</v>
      </c>
      <c r="L524" s="31"/>
      <c r="M524" s="31" t="n">
        <v>1</v>
      </c>
      <c r="N524" s="51" t="s">
        <v>462</v>
      </c>
      <c r="O524" s="35" t="s">
        <v>78</v>
      </c>
      <c r="P524" s="52"/>
      <c r="Q524" s="52"/>
      <c r="R524" s="33" t="n">
        <f aca="false">INDEX(Épopées!$L$6:$L$59,MATCH(K524,Épopées!$A$6:$A$59,0))</f>
        <v>46363</v>
      </c>
      <c r="S524" s="33" t="n">
        <f aca="false">INDEX(Épopées!$M$6:$M$59,MATCH(K524,Épopées!$A$6:$A$59,0))</f>
        <v>46371</v>
      </c>
      <c r="T524" s="53" t="s">
        <v>463</v>
      </c>
    </row>
    <row r="525" customFormat="false" ht="15" hidden="false" customHeight="false" outlineLevel="0" collapsed="false">
      <c r="A525" s="31" t="s">
        <v>1704</v>
      </c>
      <c r="B525" s="31" t="s">
        <v>342</v>
      </c>
      <c r="C525" s="31" t="s">
        <v>346</v>
      </c>
      <c r="D525" s="31" t="s">
        <v>347</v>
      </c>
      <c r="E525" s="31" t="s">
        <v>1705</v>
      </c>
      <c r="F525" s="31" t="s">
        <v>472</v>
      </c>
      <c r="G525" s="31" t="s">
        <v>461</v>
      </c>
      <c r="H525" s="31" t="s">
        <v>39</v>
      </c>
      <c r="I525" s="31" t="n">
        <f aca="false">VLOOKUP(H525,Paramètres!$A$15:$B$19,2,FALSE())</f>
        <v>0.5</v>
      </c>
      <c r="J525" s="31" t="n">
        <v>0</v>
      </c>
      <c r="K525" s="50" t="str">
        <f aca="false">C525&amp;"|"&amp;J525</f>
        <v>MOB-ZA|0</v>
      </c>
      <c r="L525" s="31" t="s">
        <v>1702</v>
      </c>
      <c r="M525" s="31" t="n">
        <v>1</v>
      </c>
      <c r="N525" s="51" t="s">
        <v>462</v>
      </c>
      <c r="O525" s="35" t="s">
        <v>78</v>
      </c>
      <c r="P525" s="52"/>
      <c r="Q525" s="52"/>
      <c r="R525" s="33" t="n">
        <f aca="false">INDEX(Épopées!$L$6:$L$59,MATCH(K525,Épopées!$A$6:$A$59,0))</f>
        <v>46363</v>
      </c>
      <c r="S525" s="33" t="n">
        <f aca="false">INDEX(Épopées!$M$6:$M$59,MATCH(K525,Épopées!$A$6:$A$59,0))</f>
        <v>46371</v>
      </c>
      <c r="T525" s="53" t="s">
        <v>463</v>
      </c>
    </row>
    <row r="526" customFormat="false" ht="15" hidden="false" customHeight="false" outlineLevel="0" collapsed="false">
      <c r="A526" s="31" t="s">
        <v>1706</v>
      </c>
      <c r="B526" s="31" t="s">
        <v>342</v>
      </c>
      <c r="C526" s="31" t="s">
        <v>346</v>
      </c>
      <c r="D526" s="31" t="s">
        <v>347</v>
      </c>
      <c r="E526" s="31" t="s">
        <v>1707</v>
      </c>
      <c r="F526" s="31" t="s">
        <v>486</v>
      </c>
      <c r="G526" s="31" t="s">
        <v>466</v>
      </c>
      <c r="H526" s="31" t="s">
        <v>39</v>
      </c>
      <c r="I526" s="31" t="n">
        <f aca="false">VLOOKUP(H526,Paramètres!$A$15:$B$19,2,FALSE())</f>
        <v>0.5</v>
      </c>
      <c r="J526" s="31" t="n">
        <v>0</v>
      </c>
      <c r="K526" s="50" t="str">
        <f aca="false">C526&amp;"|"&amp;J526</f>
        <v>MOB-ZA|0</v>
      </c>
      <c r="L526" s="31" t="s">
        <v>1702</v>
      </c>
      <c r="M526" s="31" t="n">
        <v>2</v>
      </c>
      <c r="N526" s="51" t="s">
        <v>462</v>
      </c>
      <c r="O526" s="35" t="s">
        <v>78</v>
      </c>
      <c r="P526" s="52"/>
      <c r="Q526" s="52"/>
      <c r="R526" s="33" t="n">
        <f aca="false">INDEX(Épopées!$L$6:$L$59,MATCH(K526,Épopées!$A$6:$A$59,0))</f>
        <v>46363</v>
      </c>
      <c r="S526" s="33" t="n">
        <f aca="false">INDEX(Épopées!$M$6:$M$59,MATCH(K526,Épopées!$A$6:$A$59,0))</f>
        <v>46371</v>
      </c>
      <c r="T526" s="53" t="s">
        <v>463</v>
      </c>
    </row>
    <row r="527" customFormat="false" ht="15" hidden="false" customHeight="false" outlineLevel="0" collapsed="false">
      <c r="A527" s="31" t="s">
        <v>1708</v>
      </c>
      <c r="B527" s="31" t="s">
        <v>342</v>
      </c>
      <c r="C527" s="31" t="s">
        <v>346</v>
      </c>
      <c r="D527" s="31" t="s">
        <v>347</v>
      </c>
      <c r="E527" s="31" t="s">
        <v>1709</v>
      </c>
      <c r="F527" s="31" t="s">
        <v>486</v>
      </c>
      <c r="G527" s="31" t="s">
        <v>461</v>
      </c>
      <c r="H527" s="31" t="s">
        <v>41</v>
      </c>
      <c r="I527" s="31" t="n">
        <f aca="false">VLOOKUP(H527,Paramètres!$A$15:$B$19,2,FALSE())</f>
        <v>1</v>
      </c>
      <c r="J527" s="31" t="n">
        <v>0</v>
      </c>
      <c r="K527" s="50" t="str">
        <f aca="false">C527&amp;"|"&amp;J527</f>
        <v>MOB-ZA|0</v>
      </c>
      <c r="L527" s="31" t="s">
        <v>1710</v>
      </c>
      <c r="M527" s="31" t="n">
        <v>1</v>
      </c>
      <c r="N527" s="51" t="s">
        <v>462</v>
      </c>
      <c r="O527" s="35" t="s">
        <v>78</v>
      </c>
      <c r="P527" s="52"/>
      <c r="Q527" s="52"/>
      <c r="R527" s="33" t="n">
        <f aca="false">INDEX(Épopées!$L$6:$L$59,MATCH(K527,Épopées!$A$6:$A$59,0))</f>
        <v>46363</v>
      </c>
      <c r="S527" s="33" t="n">
        <f aca="false">INDEX(Épopées!$M$6:$M$59,MATCH(K527,Épopées!$A$6:$A$59,0))</f>
        <v>46371</v>
      </c>
      <c r="T527" s="53" t="s">
        <v>463</v>
      </c>
    </row>
    <row r="528" customFormat="false" ht="15" hidden="false" customHeight="false" outlineLevel="0" collapsed="false">
      <c r="A528" s="31" t="s">
        <v>1710</v>
      </c>
      <c r="B528" s="31" t="s">
        <v>342</v>
      </c>
      <c r="C528" s="31" t="s">
        <v>346</v>
      </c>
      <c r="D528" s="31" t="s">
        <v>347</v>
      </c>
      <c r="E528" s="31" t="s">
        <v>1711</v>
      </c>
      <c r="F528" s="31" t="s">
        <v>481</v>
      </c>
      <c r="G528" s="31" t="s">
        <v>461</v>
      </c>
      <c r="H528" s="31" t="s">
        <v>39</v>
      </c>
      <c r="I528" s="31" t="n">
        <f aca="false">VLOOKUP(H528,Paramètres!$A$15:$B$19,2,FALSE())</f>
        <v>0.5</v>
      </c>
      <c r="J528" s="31" t="n">
        <v>0</v>
      </c>
      <c r="K528" s="50" t="str">
        <f aca="false">C528&amp;"|"&amp;J528</f>
        <v>MOB-ZA|0</v>
      </c>
      <c r="L528" s="31"/>
      <c r="M528" s="31" t="n">
        <v>1</v>
      </c>
      <c r="N528" s="51" t="s">
        <v>462</v>
      </c>
      <c r="O528" s="35" t="s">
        <v>78</v>
      </c>
      <c r="P528" s="52"/>
      <c r="Q528" s="52"/>
      <c r="R528" s="33" t="n">
        <f aca="false">INDEX(Épopées!$L$6:$L$59,MATCH(K528,Épopées!$A$6:$A$59,0))</f>
        <v>46363</v>
      </c>
      <c r="S528" s="33" t="n">
        <f aca="false">INDEX(Épopées!$M$6:$M$59,MATCH(K528,Épopées!$A$6:$A$59,0))</f>
        <v>46371</v>
      </c>
      <c r="T528" s="53" t="s">
        <v>463</v>
      </c>
    </row>
    <row r="529" customFormat="false" ht="15" hidden="false" customHeight="false" outlineLevel="0" collapsed="false">
      <c r="A529" s="31" t="s">
        <v>1712</v>
      </c>
      <c r="B529" s="31" t="s">
        <v>342</v>
      </c>
      <c r="C529" s="31" t="s">
        <v>346</v>
      </c>
      <c r="D529" s="31" t="s">
        <v>347</v>
      </c>
      <c r="E529" s="31" t="s">
        <v>1713</v>
      </c>
      <c r="F529" s="31" t="s">
        <v>486</v>
      </c>
      <c r="G529" s="31" t="s">
        <v>461</v>
      </c>
      <c r="H529" s="31" t="s">
        <v>39</v>
      </c>
      <c r="I529" s="31" t="n">
        <f aca="false">VLOOKUP(H529,Paramètres!$A$15:$B$19,2,FALSE())</f>
        <v>0.5</v>
      </c>
      <c r="J529" s="31" t="n">
        <v>0</v>
      </c>
      <c r="K529" s="50" t="str">
        <f aca="false">C529&amp;"|"&amp;J529</f>
        <v>MOB-ZA|0</v>
      </c>
      <c r="L529" s="31"/>
      <c r="M529" s="31" t="n">
        <v>1</v>
      </c>
      <c r="N529" s="51" t="s">
        <v>462</v>
      </c>
      <c r="O529" s="35" t="s">
        <v>78</v>
      </c>
      <c r="P529" s="52"/>
      <c r="Q529" s="52"/>
      <c r="R529" s="33" t="n">
        <f aca="false">INDEX(Épopées!$L$6:$L$59,MATCH(K529,Épopées!$A$6:$A$59,0))</f>
        <v>46363</v>
      </c>
      <c r="S529" s="33" t="n">
        <f aca="false">INDEX(Épopées!$M$6:$M$59,MATCH(K529,Épopées!$A$6:$A$59,0))</f>
        <v>46371</v>
      </c>
      <c r="T529" s="53" t="s">
        <v>463</v>
      </c>
    </row>
    <row r="530" customFormat="false" ht="15" hidden="false" customHeight="false" outlineLevel="0" collapsed="false">
      <c r="A530" s="31" t="s">
        <v>1714</v>
      </c>
      <c r="B530" s="31" t="s">
        <v>342</v>
      </c>
      <c r="C530" s="31" t="s">
        <v>346</v>
      </c>
      <c r="D530" s="31" t="s">
        <v>347</v>
      </c>
      <c r="E530" s="31" t="s">
        <v>1715</v>
      </c>
      <c r="F530" s="31" t="s">
        <v>486</v>
      </c>
      <c r="G530" s="31" t="s">
        <v>461</v>
      </c>
      <c r="H530" s="31" t="s">
        <v>41</v>
      </c>
      <c r="I530" s="31" t="n">
        <f aca="false">VLOOKUP(H530,Paramètres!$A$15:$B$19,2,FALSE())</f>
        <v>1</v>
      </c>
      <c r="J530" s="31" t="n">
        <v>0</v>
      </c>
      <c r="K530" s="50" t="str">
        <f aca="false">C530&amp;"|"&amp;J530</f>
        <v>MOB-ZA|0</v>
      </c>
      <c r="L530" s="31" t="s">
        <v>1702</v>
      </c>
      <c r="M530" s="31" t="n">
        <v>1</v>
      </c>
      <c r="N530" s="51" t="s">
        <v>462</v>
      </c>
      <c r="O530" s="35" t="s">
        <v>78</v>
      </c>
      <c r="P530" s="52"/>
      <c r="Q530" s="52"/>
      <c r="R530" s="33" t="n">
        <f aca="false">INDEX(Épopées!$L$6:$L$59,MATCH(K530,Épopées!$A$6:$A$59,0))</f>
        <v>46363</v>
      </c>
      <c r="S530" s="33" t="n">
        <f aca="false">INDEX(Épopées!$M$6:$M$59,MATCH(K530,Épopées!$A$6:$A$59,0))</f>
        <v>46371</v>
      </c>
      <c r="T530" s="53" t="s">
        <v>463</v>
      </c>
    </row>
    <row r="531" customFormat="false" ht="15" hidden="false" customHeight="false" outlineLevel="0" collapsed="false">
      <c r="A531" s="31" t="s">
        <v>1716</v>
      </c>
      <c r="B531" s="31" t="s">
        <v>342</v>
      </c>
      <c r="C531" s="31" t="s">
        <v>346</v>
      </c>
      <c r="D531" s="31" t="s">
        <v>347</v>
      </c>
      <c r="E531" s="31" t="s">
        <v>1717</v>
      </c>
      <c r="F531" s="31" t="s">
        <v>491</v>
      </c>
      <c r="G531" s="31" t="s">
        <v>461</v>
      </c>
      <c r="H531" s="31" t="s">
        <v>43</v>
      </c>
      <c r="I531" s="31" t="n">
        <f aca="false">VLOOKUP(H531,Paramètres!$A$15:$B$19,2,FALSE())</f>
        <v>2</v>
      </c>
      <c r="J531" s="31" t="n">
        <v>0</v>
      </c>
      <c r="K531" s="50" t="str">
        <f aca="false">C531&amp;"|"&amp;J531</f>
        <v>MOB-ZA|0</v>
      </c>
      <c r="L531" s="31" t="s">
        <v>1718</v>
      </c>
      <c r="M531" s="31" t="n">
        <v>3</v>
      </c>
      <c r="N531" s="51" t="s">
        <v>462</v>
      </c>
      <c r="O531" s="35" t="s">
        <v>78</v>
      </c>
      <c r="P531" s="52"/>
      <c r="Q531" s="52"/>
      <c r="R531" s="33" t="n">
        <f aca="false">INDEX(Épopées!$L$6:$L$59,MATCH(K531,Épopées!$A$6:$A$59,0))</f>
        <v>46363</v>
      </c>
      <c r="S531" s="33" t="n">
        <f aca="false">INDEX(Épopées!$M$6:$M$59,MATCH(K531,Épopées!$A$6:$A$59,0))</f>
        <v>46371</v>
      </c>
      <c r="T531" s="53" t="s">
        <v>463</v>
      </c>
    </row>
    <row r="532" customFormat="false" ht="15" hidden="false" customHeight="false" outlineLevel="0" collapsed="false">
      <c r="A532" s="31" t="s">
        <v>1719</v>
      </c>
      <c r="B532" s="31" t="s">
        <v>342</v>
      </c>
      <c r="C532" s="31" t="s">
        <v>346</v>
      </c>
      <c r="D532" s="31" t="s">
        <v>347</v>
      </c>
      <c r="E532" s="31" t="s">
        <v>1720</v>
      </c>
      <c r="F532" s="31" t="s">
        <v>1623</v>
      </c>
      <c r="G532" s="31" t="s">
        <v>466</v>
      </c>
      <c r="H532" s="31" t="s">
        <v>41</v>
      </c>
      <c r="I532" s="31" t="n">
        <f aca="false">VLOOKUP(H532,Paramètres!$A$15:$B$19,2,FALSE())</f>
        <v>1</v>
      </c>
      <c r="J532" s="31" t="n">
        <v>0</v>
      </c>
      <c r="K532" s="50" t="str">
        <f aca="false">C532&amp;"|"&amp;J532</f>
        <v>MOB-ZA|0</v>
      </c>
      <c r="L532" s="31" t="s">
        <v>1706</v>
      </c>
      <c r="M532" s="31" t="n">
        <v>1</v>
      </c>
      <c r="N532" s="51" t="s">
        <v>462</v>
      </c>
      <c r="O532" s="35" t="s">
        <v>78</v>
      </c>
      <c r="P532" s="52"/>
      <c r="Q532" s="52"/>
      <c r="R532" s="33" t="n">
        <f aca="false">INDEX(Épopées!$L$6:$L$59,MATCH(K532,Épopées!$A$6:$A$59,0))</f>
        <v>46363</v>
      </c>
      <c r="S532" s="33" t="n">
        <f aca="false">INDEX(Épopées!$M$6:$M$59,MATCH(K532,Épopées!$A$6:$A$59,0))</f>
        <v>46371</v>
      </c>
      <c r="T532" s="53" t="s">
        <v>463</v>
      </c>
    </row>
    <row r="533" customFormat="false" ht="15" hidden="false" customHeight="false" outlineLevel="0" collapsed="false">
      <c r="A533" s="31" t="s">
        <v>1721</v>
      </c>
      <c r="B533" s="31" t="s">
        <v>342</v>
      </c>
      <c r="C533" s="31" t="s">
        <v>346</v>
      </c>
      <c r="D533" s="31" t="s">
        <v>347</v>
      </c>
      <c r="E533" s="31" t="s">
        <v>1722</v>
      </c>
      <c r="F533" s="31" t="s">
        <v>481</v>
      </c>
      <c r="G533" s="31" t="s">
        <v>466</v>
      </c>
      <c r="H533" s="31" t="s">
        <v>39</v>
      </c>
      <c r="I533" s="31" t="n">
        <f aca="false">VLOOKUP(H533,Paramètres!$A$15:$B$19,2,FALSE())</f>
        <v>0.5</v>
      </c>
      <c r="J533" s="31" t="n">
        <v>0</v>
      </c>
      <c r="K533" s="50" t="str">
        <f aca="false">C533&amp;"|"&amp;J533</f>
        <v>MOB-ZA|0</v>
      </c>
      <c r="L533" s="31" t="s">
        <v>1719</v>
      </c>
      <c r="M533" s="31" t="n">
        <v>1</v>
      </c>
      <c r="N533" s="51" t="s">
        <v>462</v>
      </c>
      <c r="O533" s="35" t="s">
        <v>78</v>
      </c>
      <c r="P533" s="52"/>
      <c r="Q533" s="52"/>
      <c r="R533" s="33" t="n">
        <f aca="false">INDEX(Épopées!$L$6:$L$59,MATCH(K533,Épopées!$A$6:$A$59,0))</f>
        <v>46363</v>
      </c>
      <c r="S533" s="33" t="n">
        <f aca="false">INDEX(Épopées!$M$6:$M$59,MATCH(K533,Épopées!$A$6:$A$59,0))</f>
        <v>46371</v>
      </c>
      <c r="T533" s="53" t="s">
        <v>463</v>
      </c>
    </row>
    <row r="534" customFormat="false" ht="15" hidden="false" customHeight="false" outlineLevel="0" collapsed="false">
      <c r="A534" s="31" t="s">
        <v>1723</v>
      </c>
      <c r="B534" s="31" t="s">
        <v>342</v>
      </c>
      <c r="C534" s="31" t="s">
        <v>346</v>
      </c>
      <c r="D534" s="31" t="s">
        <v>347</v>
      </c>
      <c r="E534" s="31" t="s">
        <v>1724</v>
      </c>
      <c r="F534" s="31" t="s">
        <v>486</v>
      </c>
      <c r="G534" s="31" t="s">
        <v>461</v>
      </c>
      <c r="H534" s="31" t="s">
        <v>43</v>
      </c>
      <c r="I534" s="31" t="n">
        <f aca="false">VLOOKUP(H534,Paramètres!$A$15:$B$19,2,FALSE())</f>
        <v>2</v>
      </c>
      <c r="J534" s="31" t="n">
        <v>0</v>
      </c>
      <c r="K534" s="50" t="str">
        <f aca="false">C534&amp;"|"&amp;J534</f>
        <v>MOB-ZA|0</v>
      </c>
      <c r="L534" s="31"/>
      <c r="M534" s="31" t="n">
        <v>1</v>
      </c>
      <c r="N534" s="51" t="s">
        <v>462</v>
      </c>
      <c r="O534" s="35" t="s">
        <v>78</v>
      </c>
      <c r="P534" s="52"/>
      <c r="Q534" s="52"/>
      <c r="R534" s="33" t="n">
        <f aca="false">INDEX(Épopées!$L$6:$L$59,MATCH(K534,Épopées!$A$6:$A$59,0))</f>
        <v>46363</v>
      </c>
      <c r="S534" s="33" t="n">
        <f aca="false">INDEX(Épopées!$M$6:$M$59,MATCH(K534,Épopées!$A$6:$A$59,0))</f>
        <v>46371</v>
      </c>
      <c r="T534" s="53" t="s">
        <v>463</v>
      </c>
    </row>
    <row r="535" customFormat="false" ht="15" hidden="false" customHeight="false" outlineLevel="0" collapsed="false">
      <c r="A535" s="31" t="s">
        <v>1725</v>
      </c>
      <c r="B535" s="31" t="s">
        <v>342</v>
      </c>
      <c r="C535" s="31" t="s">
        <v>346</v>
      </c>
      <c r="D535" s="31" t="s">
        <v>347</v>
      </c>
      <c r="E535" s="31" t="s">
        <v>1726</v>
      </c>
      <c r="F535" s="31" t="s">
        <v>491</v>
      </c>
      <c r="G535" s="31" t="s">
        <v>466</v>
      </c>
      <c r="H535" s="31" t="s">
        <v>39</v>
      </c>
      <c r="I535" s="31" t="n">
        <f aca="false">VLOOKUP(H535,Paramètres!$A$15:$B$19,2,FALSE())</f>
        <v>0.5</v>
      </c>
      <c r="J535" s="31" t="n">
        <v>0</v>
      </c>
      <c r="K535" s="50" t="str">
        <f aca="false">C535&amp;"|"&amp;J535</f>
        <v>MOB-ZA|0</v>
      </c>
      <c r="L535" s="31" t="s">
        <v>1723</v>
      </c>
      <c r="M535" s="31" t="n">
        <v>2</v>
      </c>
      <c r="N535" s="51" t="s">
        <v>462</v>
      </c>
      <c r="O535" s="35" t="s">
        <v>78</v>
      </c>
      <c r="P535" s="52"/>
      <c r="Q535" s="52"/>
      <c r="R535" s="33" t="n">
        <f aca="false">INDEX(Épopées!$L$6:$L$59,MATCH(K535,Épopées!$A$6:$A$59,0))</f>
        <v>46363</v>
      </c>
      <c r="S535" s="33" t="n">
        <f aca="false">INDEX(Épopées!$M$6:$M$59,MATCH(K535,Épopées!$A$6:$A$59,0))</f>
        <v>46371</v>
      </c>
      <c r="T535" s="53" t="s">
        <v>463</v>
      </c>
    </row>
    <row r="536" customFormat="false" ht="15" hidden="false" customHeight="false" outlineLevel="0" collapsed="false">
      <c r="A536" s="31" t="s">
        <v>1727</v>
      </c>
      <c r="B536" s="31" t="s">
        <v>342</v>
      </c>
      <c r="C536" s="31" t="s">
        <v>346</v>
      </c>
      <c r="D536" s="31" t="s">
        <v>347</v>
      </c>
      <c r="E536" s="31" t="s">
        <v>1728</v>
      </c>
      <c r="F536" s="31" t="s">
        <v>481</v>
      </c>
      <c r="G536" s="31" t="s">
        <v>466</v>
      </c>
      <c r="H536" s="31" t="s">
        <v>41</v>
      </c>
      <c r="I536" s="31" t="n">
        <f aca="false">VLOOKUP(H536,Paramètres!$A$15:$B$19,2,FALSE())</f>
        <v>1</v>
      </c>
      <c r="J536" s="31" t="n">
        <v>0</v>
      </c>
      <c r="K536" s="50" t="str">
        <f aca="false">C536&amp;"|"&amp;J536</f>
        <v>MOB-ZA|0</v>
      </c>
      <c r="L536" s="31"/>
      <c r="M536" s="31" t="n">
        <v>5</v>
      </c>
      <c r="N536" s="51" t="s">
        <v>462</v>
      </c>
      <c r="O536" s="35" t="s">
        <v>78</v>
      </c>
      <c r="P536" s="52"/>
      <c r="Q536" s="52"/>
      <c r="R536" s="33" t="n">
        <f aca="false">INDEX(Épopées!$L$6:$L$59,MATCH(K536,Épopées!$A$6:$A$59,0))</f>
        <v>46363</v>
      </c>
      <c r="S536" s="33" t="n">
        <f aca="false">INDEX(Épopées!$M$6:$M$59,MATCH(K536,Épopées!$A$6:$A$59,0))</f>
        <v>46371</v>
      </c>
      <c r="T536" s="53" t="s">
        <v>463</v>
      </c>
    </row>
    <row r="537" customFormat="false" ht="15" hidden="false" customHeight="false" outlineLevel="0" collapsed="false">
      <c r="A537" s="31" t="s">
        <v>1729</v>
      </c>
      <c r="B537" s="31" t="s">
        <v>342</v>
      </c>
      <c r="C537" s="31" t="s">
        <v>346</v>
      </c>
      <c r="D537" s="31" t="s">
        <v>347</v>
      </c>
      <c r="E537" s="31" t="s">
        <v>1730</v>
      </c>
      <c r="F537" s="31" t="s">
        <v>472</v>
      </c>
      <c r="G537" s="31" t="s">
        <v>466</v>
      </c>
      <c r="H537" s="31" t="s">
        <v>41</v>
      </c>
      <c r="I537" s="31" t="n">
        <f aca="false">VLOOKUP(H537,Paramètres!$A$15:$B$19,2,FALSE())</f>
        <v>1</v>
      </c>
      <c r="J537" s="31" t="n">
        <v>0</v>
      </c>
      <c r="K537" s="50" t="str">
        <f aca="false">C537&amp;"|"&amp;J537</f>
        <v>MOB-ZA|0</v>
      </c>
      <c r="L537" s="31" t="s">
        <v>1731</v>
      </c>
      <c r="M537" s="31" t="n">
        <v>5</v>
      </c>
      <c r="N537" s="51" t="s">
        <v>462</v>
      </c>
      <c r="O537" s="35" t="s">
        <v>78</v>
      </c>
      <c r="P537" s="52"/>
      <c r="Q537" s="52"/>
      <c r="R537" s="33" t="n">
        <f aca="false">INDEX(Épopées!$L$6:$L$59,MATCH(K537,Épopées!$A$6:$A$59,0))</f>
        <v>46363</v>
      </c>
      <c r="S537" s="33" t="n">
        <f aca="false">INDEX(Épopées!$M$6:$M$59,MATCH(K537,Épopées!$A$6:$A$59,0))</f>
        <v>46371</v>
      </c>
      <c r="T537" s="53" t="s">
        <v>463</v>
      </c>
    </row>
    <row r="538" customFormat="false" ht="15" hidden="false" customHeight="false" outlineLevel="0" collapsed="false">
      <c r="A538" s="31" t="s">
        <v>1732</v>
      </c>
      <c r="B538" s="31" t="s">
        <v>342</v>
      </c>
      <c r="C538" s="31" t="s">
        <v>346</v>
      </c>
      <c r="D538" s="31" t="s">
        <v>347</v>
      </c>
      <c r="E538" s="31" t="s">
        <v>1733</v>
      </c>
      <c r="F538" s="31" t="s">
        <v>491</v>
      </c>
      <c r="G538" s="31" t="s">
        <v>466</v>
      </c>
      <c r="H538" s="31" t="s">
        <v>41</v>
      </c>
      <c r="I538" s="31" t="n">
        <f aca="false">VLOOKUP(H538,Paramètres!$A$15:$B$19,2,FALSE())</f>
        <v>1</v>
      </c>
      <c r="J538" s="31" t="n">
        <v>0</v>
      </c>
      <c r="K538" s="50" t="str">
        <f aca="false">C538&amp;"|"&amp;J538</f>
        <v>MOB-ZA|0</v>
      </c>
      <c r="L538" s="31" t="s">
        <v>1734</v>
      </c>
      <c r="M538" s="31" t="n">
        <v>3</v>
      </c>
      <c r="N538" s="51" t="s">
        <v>462</v>
      </c>
      <c r="O538" s="35" t="s">
        <v>78</v>
      </c>
      <c r="P538" s="52"/>
      <c r="Q538" s="52"/>
      <c r="R538" s="33" t="n">
        <f aca="false">INDEX(Épopées!$L$6:$L$59,MATCH(K538,Épopées!$A$6:$A$59,0))</f>
        <v>46363</v>
      </c>
      <c r="S538" s="33" t="n">
        <f aca="false">INDEX(Épopées!$M$6:$M$59,MATCH(K538,Épopées!$A$6:$A$59,0))</f>
        <v>46371</v>
      </c>
      <c r="T538" s="53" t="s">
        <v>463</v>
      </c>
    </row>
    <row r="539" customFormat="false" ht="15" hidden="false" customHeight="false" outlineLevel="0" collapsed="false">
      <c r="A539" s="31" t="s">
        <v>1735</v>
      </c>
      <c r="B539" s="31" t="s">
        <v>342</v>
      </c>
      <c r="C539" s="31" t="s">
        <v>346</v>
      </c>
      <c r="D539" s="31" t="s">
        <v>347</v>
      </c>
      <c r="E539" s="31" t="s">
        <v>1736</v>
      </c>
      <c r="F539" s="31" t="s">
        <v>503</v>
      </c>
      <c r="G539" s="31" t="s">
        <v>612</v>
      </c>
      <c r="H539" s="31" t="s">
        <v>39</v>
      </c>
      <c r="I539" s="31" t="n">
        <f aca="false">VLOOKUP(H539,Paramètres!$A$15:$B$19,2,FALSE())</f>
        <v>0.5</v>
      </c>
      <c r="J539" s="31" t="n">
        <v>0</v>
      </c>
      <c r="K539" s="50" t="str">
        <f aca="false">C539&amp;"|"&amp;J539</f>
        <v>MOB-ZA|0</v>
      </c>
      <c r="L539" s="31" t="s">
        <v>1716</v>
      </c>
      <c r="M539" s="31" t="n">
        <v>4</v>
      </c>
      <c r="N539" s="51" t="s">
        <v>462</v>
      </c>
      <c r="O539" s="35" t="s">
        <v>78</v>
      </c>
      <c r="P539" s="52"/>
      <c r="Q539" s="52"/>
      <c r="R539" s="33" t="n">
        <f aca="false">INDEX(Épopées!$L$6:$L$59,MATCH(K539,Épopées!$A$6:$A$59,0))</f>
        <v>46363</v>
      </c>
      <c r="S539" s="33" t="n">
        <f aca="false">INDEX(Épopées!$M$6:$M$59,MATCH(K539,Épopées!$A$6:$A$59,0))</f>
        <v>46371</v>
      </c>
      <c r="T539" s="53" t="s">
        <v>463</v>
      </c>
    </row>
    <row r="540" customFormat="false" ht="15" hidden="false" customHeight="false" outlineLevel="0" collapsed="false">
      <c r="A540" s="31" t="s">
        <v>1737</v>
      </c>
      <c r="B540" s="31" t="s">
        <v>342</v>
      </c>
      <c r="C540" s="31" t="s">
        <v>349</v>
      </c>
      <c r="D540" s="31" t="s">
        <v>350</v>
      </c>
      <c r="E540" s="31" t="s">
        <v>1738</v>
      </c>
      <c r="F540" s="31" t="s">
        <v>1623</v>
      </c>
      <c r="G540" s="31" t="s">
        <v>461</v>
      </c>
      <c r="H540" s="31" t="s">
        <v>43</v>
      </c>
      <c r="I540" s="31" t="n">
        <f aca="false">VLOOKUP(H540,Paramètres!$A$15:$B$19,2,FALSE())</f>
        <v>2</v>
      </c>
      <c r="J540" s="31" t="n">
        <v>0</v>
      </c>
      <c r="K540" s="50" t="str">
        <f aca="false">C540&amp;"|"&amp;J540</f>
        <v>MOB-ZB|0</v>
      </c>
      <c r="L540" s="31"/>
      <c r="M540" s="31" t="n">
        <v>1</v>
      </c>
      <c r="N540" s="51" t="s">
        <v>462</v>
      </c>
      <c r="O540" s="35" t="s">
        <v>78</v>
      </c>
      <c r="P540" s="52"/>
      <c r="Q540" s="52"/>
      <c r="R540" s="33" t="n">
        <f aca="false">INDEX(Épopées!$L$6:$L$59,MATCH(K540,Épopées!$A$6:$A$59,0))</f>
        <v>46372</v>
      </c>
      <c r="S540" s="33" t="n">
        <f aca="false">INDEX(Épopées!$M$6:$M$59,MATCH(K540,Épopées!$A$6:$A$59,0))</f>
        <v>46386</v>
      </c>
      <c r="T540" s="53" t="s">
        <v>463</v>
      </c>
    </row>
    <row r="541" customFormat="false" ht="15" hidden="false" customHeight="false" outlineLevel="0" collapsed="false">
      <c r="A541" s="31" t="s">
        <v>1739</v>
      </c>
      <c r="B541" s="31" t="s">
        <v>342</v>
      </c>
      <c r="C541" s="31" t="s">
        <v>349</v>
      </c>
      <c r="D541" s="31" t="s">
        <v>350</v>
      </c>
      <c r="E541" s="31" t="s">
        <v>1740</v>
      </c>
      <c r="F541" s="31" t="s">
        <v>491</v>
      </c>
      <c r="G541" s="31" t="s">
        <v>461</v>
      </c>
      <c r="H541" s="31" t="s">
        <v>41</v>
      </c>
      <c r="I541" s="31" t="n">
        <f aca="false">VLOOKUP(H541,Paramètres!$A$15:$B$19,2,FALSE())</f>
        <v>1</v>
      </c>
      <c r="J541" s="31" t="n">
        <v>0</v>
      </c>
      <c r="K541" s="50" t="str">
        <f aca="false">C541&amp;"|"&amp;J541</f>
        <v>MOB-ZB|0</v>
      </c>
      <c r="L541" s="31" t="s">
        <v>1737</v>
      </c>
      <c r="M541" s="31" t="n">
        <v>2</v>
      </c>
      <c r="N541" s="51" t="s">
        <v>462</v>
      </c>
      <c r="O541" s="35" t="s">
        <v>78</v>
      </c>
      <c r="P541" s="52"/>
      <c r="Q541" s="52"/>
      <c r="R541" s="33" t="n">
        <f aca="false">INDEX(Épopées!$L$6:$L$59,MATCH(K541,Épopées!$A$6:$A$59,0))</f>
        <v>46372</v>
      </c>
      <c r="S541" s="33" t="n">
        <f aca="false">INDEX(Épopées!$M$6:$M$59,MATCH(K541,Épopées!$A$6:$A$59,0))</f>
        <v>46386</v>
      </c>
      <c r="T541" s="53" t="s">
        <v>463</v>
      </c>
    </row>
    <row r="542" customFormat="false" ht="15" hidden="false" customHeight="false" outlineLevel="0" collapsed="false">
      <c r="A542" s="31" t="s">
        <v>1741</v>
      </c>
      <c r="B542" s="31" t="s">
        <v>342</v>
      </c>
      <c r="C542" s="31" t="s">
        <v>349</v>
      </c>
      <c r="D542" s="31" t="s">
        <v>350</v>
      </c>
      <c r="E542" s="31" t="s">
        <v>1742</v>
      </c>
      <c r="F542" s="31" t="s">
        <v>1623</v>
      </c>
      <c r="G542" s="31" t="s">
        <v>466</v>
      </c>
      <c r="H542" s="31" t="s">
        <v>41</v>
      </c>
      <c r="I542" s="31" t="n">
        <f aca="false">VLOOKUP(H542,Paramètres!$A$15:$B$19,2,FALSE())</f>
        <v>1</v>
      </c>
      <c r="J542" s="31" t="n">
        <v>0</v>
      </c>
      <c r="K542" s="50" t="str">
        <f aca="false">C542&amp;"|"&amp;J542</f>
        <v>MOB-ZB|0</v>
      </c>
      <c r="L542" s="31" t="s">
        <v>1737</v>
      </c>
      <c r="M542" s="31" t="n">
        <v>2</v>
      </c>
      <c r="N542" s="51" t="s">
        <v>462</v>
      </c>
      <c r="O542" s="35" t="s">
        <v>78</v>
      </c>
      <c r="P542" s="52"/>
      <c r="Q542" s="52"/>
      <c r="R542" s="33" t="n">
        <f aca="false">INDEX(Épopées!$L$6:$L$59,MATCH(K542,Épopées!$A$6:$A$59,0))</f>
        <v>46372</v>
      </c>
      <c r="S542" s="33" t="n">
        <f aca="false">INDEX(Épopées!$M$6:$M$59,MATCH(K542,Épopées!$A$6:$A$59,0))</f>
        <v>46386</v>
      </c>
      <c r="T542" s="53" t="s">
        <v>463</v>
      </c>
    </row>
    <row r="543" customFormat="false" ht="15" hidden="false" customHeight="false" outlineLevel="0" collapsed="false">
      <c r="A543" s="31" t="s">
        <v>1743</v>
      </c>
      <c r="B543" s="31" t="s">
        <v>342</v>
      </c>
      <c r="C543" s="31" t="s">
        <v>349</v>
      </c>
      <c r="D543" s="31" t="s">
        <v>350</v>
      </c>
      <c r="E543" s="31" t="s">
        <v>1744</v>
      </c>
      <c r="F543" s="31" t="s">
        <v>1623</v>
      </c>
      <c r="G543" s="31" t="s">
        <v>461</v>
      </c>
      <c r="H543" s="31" t="s">
        <v>43</v>
      </c>
      <c r="I543" s="31" t="n">
        <f aca="false">VLOOKUP(H543,Paramètres!$A$15:$B$19,2,FALSE())</f>
        <v>2</v>
      </c>
      <c r="J543" s="31" t="n">
        <v>0</v>
      </c>
      <c r="K543" s="50" t="str">
        <f aca="false">C543&amp;"|"&amp;J543</f>
        <v>MOB-ZB|0</v>
      </c>
      <c r="L543" s="31"/>
      <c r="M543" s="31" t="n">
        <v>1</v>
      </c>
      <c r="N543" s="51" t="s">
        <v>462</v>
      </c>
      <c r="O543" s="35" t="s">
        <v>78</v>
      </c>
      <c r="P543" s="52"/>
      <c r="Q543" s="52"/>
      <c r="R543" s="33" t="n">
        <f aca="false">INDEX(Épopées!$L$6:$L$59,MATCH(K543,Épopées!$A$6:$A$59,0))</f>
        <v>46372</v>
      </c>
      <c r="S543" s="33" t="n">
        <f aca="false">INDEX(Épopées!$M$6:$M$59,MATCH(K543,Épopées!$A$6:$A$59,0))</f>
        <v>46386</v>
      </c>
      <c r="T543" s="53" t="s">
        <v>463</v>
      </c>
    </row>
    <row r="544" customFormat="false" ht="15" hidden="false" customHeight="false" outlineLevel="0" collapsed="false">
      <c r="A544" s="31" t="s">
        <v>1745</v>
      </c>
      <c r="B544" s="31" t="s">
        <v>342</v>
      </c>
      <c r="C544" s="31" t="s">
        <v>349</v>
      </c>
      <c r="D544" s="31" t="s">
        <v>350</v>
      </c>
      <c r="E544" s="31" t="s">
        <v>1746</v>
      </c>
      <c r="F544" s="31" t="s">
        <v>1623</v>
      </c>
      <c r="G544" s="31" t="s">
        <v>466</v>
      </c>
      <c r="H544" s="31" t="s">
        <v>43</v>
      </c>
      <c r="I544" s="31" t="n">
        <f aca="false">VLOOKUP(H544,Paramètres!$A$15:$B$19,2,FALSE())</f>
        <v>2</v>
      </c>
      <c r="J544" s="31" t="n">
        <v>0</v>
      </c>
      <c r="K544" s="50" t="str">
        <f aca="false">C544&amp;"|"&amp;J544</f>
        <v>MOB-ZB|0</v>
      </c>
      <c r="L544" s="31" t="s">
        <v>1743</v>
      </c>
      <c r="M544" s="31" t="n">
        <v>1</v>
      </c>
      <c r="N544" s="51" t="s">
        <v>462</v>
      </c>
      <c r="O544" s="35" t="s">
        <v>78</v>
      </c>
      <c r="P544" s="52"/>
      <c r="Q544" s="52"/>
      <c r="R544" s="33" t="n">
        <f aca="false">INDEX(Épopées!$L$6:$L$59,MATCH(K544,Épopées!$A$6:$A$59,0))</f>
        <v>46372</v>
      </c>
      <c r="S544" s="33" t="n">
        <f aca="false">INDEX(Épopées!$M$6:$M$59,MATCH(K544,Épopées!$A$6:$A$59,0))</f>
        <v>46386</v>
      </c>
      <c r="T544" s="53" t="s">
        <v>463</v>
      </c>
    </row>
    <row r="545" customFormat="false" ht="15" hidden="false" customHeight="false" outlineLevel="0" collapsed="false">
      <c r="A545" s="31" t="s">
        <v>1747</v>
      </c>
      <c r="B545" s="31" t="s">
        <v>342</v>
      </c>
      <c r="C545" s="31" t="s">
        <v>349</v>
      </c>
      <c r="D545" s="31" t="s">
        <v>350</v>
      </c>
      <c r="E545" s="31" t="s">
        <v>1748</v>
      </c>
      <c r="F545" s="31" t="s">
        <v>491</v>
      </c>
      <c r="G545" s="31" t="s">
        <v>466</v>
      </c>
      <c r="H545" s="31" t="s">
        <v>39</v>
      </c>
      <c r="I545" s="31" t="n">
        <f aca="false">VLOOKUP(H545,Paramètres!$A$15:$B$19,2,FALSE())</f>
        <v>0.5</v>
      </c>
      <c r="J545" s="31" t="n">
        <v>0</v>
      </c>
      <c r="K545" s="50" t="str">
        <f aca="false">C545&amp;"|"&amp;J545</f>
        <v>MOB-ZB|0</v>
      </c>
      <c r="L545" s="31" t="s">
        <v>1743</v>
      </c>
      <c r="M545" s="31" t="n">
        <v>2</v>
      </c>
      <c r="N545" s="51" t="s">
        <v>462</v>
      </c>
      <c r="O545" s="35" t="s">
        <v>78</v>
      </c>
      <c r="P545" s="52"/>
      <c r="Q545" s="52"/>
      <c r="R545" s="33" t="n">
        <f aca="false">INDEX(Épopées!$L$6:$L$59,MATCH(K545,Épopées!$A$6:$A$59,0))</f>
        <v>46372</v>
      </c>
      <c r="S545" s="33" t="n">
        <f aca="false">INDEX(Épopées!$M$6:$M$59,MATCH(K545,Épopées!$A$6:$A$59,0))</f>
        <v>46386</v>
      </c>
      <c r="T545" s="53" t="s">
        <v>463</v>
      </c>
    </row>
    <row r="546" customFormat="false" ht="15" hidden="false" customHeight="false" outlineLevel="0" collapsed="false">
      <c r="A546" s="31" t="s">
        <v>1749</v>
      </c>
      <c r="B546" s="31" t="s">
        <v>342</v>
      </c>
      <c r="C546" s="31" t="s">
        <v>349</v>
      </c>
      <c r="D546" s="31" t="s">
        <v>350</v>
      </c>
      <c r="E546" s="31" t="s">
        <v>1750</v>
      </c>
      <c r="F546" s="31" t="s">
        <v>1623</v>
      </c>
      <c r="G546" s="31" t="s">
        <v>461</v>
      </c>
      <c r="H546" s="31" t="s">
        <v>41</v>
      </c>
      <c r="I546" s="31" t="n">
        <f aca="false">VLOOKUP(H546,Paramètres!$A$15:$B$19,2,FALSE())</f>
        <v>1</v>
      </c>
      <c r="J546" s="31" t="n">
        <v>0</v>
      </c>
      <c r="K546" s="50" t="str">
        <f aca="false">C546&amp;"|"&amp;J546</f>
        <v>MOB-ZB|0</v>
      </c>
      <c r="L546" s="31"/>
      <c r="M546" s="31" t="n">
        <v>1</v>
      </c>
      <c r="N546" s="51" t="s">
        <v>462</v>
      </c>
      <c r="O546" s="35" t="s">
        <v>78</v>
      </c>
      <c r="P546" s="52"/>
      <c r="Q546" s="52"/>
      <c r="R546" s="33" t="n">
        <f aca="false">INDEX(Épopées!$L$6:$L$59,MATCH(K546,Épopées!$A$6:$A$59,0))</f>
        <v>46372</v>
      </c>
      <c r="S546" s="33" t="n">
        <f aca="false">INDEX(Épopées!$M$6:$M$59,MATCH(K546,Épopées!$A$6:$A$59,0))</f>
        <v>46386</v>
      </c>
      <c r="T546" s="53" t="s">
        <v>463</v>
      </c>
    </row>
    <row r="547" customFormat="false" ht="15" hidden="false" customHeight="false" outlineLevel="0" collapsed="false">
      <c r="A547" s="31" t="s">
        <v>1751</v>
      </c>
      <c r="B547" s="31" t="s">
        <v>342</v>
      </c>
      <c r="C547" s="31" t="s">
        <v>349</v>
      </c>
      <c r="D547" s="31" t="s">
        <v>350</v>
      </c>
      <c r="E547" s="31" t="s">
        <v>1752</v>
      </c>
      <c r="F547" s="31" t="s">
        <v>1623</v>
      </c>
      <c r="G547" s="31" t="s">
        <v>466</v>
      </c>
      <c r="H547" s="31" t="s">
        <v>41</v>
      </c>
      <c r="I547" s="31" t="n">
        <f aca="false">VLOOKUP(H547,Paramètres!$A$15:$B$19,2,FALSE())</f>
        <v>1</v>
      </c>
      <c r="J547" s="31" t="n">
        <v>0</v>
      </c>
      <c r="K547" s="50" t="str">
        <f aca="false">C547&amp;"|"&amp;J547</f>
        <v>MOB-ZB|0</v>
      </c>
      <c r="L547" s="31"/>
      <c r="M547" s="31" t="n">
        <v>1</v>
      </c>
      <c r="N547" s="51" t="s">
        <v>462</v>
      </c>
      <c r="O547" s="35" t="s">
        <v>78</v>
      </c>
      <c r="P547" s="52"/>
      <c r="Q547" s="52"/>
      <c r="R547" s="33" t="n">
        <f aca="false">INDEX(Épopées!$L$6:$L$59,MATCH(K547,Épopées!$A$6:$A$59,0))</f>
        <v>46372</v>
      </c>
      <c r="S547" s="33" t="n">
        <f aca="false">INDEX(Épopées!$M$6:$M$59,MATCH(K547,Épopées!$A$6:$A$59,0))</f>
        <v>46386</v>
      </c>
      <c r="T547" s="53" t="s">
        <v>463</v>
      </c>
    </row>
    <row r="548" customFormat="false" ht="15" hidden="false" customHeight="false" outlineLevel="0" collapsed="false">
      <c r="A548" s="31" t="s">
        <v>1753</v>
      </c>
      <c r="B548" s="31" t="s">
        <v>342</v>
      </c>
      <c r="C548" s="31" t="s">
        <v>349</v>
      </c>
      <c r="D548" s="31" t="s">
        <v>350</v>
      </c>
      <c r="E548" s="31" t="s">
        <v>1754</v>
      </c>
      <c r="F548" s="31" t="s">
        <v>1623</v>
      </c>
      <c r="G548" s="31" t="s">
        <v>466</v>
      </c>
      <c r="H548" s="31" t="s">
        <v>41</v>
      </c>
      <c r="I548" s="31" t="n">
        <f aca="false">VLOOKUP(H548,Paramètres!$A$15:$B$19,2,FALSE())</f>
        <v>1</v>
      </c>
      <c r="J548" s="31" t="n">
        <v>0</v>
      </c>
      <c r="K548" s="50" t="str">
        <f aca="false">C548&amp;"|"&amp;J548</f>
        <v>MOB-ZB|0</v>
      </c>
      <c r="L548" s="31"/>
      <c r="M548" s="31" t="n">
        <v>1</v>
      </c>
      <c r="N548" s="51" t="s">
        <v>462</v>
      </c>
      <c r="O548" s="35" t="s">
        <v>78</v>
      </c>
      <c r="P548" s="52"/>
      <c r="Q548" s="52"/>
      <c r="R548" s="33" t="n">
        <f aca="false">INDEX(Épopées!$L$6:$L$59,MATCH(K548,Épopées!$A$6:$A$59,0))</f>
        <v>46372</v>
      </c>
      <c r="S548" s="33" t="n">
        <f aca="false">INDEX(Épopées!$M$6:$M$59,MATCH(K548,Épopées!$A$6:$A$59,0))</f>
        <v>46386</v>
      </c>
      <c r="T548" s="53" t="s">
        <v>463</v>
      </c>
    </row>
    <row r="549" customFormat="false" ht="15" hidden="false" customHeight="false" outlineLevel="0" collapsed="false">
      <c r="A549" s="31" t="s">
        <v>1755</v>
      </c>
      <c r="B549" s="31" t="s">
        <v>342</v>
      </c>
      <c r="C549" s="31" t="s">
        <v>349</v>
      </c>
      <c r="D549" s="31" t="s">
        <v>350</v>
      </c>
      <c r="E549" s="31" t="s">
        <v>1756</v>
      </c>
      <c r="F549" s="31" t="s">
        <v>1623</v>
      </c>
      <c r="G549" s="31" t="s">
        <v>461</v>
      </c>
      <c r="H549" s="31" t="s">
        <v>41</v>
      </c>
      <c r="I549" s="31" t="n">
        <f aca="false">VLOOKUP(H549,Paramètres!$A$15:$B$19,2,FALSE())</f>
        <v>1</v>
      </c>
      <c r="J549" s="31" t="n">
        <v>0</v>
      </c>
      <c r="K549" s="50" t="str">
        <f aca="false">C549&amp;"|"&amp;J549</f>
        <v>MOB-ZB|0</v>
      </c>
      <c r="L549" s="31"/>
      <c r="M549" s="31" t="n">
        <v>1</v>
      </c>
      <c r="N549" s="51" t="s">
        <v>462</v>
      </c>
      <c r="O549" s="35" t="s">
        <v>78</v>
      </c>
      <c r="P549" s="52"/>
      <c r="Q549" s="52"/>
      <c r="R549" s="33" t="n">
        <f aca="false">INDEX(Épopées!$L$6:$L$59,MATCH(K549,Épopées!$A$6:$A$59,0))</f>
        <v>46372</v>
      </c>
      <c r="S549" s="33" t="n">
        <f aca="false">INDEX(Épopées!$M$6:$M$59,MATCH(K549,Épopées!$A$6:$A$59,0))</f>
        <v>46386</v>
      </c>
      <c r="T549" s="53" t="s">
        <v>463</v>
      </c>
    </row>
    <row r="550" customFormat="false" ht="15" hidden="false" customHeight="false" outlineLevel="0" collapsed="false">
      <c r="A550" s="31" t="s">
        <v>1757</v>
      </c>
      <c r="B550" s="31" t="s">
        <v>342</v>
      </c>
      <c r="C550" s="31" t="s">
        <v>349</v>
      </c>
      <c r="D550" s="31" t="s">
        <v>350</v>
      </c>
      <c r="E550" s="31" t="s">
        <v>1758</v>
      </c>
      <c r="F550" s="31" t="s">
        <v>1623</v>
      </c>
      <c r="G550" s="31" t="s">
        <v>461</v>
      </c>
      <c r="H550" s="31" t="s">
        <v>41</v>
      </c>
      <c r="I550" s="31" t="n">
        <f aca="false">VLOOKUP(H550,Paramètres!$A$15:$B$19,2,FALSE())</f>
        <v>1</v>
      </c>
      <c r="J550" s="31" t="n">
        <v>0</v>
      </c>
      <c r="K550" s="50" t="str">
        <f aca="false">C550&amp;"|"&amp;J550</f>
        <v>MOB-ZB|0</v>
      </c>
      <c r="L550" s="31"/>
      <c r="M550" s="31" t="n">
        <v>1</v>
      </c>
      <c r="N550" s="51" t="s">
        <v>462</v>
      </c>
      <c r="O550" s="35" t="s">
        <v>78</v>
      </c>
      <c r="P550" s="52"/>
      <c r="Q550" s="52"/>
      <c r="R550" s="33" t="n">
        <f aca="false">INDEX(Épopées!$L$6:$L$59,MATCH(K550,Épopées!$A$6:$A$59,0))</f>
        <v>46372</v>
      </c>
      <c r="S550" s="33" t="n">
        <f aca="false">INDEX(Épopées!$M$6:$M$59,MATCH(K550,Épopées!$A$6:$A$59,0))</f>
        <v>46386</v>
      </c>
      <c r="T550" s="53" t="s">
        <v>463</v>
      </c>
    </row>
    <row r="551" customFormat="false" ht="15" hidden="false" customHeight="false" outlineLevel="0" collapsed="false">
      <c r="A551" s="31" t="s">
        <v>1759</v>
      </c>
      <c r="B551" s="31" t="s">
        <v>342</v>
      </c>
      <c r="C551" s="31" t="s">
        <v>349</v>
      </c>
      <c r="D551" s="31" t="s">
        <v>350</v>
      </c>
      <c r="E551" s="31" t="s">
        <v>1760</v>
      </c>
      <c r="F551" s="31" t="s">
        <v>1623</v>
      </c>
      <c r="G551" s="31" t="s">
        <v>466</v>
      </c>
      <c r="H551" s="31" t="s">
        <v>41</v>
      </c>
      <c r="I551" s="31" t="n">
        <f aca="false">VLOOKUP(H551,Paramètres!$A$15:$B$19,2,FALSE())</f>
        <v>1</v>
      </c>
      <c r="J551" s="31" t="n">
        <v>0</v>
      </c>
      <c r="K551" s="50" t="str">
        <f aca="false">C551&amp;"|"&amp;J551</f>
        <v>MOB-ZB|0</v>
      </c>
      <c r="L551" s="31"/>
      <c r="M551" s="31" t="n">
        <v>1</v>
      </c>
      <c r="N551" s="51" t="s">
        <v>462</v>
      </c>
      <c r="O551" s="35" t="s">
        <v>78</v>
      </c>
      <c r="P551" s="52"/>
      <c r="Q551" s="52"/>
      <c r="R551" s="33" t="n">
        <f aca="false">INDEX(Épopées!$L$6:$L$59,MATCH(K551,Épopées!$A$6:$A$59,0))</f>
        <v>46372</v>
      </c>
      <c r="S551" s="33" t="n">
        <f aca="false">INDEX(Épopées!$M$6:$M$59,MATCH(K551,Épopées!$A$6:$A$59,0))</f>
        <v>46386</v>
      </c>
      <c r="T551" s="53" t="s">
        <v>463</v>
      </c>
    </row>
    <row r="552" customFormat="false" ht="15" hidden="false" customHeight="false" outlineLevel="0" collapsed="false">
      <c r="A552" s="31" t="s">
        <v>1761</v>
      </c>
      <c r="B552" s="31" t="s">
        <v>342</v>
      </c>
      <c r="C552" s="31" t="s">
        <v>349</v>
      </c>
      <c r="D552" s="31" t="s">
        <v>350</v>
      </c>
      <c r="E552" s="31" t="s">
        <v>1762</v>
      </c>
      <c r="F552" s="31" t="s">
        <v>1623</v>
      </c>
      <c r="G552" s="31" t="s">
        <v>461</v>
      </c>
      <c r="H552" s="31" t="s">
        <v>43</v>
      </c>
      <c r="I552" s="31" t="n">
        <f aca="false">VLOOKUP(H552,Paramètres!$A$15:$B$19,2,FALSE())</f>
        <v>2</v>
      </c>
      <c r="J552" s="31" t="n">
        <v>0</v>
      </c>
      <c r="K552" s="50" t="str">
        <f aca="false">C552&amp;"|"&amp;J552</f>
        <v>MOB-ZB|0</v>
      </c>
      <c r="L552" s="31" t="s">
        <v>1757</v>
      </c>
      <c r="M552" s="31" t="n">
        <v>1</v>
      </c>
      <c r="N552" s="51" t="s">
        <v>462</v>
      </c>
      <c r="O552" s="35" t="s">
        <v>78</v>
      </c>
      <c r="P552" s="52"/>
      <c r="Q552" s="52"/>
      <c r="R552" s="33" t="n">
        <f aca="false">INDEX(Épopées!$L$6:$L$59,MATCH(K552,Épopées!$A$6:$A$59,0))</f>
        <v>46372</v>
      </c>
      <c r="S552" s="33" t="n">
        <f aca="false">INDEX(Épopées!$M$6:$M$59,MATCH(K552,Épopées!$A$6:$A$59,0))</f>
        <v>46386</v>
      </c>
      <c r="T552" s="53" t="s">
        <v>463</v>
      </c>
    </row>
    <row r="553" customFormat="false" ht="15" hidden="false" customHeight="false" outlineLevel="0" collapsed="false">
      <c r="A553" s="31" t="s">
        <v>1763</v>
      </c>
      <c r="B553" s="31" t="s">
        <v>342</v>
      </c>
      <c r="C553" s="31" t="s">
        <v>349</v>
      </c>
      <c r="D553" s="31" t="s">
        <v>350</v>
      </c>
      <c r="E553" s="31" t="s">
        <v>1764</v>
      </c>
      <c r="F553" s="31" t="s">
        <v>1623</v>
      </c>
      <c r="G553" s="31" t="s">
        <v>466</v>
      </c>
      <c r="H553" s="31" t="s">
        <v>41</v>
      </c>
      <c r="I553" s="31" t="n">
        <f aca="false">VLOOKUP(H553,Paramètres!$A$15:$B$19,2,FALSE())</f>
        <v>1</v>
      </c>
      <c r="J553" s="31" t="n">
        <v>0</v>
      </c>
      <c r="K553" s="50" t="str">
        <f aca="false">C553&amp;"|"&amp;J553</f>
        <v>MOB-ZB|0</v>
      </c>
      <c r="L553" s="31" t="s">
        <v>1765</v>
      </c>
      <c r="M553" s="31" t="n">
        <v>1</v>
      </c>
      <c r="N553" s="51" t="s">
        <v>462</v>
      </c>
      <c r="O553" s="35" t="s">
        <v>78</v>
      </c>
      <c r="P553" s="52"/>
      <c r="Q553" s="52"/>
      <c r="R553" s="33" t="n">
        <f aca="false">INDEX(Épopées!$L$6:$L$59,MATCH(K553,Épopées!$A$6:$A$59,0))</f>
        <v>46372</v>
      </c>
      <c r="S553" s="33" t="n">
        <f aca="false">INDEX(Épopées!$M$6:$M$59,MATCH(K553,Épopées!$A$6:$A$59,0))</f>
        <v>46386</v>
      </c>
      <c r="T553" s="53" t="s">
        <v>463</v>
      </c>
    </row>
    <row r="554" customFormat="false" ht="15" hidden="false" customHeight="false" outlineLevel="0" collapsed="false">
      <c r="A554" s="31" t="s">
        <v>1766</v>
      </c>
      <c r="B554" s="31" t="s">
        <v>342</v>
      </c>
      <c r="C554" s="31" t="s">
        <v>349</v>
      </c>
      <c r="D554" s="31" t="s">
        <v>350</v>
      </c>
      <c r="E554" s="31" t="s">
        <v>1767</v>
      </c>
      <c r="F554" s="31" t="s">
        <v>1623</v>
      </c>
      <c r="G554" s="31" t="s">
        <v>461</v>
      </c>
      <c r="H554" s="31" t="s">
        <v>41</v>
      </c>
      <c r="I554" s="31" t="n">
        <f aca="false">VLOOKUP(H554,Paramètres!$A$15:$B$19,2,FALSE())</f>
        <v>1</v>
      </c>
      <c r="J554" s="31" t="n">
        <v>0</v>
      </c>
      <c r="K554" s="50" t="str">
        <f aca="false">C554&amp;"|"&amp;J554</f>
        <v>MOB-ZB|0</v>
      </c>
      <c r="L554" s="31" t="s">
        <v>1757</v>
      </c>
      <c r="M554" s="31" t="n">
        <v>1</v>
      </c>
      <c r="N554" s="51" t="s">
        <v>462</v>
      </c>
      <c r="O554" s="35" t="s">
        <v>78</v>
      </c>
      <c r="P554" s="52"/>
      <c r="Q554" s="52"/>
      <c r="R554" s="33" t="n">
        <f aca="false">INDEX(Épopées!$L$6:$L$59,MATCH(K554,Épopées!$A$6:$A$59,0))</f>
        <v>46372</v>
      </c>
      <c r="S554" s="33" t="n">
        <f aca="false">INDEX(Épopées!$M$6:$M$59,MATCH(K554,Épopées!$A$6:$A$59,0))</f>
        <v>46386</v>
      </c>
      <c r="T554" s="53" t="s">
        <v>463</v>
      </c>
    </row>
    <row r="555" customFormat="false" ht="15" hidden="false" customHeight="false" outlineLevel="0" collapsed="false">
      <c r="A555" s="31" t="s">
        <v>1768</v>
      </c>
      <c r="B555" s="31" t="s">
        <v>342</v>
      </c>
      <c r="C555" s="31" t="s">
        <v>349</v>
      </c>
      <c r="D555" s="31" t="s">
        <v>350</v>
      </c>
      <c r="E555" s="31" t="s">
        <v>1769</v>
      </c>
      <c r="F555" s="31" t="s">
        <v>1623</v>
      </c>
      <c r="G555" s="31" t="s">
        <v>466</v>
      </c>
      <c r="H555" s="31" t="s">
        <v>41</v>
      </c>
      <c r="I555" s="31" t="n">
        <f aca="false">VLOOKUP(H555,Paramètres!$A$15:$B$19,2,FALSE())</f>
        <v>1</v>
      </c>
      <c r="J555" s="31" t="n">
        <v>0</v>
      </c>
      <c r="K555" s="50" t="str">
        <f aca="false">C555&amp;"|"&amp;J555</f>
        <v>MOB-ZB|0</v>
      </c>
      <c r="L555" s="31" t="s">
        <v>1766</v>
      </c>
      <c r="M555" s="31" t="n">
        <v>1</v>
      </c>
      <c r="N555" s="51" t="s">
        <v>462</v>
      </c>
      <c r="O555" s="35" t="s">
        <v>78</v>
      </c>
      <c r="P555" s="52"/>
      <c r="Q555" s="52"/>
      <c r="R555" s="33" t="n">
        <f aca="false">INDEX(Épopées!$L$6:$L$59,MATCH(K555,Épopées!$A$6:$A$59,0))</f>
        <v>46372</v>
      </c>
      <c r="S555" s="33" t="n">
        <f aca="false">INDEX(Épopées!$M$6:$M$59,MATCH(K555,Épopées!$A$6:$A$59,0))</f>
        <v>46386</v>
      </c>
      <c r="T555" s="53" t="s">
        <v>463</v>
      </c>
    </row>
    <row r="556" customFormat="false" ht="15" hidden="false" customHeight="false" outlineLevel="0" collapsed="false">
      <c r="A556" s="31" t="s">
        <v>1770</v>
      </c>
      <c r="B556" s="31" t="s">
        <v>342</v>
      </c>
      <c r="C556" s="31" t="s">
        <v>349</v>
      </c>
      <c r="D556" s="31" t="s">
        <v>350</v>
      </c>
      <c r="E556" s="31" t="s">
        <v>1771</v>
      </c>
      <c r="F556" s="31" t="s">
        <v>1623</v>
      </c>
      <c r="G556" s="31" t="s">
        <v>461</v>
      </c>
      <c r="H556" s="31" t="s">
        <v>39</v>
      </c>
      <c r="I556" s="31" t="n">
        <f aca="false">VLOOKUP(H556,Paramètres!$A$15:$B$19,2,FALSE())</f>
        <v>0.5</v>
      </c>
      <c r="J556" s="31" t="n">
        <v>0</v>
      </c>
      <c r="K556" s="50" t="str">
        <f aca="false">C556&amp;"|"&amp;J556</f>
        <v>MOB-ZB|0</v>
      </c>
      <c r="L556" s="31"/>
      <c r="M556" s="31" t="n">
        <v>1</v>
      </c>
      <c r="N556" s="51" t="s">
        <v>462</v>
      </c>
      <c r="O556" s="35" t="s">
        <v>78</v>
      </c>
      <c r="P556" s="52"/>
      <c r="Q556" s="52"/>
      <c r="R556" s="33" t="n">
        <f aca="false">INDEX(Épopées!$L$6:$L$59,MATCH(K556,Épopées!$A$6:$A$59,0))</f>
        <v>46372</v>
      </c>
      <c r="S556" s="33" t="n">
        <f aca="false">INDEX(Épopées!$M$6:$M$59,MATCH(K556,Épopées!$A$6:$A$59,0))</f>
        <v>46386</v>
      </c>
      <c r="T556" s="53" t="s">
        <v>463</v>
      </c>
    </row>
    <row r="557" customFormat="false" ht="15" hidden="false" customHeight="false" outlineLevel="0" collapsed="false">
      <c r="A557" s="31" t="s">
        <v>1772</v>
      </c>
      <c r="B557" s="31" t="s">
        <v>342</v>
      </c>
      <c r="C557" s="31" t="s">
        <v>349</v>
      </c>
      <c r="D557" s="31" t="s">
        <v>350</v>
      </c>
      <c r="E557" s="31" t="s">
        <v>1773</v>
      </c>
      <c r="F557" s="31" t="s">
        <v>472</v>
      </c>
      <c r="G557" s="31" t="s">
        <v>466</v>
      </c>
      <c r="H557" s="31" t="s">
        <v>41</v>
      </c>
      <c r="I557" s="31" t="n">
        <f aca="false">VLOOKUP(H557,Paramètres!$A$15:$B$19,2,FALSE())</f>
        <v>1</v>
      </c>
      <c r="J557" s="31" t="n">
        <v>0</v>
      </c>
      <c r="K557" s="50" t="str">
        <f aca="false">C557&amp;"|"&amp;J557</f>
        <v>MOB-ZB|0</v>
      </c>
      <c r="L557" s="31" t="s">
        <v>1774</v>
      </c>
      <c r="M557" s="31" t="n">
        <v>6</v>
      </c>
      <c r="N557" s="51" t="s">
        <v>462</v>
      </c>
      <c r="O557" s="35" t="s">
        <v>78</v>
      </c>
      <c r="P557" s="52"/>
      <c r="Q557" s="52"/>
      <c r="R557" s="33" t="n">
        <f aca="false">INDEX(Épopées!$L$6:$L$59,MATCH(K557,Épopées!$A$6:$A$59,0))</f>
        <v>46372</v>
      </c>
      <c r="S557" s="33" t="n">
        <f aca="false">INDEX(Épopées!$M$6:$M$59,MATCH(K557,Épopées!$A$6:$A$59,0))</f>
        <v>46386</v>
      </c>
      <c r="T557" s="53" t="s">
        <v>463</v>
      </c>
    </row>
    <row r="558" customFormat="false" ht="15" hidden="false" customHeight="false" outlineLevel="0" collapsed="false">
      <c r="A558" s="31" t="s">
        <v>1775</v>
      </c>
      <c r="B558" s="31" t="s">
        <v>342</v>
      </c>
      <c r="C558" s="31" t="s">
        <v>352</v>
      </c>
      <c r="D558" s="31" t="s">
        <v>353</v>
      </c>
      <c r="E558" s="31" t="s">
        <v>1776</v>
      </c>
      <c r="F558" s="31" t="s">
        <v>1623</v>
      </c>
      <c r="G558" s="31" t="s">
        <v>461</v>
      </c>
      <c r="H558" s="31" t="s">
        <v>41</v>
      </c>
      <c r="I558" s="31" t="n">
        <f aca="false">VLOOKUP(H558,Paramètres!$A$15:$B$19,2,FALSE())</f>
        <v>1</v>
      </c>
      <c r="J558" s="31" t="n">
        <v>0</v>
      </c>
      <c r="K558" s="50" t="str">
        <f aca="false">C558&amp;"|"&amp;J558</f>
        <v>MOB-ZC|0</v>
      </c>
      <c r="L558" s="31"/>
      <c r="M558" s="31" t="n">
        <v>2</v>
      </c>
      <c r="N558" s="51" t="s">
        <v>462</v>
      </c>
      <c r="O558" s="35" t="s">
        <v>78</v>
      </c>
      <c r="P558" s="52"/>
      <c r="Q558" s="52"/>
      <c r="R558" s="33" t="n">
        <f aca="false">INDEX(Épopées!$L$6:$L$59,MATCH(K558,Épopées!$A$6:$A$59,0))</f>
        <v>46387</v>
      </c>
      <c r="S558" s="33" t="n">
        <f aca="false">INDEX(Épopées!$M$6:$M$59,MATCH(K558,Épopées!$A$6:$A$59,0))</f>
        <v>46399</v>
      </c>
      <c r="T558" s="53" t="s">
        <v>463</v>
      </c>
    </row>
    <row r="559" customFormat="false" ht="15" hidden="false" customHeight="false" outlineLevel="0" collapsed="false">
      <c r="A559" s="31" t="s">
        <v>1777</v>
      </c>
      <c r="B559" s="31" t="s">
        <v>342</v>
      </c>
      <c r="C559" s="31" t="s">
        <v>352</v>
      </c>
      <c r="D559" s="31" t="s">
        <v>353</v>
      </c>
      <c r="E559" s="31" t="s">
        <v>1778</v>
      </c>
      <c r="F559" s="31" t="s">
        <v>1623</v>
      </c>
      <c r="G559" s="31" t="s">
        <v>461</v>
      </c>
      <c r="H559" s="31" t="s">
        <v>41</v>
      </c>
      <c r="I559" s="31" t="n">
        <f aca="false">VLOOKUP(H559,Paramètres!$A$15:$B$19,2,FALSE())</f>
        <v>1</v>
      </c>
      <c r="J559" s="31" t="n">
        <v>0</v>
      </c>
      <c r="K559" s="50" t="str">
        <f aca="false">C559&amp;"|"&amp;J559</f>
        <v>MOB-ZC|0</v>
      </c>
      <c r="L559" s="31"/>
      <c r="M559" s="31" t="n">
        <v>2</v>
      </c>
      <c r="N559" s="51" t="s">
        <v>462</v>
      </c>
      <c r="O559" s="35" t="s">
        <v>78</v>
      </c>
      <c r="P559" s="52"/>
      <c r="Q559" s="52"/>
      <c r="R559" s="33" t="n">
        <f aca="false">INDEX(Épopées!$L$6:$L$59,MATCH(K559,Épopées!$A$6:$A$59,0))</f>
        <v>46387</v>
      </c>
      <c r="S559" s="33" t="n">
        <f aca="false">INDEX(Épopées!$M$6:$M$59,MATCH(K559,Épopées!$A$6:$A$59,0))</f>
        <v>46399</v>
      </c>
      <c r="T559" s="53" t="s">
        <v>463</v>
      </c>
    </row>
    <row r="560" customFormat="false" ht="15" hidden="false" customHeight="false" outlineLevel="0" collapsed="false">
      <c r="A560" s="31" t="s">
        <v>1779</v>
      </c>
      <c r="B560" s="31" t="s">
        <v>342</v>
      </c>
      <c r="C560" s="31" t="s">
        <v>352</v>
      </c>
      <c r="D560" s="31" t="s">
        <v>353</v>
      </c>
      <c r="E560" s="31" t="s">
        <v>1780</v>
      </c>
      <c r="F560" s="31" t="s">
        <v>1623</v>
      </c>
      <c r="G560" s="31" t="s">
        <v>466</v>
      </c>
      <c r="H560" s="31" t="s">
        <v>43</v>
      </c>
      <c r="I560" s="31" t="n">
        <f aca="false">VLOOKUP(H560,Paramètres!$A$15:$B$19,2,FALSE())</f>
        <v>2</v>
      </c>
      <c r="J560" s="31" t="n">
        <v>0</v>
      </c>
      <c r="K560" s="50" t="str">
        <f aca="false">C560&amp;"|"&amp;J560</f>
        <v>MOB-ZC|0</v>
      </c>
      <c r="L560" s="31" t="s">
        <v>1777</v>
      </c>
      <c r="M560" s="31" t="n">
        <v>2</v>
      </c>
      <c r="N560" s="51" t="s">
        <v>462</v>
      </c>
      <c r="O560" s="35" t="s">
        <v>78</v>
      </c>
      <c r="P560" s="52"/>
      <c r="Q560" s="52"/>
      <c r="R560" s="33" t="n">
        <f aca="false">INDEX(Épopées!$L$6:$L$59,MATCH(K560,Épopées!$A$6:$A$59,0))</f>
        <v>46387</v>
      </c>
      <c r="S560" s="33" t="n">
        <f aca="false">INDEX(Épopées!$M$6:$M$59,MATCH(K560,Épopées!$A$6:$A$59,0))</f>
        <v>46399</v>
      </c>
      <c r="T560" s="53" t="s">
        <v>463</v>
      </c>
    </row>
    <row r="561" customFormat="false" ht="15" hidden="false" customHeight="false" outlineLevel="0" collapsed="false">
      <c r="A561" s="31" t="s">
        <v>1781</v>
      </c>
      <c r="B561" s="31" t="s">
        <v>342</v>
      </c>
      <c r="C561" s="31" t="s">
        <v>352</v>
      </c>
      <c r="D561" s="31" t="s">
        <v>353</v>
      </c>
      <c r="E561" s="31" t="s">
        <v>1782</v>
      </c>
      <c r="F561" s="31" t="s">
        <v>1623</v>
      </c>
      <c r="G561" s="31" t="s">
        <v>461</v>
      </c>
      <c r="H561" s="31" t="s">
        <v>41</v>
      </c>
      <c r="I561" s="31" t="n">
        <f aca="false">VLOOKUP(H561,Paramètres!$A$15:$B$19,2,FALSE())</f>
        <v>1</v>
      </c>
      <c r="J561" s="31" t="n">
        <v>0</v>
      </c>
      <c r="K561" s="50" t="str">
        <f aca="false">C561&amp;"|"&amp;J561</f>
        <v>MOB-ZC|0</v>
      </c>
      <c r="L561" s="31"/>
      <c r="M561" s="31" t="n">
        <v>1</v>
      </c>
      <c r="N561" s="51" t="s">
        <v>462</v>
      </c>
      <c r="O561" s="35" t="s">
        <v>78</v>
      </c>
      <c r="P561" s="52"/>
      <c r="Q561" s="52"/>
      <c r="R561" s="33" t="n">
        <f aca="false">INDEX(Épopées!$L$6:$L$59,MATCH(K561,Épopées!$A$6:$A$59,0))</f>
        <v>46387</v>
      </c>
      <c r="S561" s="33" t="n">
        <f aca="false">INDEX(Épopées!$M$6:$M$59,MATCH(K561,Épopées!$A$6:$A$59,0))</f>
        <v>46399</v>
      </c>
      <c r="T561" s="53" t="s">
        <v>463</v>
      </c>
    </row>
    <row r="562" customFormat="false" ht="15" hidden="false" customHeight="false" outlineLevel="0" collapsed="false">
      <c r="A562" s="31" t="s">
        <v>1783</v>
      </c>
      <c r="B562" s="31" t="s">
        <v>342</v>
      </c>
      <c r="C562" s="31" t="s">
        <v>352</v>
      </c>
      <c r="D562" s="31" t="s">
        <v>353</v>
      </c>
      <c r="E562" s="31" t="s">
        <v>1784</v>
      </c>
      <c r="F562" s="31" t="s">
        <v>1623</v>
      </c>
      <c r="G562" s="31" t="s">
        <v>612</v>
      </c>
      <c r="H562" s="31" t="s">
        <v>41</v>
      </c>
      <c r="I562" s="31" t="n">
        <f aca="false">VLOOKUP(H562,Paramètres!$A$15:$B$19,2,FALSE())</f>
        <v>1</v>
      </c>
      <c r="J562" s="31" t="n">
        <v>0</v>
      </c>
      <c r="K562" s="50" t="str">
        <f aca="false">C562&amp;"|"&amp;J562</f>
        <v>MOB-ZC|0</v>
      </c>
      <c r="L562" s="31" t="s">
        <v>1781</v>
      </c>
      <c r="M562" s="31" t="n">
        <v>1</v>
      </c>
      <c r="N562" s="51" t="s">
        <v>462</v>
      </c>
      <c r="O562" s="35" t="s">
        <v>78</v>
      </c>
      <c r="P562" s="52"/>
      <c r="Q562" s="52"/>
      <c r="R562" s="33" t="n">
        <f aca="false">INDEX(Épopées!$L$6:$L$59,MATCH(K562,Épopées!$A$6:$A$59,0))</f>
        <v>46387</v>
      </c>
      <c r="S562" s="33" t="n">
        <f aca="false">INDEX(Épopées!$M$6:$M$59,MATCH(K562,Épopées!$A$6:$A$59,0))</f>
        <v>46399</v>
      </c>
      <c r="T562" s="53" t="s">
        <v>463</v>
      </c>
    </row>
    <row r="563" customFormat="false" ht="15" hidden="false" customHeight="false" outlineLevel="0" collapsed="false">
      <c r="A563" s="31" t="s">
        <v>1785</v>
      </c>
      <c r="B563" s="31" t="s">
        <v>342</v>
      </c>
      <c r="C563" s="31" t="s">
        <v>352</v>
      </c>
      <c r="D563" s="31" t="s">
        <v>353</v>
      </c>
      <c r="E563" s="31" t="s">
        <v>1786</v>
      </c>
      <c r="F563" s="31" t="s">
        <v>1623</v>
      </c>
      <c r="G563" s="31" t="s">
        <v>461</v>
      </c>
      <c r="H563" s="31" t="s">
        <v>41</v>
      </c>
      <c r="I563" s="31" t="n">
        <f aca="false">VLOOKUP(H563,Paramètres!$A$15:$B$19,2,FALSE())</f>
        <v>1</v>
      </c>
      <c r="J563" s="31" t="n">
        <v>0</v>
      </c>
      <c r="K563" s="50" t="str">
        <f aca="false">C563&amp;"|"&amp;J563</f>
        <v>MOB-ZC|0</v>
      </c>
      <c r="L563" s="31"/>
      <c r="M563" s="31" t="n">
        <v>1</v>
      </c>
      <c r="N563" s="51" t="s">
        <v>462</v>
      </c>
      <c r="O563" s="35" t="s">
        <v>78</v>
      </c>
      <c r="P563" s="52"/>
      <c r="Q563" s="52"/>
      <c r="R563" s="33" t="n">
        <f aca="false">INDEX(Épopées!$L$6:$L$59,MATCH(K563,Épopées!$A$6:$A$59,0))</f>
        <v>46387</v>
      </c>
      <c r="S563" s="33" t="n">
        <f aca="false">INDEX(Épopées!$M$6:$M$59,MATCH(K563,Épopées!$A$6:$A$59,0))</f>
        <v>46399</v>
      </c>
      <c r="T563" s="53" t="s">
        <v>463</v>
      </c>
    </row>
    <row r="564" customFormat="false" ht="15" hidden="false" customHeight="false" outlineLevel="0" collapsed="false">
      <c r="A564" s="31" t="s">
        <v>1787</v>
      </c>
      <c r="B564" s="31" t="s">
        <v>342</v>
      </c>
      <c r="C564" s="31" t="s">
        <v>352</v>
      </c>
      <c r="D564" s="31" t="s">
        <v>353</v>
      </c>
      <c r="E564" s="31" t="s">
        <v>1788</v>
      </c>
      <c r="F564" s="31" t="s">
        <v>1623</v>
      </c>
      <c r="G564" s="31" t="s">
        <v>461</v>
      </c>
      <c r="H564" s="31" t="s">
        <v>41</v>
      </c>
      <c r="I564" s="31" t="n">
        <f aca="false">VLOOKUP(H564,Paramètres!$A$15:$B$19,2,FALSE())</f>
        <v>1</v>
      </c>
      <c r="J564" s="31" t="n">
        <v>0</v>
      </c>
      <c r="K564" s="50" t="str">
        <f aca="false">C564&amp;"|"&amp;J564</f>
        <v>MOB-ZC|0</v>
      </c>
      <c r="L564" s="31" t="s">
        <v>1785</v>
      </c>
      <c r="M564" s="31" t="n">
        <v>2</v>
      </c>
      <c r="N564" s="51" t="s">
        <v>462</v>
      </c>
      <c r="O564" s="35" t="s">
        <v>78</v>
      </c>
      <c r="P564" s="52"/>
      <c r="Q564" s="52"/>
      <c r="R564" s="33" t="n">
        <f aca="false">INDEX(Épopées!$L$6:$L$59,MATCH(K564,Épopées!$A$6:$A$59,0))</f>
        <v>46387</v>
      </c>
      <c r="S564" s="33" t="n">
        <f aca="false">INDEX(Épopées!$M$6:$M$59,MATCH(K564,Épopées!$A$6:$A$59,0))</f>
        <v>46399</v>
      </c>
      <c r="T564" s="53" t="s">
        <v>463</v>
      </c>
    </row>
    <row r="565" customFormat="false" ht="15" hidden="false" customHeight="false" outlineLevel="0" collapsed="false">
      <c r="A565" s="31" t="s">
        <v>1789</v>
      </c>
      <c r="B565" s="31" t="s">
        <v>342</v>
      </c>
      <c r="C565" s="31" t="s">
        <v>352</v>
      </c>
      <c r="D565" s="31" t="s">
        <v>353</v>
      </c>
      <c r="E565" s="31" t="s">
        <v>1790</v>
      </c>
      <c r="F565" s="31" t="s">
        <v>1623</v>
      </c>
      <c r="G565" s="31" t="s">
        <v>466</v>
      </c>
      <c r="H565" s="31" t="s">
        <v>41</v>
      </c>
      <c r="I565" s="31" t="n">
        <f aca="false">VLOOKUP(H565,Paramètres!$A$15:$B$19,2,FALSE())</f>
        <v>1</v>
      </c>
      <c r="J565" s="31" t="n">
        <v>0</v>
      </c>
      <c r="K565" s="50" t="str">
        <f aca="false">C565&amp;"|"&amp;J565</f>
        <v>MOB-ZC|0</v>
      </c>
      <c r="L565" s="31" t="s">
        <v>1785</v>
      </c>
      <c r="M565" s="31" t="n">
        <v>1</v>
      </c>
      <c r="N565" s="51" t="s">
        <v>462</v>
      </c>
      <c r="O565" s="35" t="s">
        <v>78</v>
      </c>
      <c r="P565" s="52"/>
      <c r="Q565" s="52"/>
      <c r="R565" s="33" t="n">
        <f aca="false">INDEX(Épopées!$L$6:$L$59,MATCH(K565,Épopées!$A$6:$A$59,0))</f>
        <v>46387</v>
      </c>
      <c r="S565" s="33" t="n">
        <f aca="false">INDEX(Épopées!$M$6:$M$59,MATCH(K565,Épopées!$A$6:$A$59,0))</f>
        <v>46399</v>
      </c>
      <c r="T565" s="53" t="s">
        <v>463</v>
      </c>
    </row>
    <row r="566" customFormat="false" ht="15" hidden="false" customHeight="false" outlineLevel="0" collapsed="false">
      <c r="A566" s="31" t="s">
        <v>1791</v>
      </c>
      <c r="B566" s="31" t="s">
        <v>342</v>
      </c>
      <c r="C566" s="31" t="s">
        <v>352</v>
      </c>
      <c r="D566" s="31" t="s">
        <v>353</v>
      </c>
      <c r="E566" s="31" t="s">
        <v>1792</v>
      </c>
      <c r="F566" s="31" t="s">
        <v>491</v>
      </c>
      <c r="G566" s="31" t="s">
        <v>461</v>
      </c>
      <c r="H566" s="31" t="s">
        <v>41</v>
      </c>
      <c r="I566" s="31" t="n">
        <f aca="false">VLOOKUP(H566,Paramètres!$A$15:$B$19,2,FALSE())</f>
        <v>1</v>
      </c>
      <c r="J566" s="31" t="n">
        <v>0</v>
      </c>
      <c r="K566" s="50" t="str">
        <f aca="false">C566&amp;"|"&amp;J566</f>
        <v>MOB-ZC|0</v>
      </c>
      <c r="L566" s="31" t="s">
        <v>1785</v>
      </c>
      <c r="M566" s="31" t="n">
        <v>2</v>
      </c>
      <c r="N566" s="51" t="s">
        <v>462</v>
      </c>
      <c r="O566" s="35" t="s">
        <v>78</v>
      </c>
      <c r="P566" s="52"/>
      <c r="Q566" s="52"/>
      <c r="R566" s="33" t="n">
        <f aca="false">INDEX(Épopées!$L$6:$L$59,MATCH(K566,Épopées!$A$6:$A$59,0))</f>
        <v>46387</v>
      </c>
      <c r="S566" s="33" t="n">
        <f aca="false">INDEX(Épopées!$M$6:$M$59,MATCH(K566,Épopées!$A$6:$A$59,0))</f>
        <v>46399</v>
      </c>
      <c r="T566" s="53" t="s">
        <v>463</v>
      </c>
    </row>
    <row r="567" customFormat="false" ht="15" hidden="false" customHeight="false" outlineLevel="0" collapsed="false">
      <c r="A567" s="31" t="s">
        <v>1793</v>
      </c>
      <c r="B567" s="31" t="s">
        <v>342</v>
      </c>
      <c r="C567" s="31" t="s">
        <v>352</v>
      </c>
      <c r="D567" s="31" t="s">
        <v>353</v>
      </c>
      <c r="E567" s="31" t="s">
        <v>1794</v>
      </c>
      <c r="F567" s="31" t="s">
        <v>1623</v>
      </c>
      <c r="G567" s="31" t="s">
        <v>461</v>
      </c>
      <c r="H567" s="31" t="s">
        <v>41</v>
      </c>
      <c r="I567" s="31" t="n">
        <f aca="false">VLOOKUP(H567,Paramètres!$A$15:$B$19,2,FALSE())</f>
        <v>1</v>
      </c>
      <c r="J567" s="31" t="n">
        <v>0</v>
      </c>
      <c r="K567" s="50" t="str">
        <f aca="false">C567&amp;"|"&amp;J567</f>
        <v>MOB-ZC|0</v>
      </c>
      <c r="L567" s="31"/>
      <c r="M567" s="31" t="n">
        <v>1</v>
      </c>
      <c r="N567" s="51" t="s">
        <v>462</v>
      </c>
      <c r="O567" s="35" t="s">
        <v>78</v>
      </c>
      <c r="P567" s="52"/>
      <c r="Q567" s="52"/>
      <c r="R567" s="33" t="n">
        <f aca="false">INDEX(Épopées!$L$6:$L$59,MATCH(K567,Épopées!$A$6:$A$59,0))</f>
        <v>46387</v>
      </c>
      <c r="S567" s="33" t="n">
        <f aca="false">INDEX(Épopées!$M$6:$M$59,MATCH(K567,Épopées!$A$6:$A$59,0))</f>
        <v>46399</v>
      </c>
      <c r="T567" s="53" t="s">
        <v>463</v>
      </c>
    </row>
    <row r="568" customFormat="false" ht="15" hidden="false" customHeight="false" outlineLevel="0" collapsed="false">
      <c r="A568" s="31" t="s">
        <v>1795</v>
      </c>
      <c r="B568" s="31" t="s">
        <v>342</v>
      </c>
      <c r="C568" s="31" t="s">
        <v>352</v>
      </c>
      <c r="D568" s="31" t="s">
        <v>353</v>
      </c>
      <c r="E568" s="31" t="s">
        <v>1796</v>
      </c>
      <c r="F568" s="31" t="s">
        <v>1623</v>
      </c>
      <c r="G568" s="31" t="s">
        <v>461</v>
      </c>
      <c r="H568" s="31" t="s">
        <v>41</v>
      </c>
      <c r="I568" s="31" t="n">
        <f aca="false">VLOOKUP(H568,Paramètres!$A$15:$B$19,2,FALSE())</f>
        <v>1</v>
      </c>
      <c r="J568" s="31" t="n">
        <v>0</v>
      </c>
      <c r="K568" s="50" t="str">
        <f aca="false">C568&amp;"|"&amp;J568</f>
        <v>MOB-ZC|0</v>
      </c>
      <c r="L568" s="31"/>
      <c r="M568" s="31" t="n">
        <v>1</v>
      </c>
      <c r="N568" s="51" t="s">
        <v>462</v>
      </c>
      <c r="O568" s="35" t="s">
        <v>78</v>
      </c>
      <c r="P568" s="52"/>
      <c r="Q568" s="52"/>
      <c r="R568" s="33" t="n">
        <f aca="false">INDEX(Épopées!$L$6:$L$59,MATCH(K568,Épopées!$A$6:$A$59,0))</f>
        <v>46387</v>
      </c>
      <c r="S568" s="33" t="n">
        <f aca="false">INDEX(Épopées!$M$6:$M$59,MATCH(K568,Épopées!$A$6:$A$59,0))</f>
        <v>46399</v>
      </c>
      <c r="T568" s="53" t="s">
        <v>463</v>
      </c>
    </row>
    <row r="569" customFormat="false" ht="15" hidden="false" customHeight="false" outlineLevel="0" collapsed="false">
      <c r="A569" s="31" t="s">
        <v>1797</v>
      </c>
      <c r="B569" s="31" t="s">
        <v>342</v>
      </c>
      <c r="C569" s="31" t="s">
        <v>352</v>
      </c>
      <c r="D569" s="31" t="s">
        <v>353</v>
      </c>
      <c r="E569" s="31" t="s">
        <v>1798</v>
      </c>
      <c r="F569" s="31" t="s">
        <v>491</v>
      </c>
      <c r="G569" s="31" t="s">
        <v>461</v>
      </c>
      <c r="H569" s="31" t="s">
        <v>41</v>
      </c>
      <c r="I569" s="31" t="n">
        <f aca="false">VLOOKUP(H569,Paramètres!$A$15:$B$19,2,FALSE())</f>
        <v>1</v>
      </c>
      <c r="J569" s="31" t="n">
        <v>0</v>
      </c>
      <c r="K569" s="50" t="str">
        <f aca="false">C569&amp;"|"&amp;J569</f>
        <v>MOB-ZC|0</v>
      </c>
      <c r="L569" s="31" t="s">
        <v>1799</v>
      </c>
      <c r="M569" s="31" t="n">
        <v>2</v>
      </c>
      <c r="N569" s="51" t="s">
        <v>462</v>
      </c>
      <c r="O569" s="35" t="s">
        <v>78</v>
      </c>
      <c r="P569" s="52"/>
      <c r="Q569" s="52"/>
      <c r="R569" s="33" t="n">
        <f aca="false">INDEX(Épopées!$L$6:$L$59,MATCH(K569,Épopées!$A$6:$A$59,0))</f>
        <v>46387</v>
      </c>
      <c r="S569" s="33" t="n">
        <f aca="false">INDEX(Épopées!$M$6:$M$59,MATCH(K569,Épopées!$A$6:$A$59,0))</f>
        <v>46399</v>
      </c>
      <c r="T569" s="53" t="s">
        <v>463</v>
      </c>
    </row>
    <row r="570" customFormat="false" ht="15" hidden="false" customHeight="false" outlineLevel="0" collapsed="false">
      <c r="A570" s="31" t="s">
        <v>1800</v>
      </c>
      <c r="B570" s="31" t="s">
        <v>342</v>
      </c>
      <c r="C570" s="31" t="s">
        <v>352</v>
      </c>
      <c r="D570" s="31" t="s">
        <v>353</v>
      </c>
      <c r="E570" s="31" t="s">
        <v>1801</v>
      </c>
      <c r="F570" s="31" t="s">
        <v>1623</v>
      </c>
      <c r="G570" s="31" t="s">
        <v>466</v>
      </c>
      <c r="H570" s="31" t="s">
        <v>39</v>
      </c>
      <c r="I570" s="31" t="n">
        <f aca="false">VLOOKUP(H570,Paramètres!$A$15:$B$19,2,FALSE())</f>
        <v>0.5</v>
      </c>
      <c r="J570" s="31" t="n">
        <v>0</v>
      </c>
      <c r="K570" s="50" t="str">
        <f aca="false">C570&amp;"|"&amp;J570</f>
        <v>MOB-ZC|0</v>
      </c>
      <c r="L570" s="31" t="s">
        <v>1793</v>
      </c>
      <c r="M570" s="31" t="n">
        <v>1</v>
      </c>
      <c r="N570" s="51" t="s">
        <v>462</v>
      </c>
      <c r="O570" s="35" t="s">
        <v>78</v>
      </c>
      <c r="P570" s="52"/>
      <c r="Q570" s="52"/>
      <c r="R570" s="33" t="n">
        <f aca="false">INDEX(Épopées!$L$6:$L$59,MATCH(K570,Épopées!$A$6:$A$59,0))</f>
        <v>46387</v>
      </c>
      <c r="S570" s="33" t="n">
        <f aca="false">INDEX(Épopées!$M$6:$M$59,MATCH(K570,Épopées!$A$6:$A$59,0))</f>
        <v>46399</v>
      </c>
      <c r="T570" s="53" t="s">
        <v>463</v>
      </c>
    </row>
    <row r="571" customFormat="false" ht="15" hidden="false" customHeight="false" outlineLevel="0" collapsed="false">
      <c r="A571" s="31" t="s">
        <v>1802</v>
      </c>
      <c r="B571" s="31" t="s">
        <v>342</v>
      </c>
      <c r="C571" s="31" t="s">
        <v>352</v>
      </c>
      <c r="D571" s="31" t="s">
        <v>353</v>
      </c>
      <c r="E571" s="31" t="s">
        <v>1803</v>
      </c>
      <c r="F571" s="31" t="s">
        <v>481</v>
      </c>
      <c r="G571" s="31" t="s">
        <v>466</v>
      </c>
      <c r="H571" s="31" t="s">
        <v>41</v>
      </c>
      <c r="I571" s="31" t="n">
        <f aca="false">VLOOKUP(H571,Paramètres!$A$15:$B$19,2,FALSE())</f>
        <v>1</v>
      </c>
      <c r="J571" s="31" t="n">
        <v>0</v>
      </c>
      <c r="K571" s="50" t="str">
        <f aca="false">C571&amp;"|"&amp;J571</f>
        <v>MOB-ZC|0</v>
      </c>
      <c r="L571" s="31"/>
      <c r="M571" s="31" t="n">
        <v>1</v>
      </c>
      <c r="N571" s="51" t="s">
        <v>462</v>
      </c>
      <c r="O571" s="35" t="s">
        <v>78</v>
      </c>
      <c r="P571" s="52"/>
      <c r="Q571" s="52"/>
      <c r="R571" s="33" t="n">
        <f aca="false">INDEX(Épopées!$L$6:$L$59,MATCH(K571,Épopées!$A$6:$A$59,0))</f>
        <v>46387</v>
      </c>
      <c r="S571" s="33" t="n">
        <f aca="false">INDEX(Épopées!$M$6:$M$59,MATCH(K571,Épopées!$A$6:$A$59,0))</f>
        <v>46399</v>
      </c>
      <c r="T571" s="53" t="s">
        <v>463</v>
      </c>
    </row>
    <row r="572" customFormat="false" ht="15" hidden="false" customHeight="false" outlineLevel="0" collapsed="false">
      <c r="A572" s="31" t="s">
        <v>1804</v>
      </c>
      <c r="B572" s="31" t="s">
        <v>342</v>
      </c>
      <c r="C572" s="31" t="s">
        <v>352</v>
      </c>
      <c r="D572" s="31" t="s">
        <v>353</v>
      </c>
      <c r="E572" s="31" t="s">
        <v>1805</v>
      </c>
      <c r="F572" s="31" t="s">
        <v>1623</v>
      </c>
      <c r="G572" s="31" t="s">
        <v>466</v>
      </c>
      <c r="H572" s="31" t="s">
        <v>41</v>
      </c>
      <c r="I572" s="31" t="n">
        <f aca="false">VLOOKUP(H572,Paramètres!$A$15:$B$19,2,FALSE())</f>
        <v>1</v>
      </c>
      <c r="J572" s="31" t="n">
        <v>0</v>
      </c>
      <c r="K572" s="50" t="str">
        <f aca="false">C572&amp;"|"&amp;J572</f>
        <v>MOB-ZC|0</v>
      </c>
      <c r="L572" s="31" t="s">
        <v>1802</v>
      </c>
      <c r="M572" s="31" t="n">
        <v>1</v>
      </c>
      <c r="N572" s="51" t="s">
        <v>462</v>
      </c>
      <c r="O572" s="35" t="s">
        <v>78</v>
      </c>
      <c r="P572" s="52"/>
      <c r="Q572" s="52"/>
      <c r="R572" s="33" t="n">
        <f aca="false">INDEX(Épopées!$L$6:$L$59,MATCH(K572,Épopées!$A$6:$A$59,0))</f>
        <v>46387</v>
      </c>
      <c r="S572" s="33" t="n">
        <f aca="false">INDEX(Épopées!$M$6:$M$59,MATCH(K572,Épopées!$A$6:$A$59,0))</f>
        <v>46399</v>
      </c>
      <c r="T572" s="53" t="s">
        <v>463</v>
      </c>
    </row>
    <row r="573" customFormat="false" ht="15" hidden="false" customHeight="false" outlineLevel="0" collapsed="false">
      <c r="A573" s="31" t="s">
        <v>1806</v>
      </c>
      <c r="B573" s="31" t="s">
        <v>342</v>
      </c>
      <c r="C573" s="31" t="s">
        <v>352</v>
      </c>
      <c r="D573" s="31" t="s">
        <v>353</v>
      </c>
      <c r="E573" s="31" t="s">
        <v>1807</v>
      </c>
      <c r="F573" s="31" t="s">
        <v>1623</v>
      </c>
      <c r="G573" s="31" t="s">
        <v>612</v>
      </c>
      <c r="H573" s="31" t="s">
        <v>43</v>
      </c>
      <c r="I573" s="31" t="n">
        <f aca="false">VLOOKUP(H573,Paramètres!$A$15:$B$19,2,FALSE())</f>
        <v>2</v>
      </c>
      <c r="J573" s="31" t="n">
        <v>0</v>
      </c>
      <c r="K573" s="50" t="str">
        <f aca="false">C573&amp;"|"&amp;J573</f>
        <v>MOB-ZC|0</v>
      </c>
      <c r="L573" s="31" t="s">
        <v>1802</v>
      </c>
      <c r="M573" s="31" t="n">
        <v>1</v>
      </c>
      <c r="N573" s="51" t="s">
        <v>462</v>
      </c>
      <c r="O573" s="35" t="s">
        <v>78</v>
      </c>
      <c r="P573" s="52"/>
      <c r="Q573" s="52"/>
      <c r="R573" s="33" t="n">
        <f aca="false">INDEX(Épopées!$L$6:$L$59,MATCH(K573,Épopées!$A$6:$A$59,0))</f>
        <v>46387</v>
      </c>
      <c r="S573" s="33" t="n">
        <f aca="false">INDEX(Épopées!$M$6:$M$59,MATCH(K573,Épopées!$A$6:$A$59,0))</f>
        <v>46399</v>
      </c>
      <c r="T573" s="53" t="s">
        <v>463</v>
      </c>
    </row>
    <row r="574" customFormat="false" ht="15" hidden="false" customHeight="false" outlineLevel="0" collapsed="false">
      <c r="A574" s="31" t="s">
        <v>1808</v>
      </c>
      <c r="B574" s="31" t="s">
        <v>342</v>
      </c>
      <c r="C574" s="31" t="s">
        <v>352</v>
      </c>
      <c r="D574" s="31" t="s">
        <v>353</v>
      </c>
      <c r="E574" s="31" t="s">
        <v>1809</v>
      </c>
      <c r="F574" s="31" t="s">
        <v>472</v>
      </c>
      <c r="G574" s="31" t="s">
        <v>466</v>
      </c>
      <c r="H574" s="31" t="s">
        <v>39</v>
      </c>
      <c r="I574" s="31" t="n">
        <f aca="false">VLOOKUP(H574,Paramètres!$A$15:$B$19,2,FALSE())</f>
        <v>0.5</v>
      </c>
      <c r="J574" s="31" t="n">
        <v>0</v>
      </c>
      <c r="K574" s="50" t="str">
        <f aca="false">C574&amp;"|"&amp;J574</f>
        <v>MOB-ZC|0</v>
      </c>
      <c r="L574" s="31" t="s">
        <v>1810</v>
      </c>
      <c r="M574" s="31" t="n">
        <v>4</v>
      </c>
      <c r="N574" s="51" t="s">
        <v>462</v>
      </c>
      <c r="O574" s="35" t="s">
        <v>78</v>
      </c>
      <c r="P574" s="52"/>
      <c r="Q574" s="52"/>
      <c r="R574" s="33" t="n">
        <f aca="false">INDEX(Épopées!$L$6:$L$59,MATCH(K574,Épopées!$A$6:$A$59,0))</f>
        <v>46387</v>
      </c>
      <c r="S574" s="33" t="n">
        <f aca="false">INDEX(Épopées!$M$6:$M$59,MATCH(K574,Épopées!$A$6:$A$59,0))</f>
        <v>46399</v>
      </c>
      <c r="T574" s="53" t="s">
        <v>463</v>
      </c>
    </row>
    <row r="575" customFormat="false" ht="15" hidden="false" customHeight="false" outlineLevel="0" collapsed="false">
      <c r="A575" s="31" t="s">
        <v>1811</v>
      </c>
      <c r="B575" s="31" t="s">
        <v>342</v>
      </c>
      <c r="C575" s="31" t="s">
        <v>355</v>
      </c>
      <c r="D575" s="31" t="s">
        <v>356</v>
      </c>
      <c r="E575" s="31" t="s">
        <v>1812</v>
      </c>
      <c r="F575" s="31" t="s">
        <v>1623</v>
      </c>
      <c r="G575" s="31" t="s">
        <v>461</v>
      </c>
      <c r="H575" s="31" t="s">
        <v>41</v>
      </c>
      <c r="I575" s="31" t="n">
        <f aca="false">VLOOKUP(H575,Paramètres!$A$15:$B$19,2,FALSE())</f>
        <v>1</v>
      </c>
      <c r="J575" s="31" t="n">
        <v>0</v>
      </c>
      <c r="K575" s="50" t="str">
        <f aca="false">C575&amp;"|"&amp;J575</f>
        <v>MOB-ZD|0</v>
      </c>
      <c r="L575" s="31"/>
      <c r="M575" s="31" t="n">
        <v>1</v>
      </c>
      <c r="N575" s="51" t="s">
        <v>462</v>
      </c>
      <c r="O575" s="35" t="s">
        <v>78</v>
      </c>
      <c r="P575" s="52"/>
      <c r="Q575" s="52"/>
      <c r="R575" s="33" t="n">
        <f aca="false">INDEX(Épopées!$L$6:$L$59,MATCH(K575,Épopées!$A$6:$A$59,0))</f>
        <v>46400</v>
      </c>
      <c r="S575" s="33" t="n">
        <f aca="false">INDEX(Épopées!$M$6:$M$59,MATCH(K575,Épopées!$A$6:$A$59,0))</f>
        <v>46409</v>
      </c>
      <c r="T575" s="53" t="s">
        <v>463</v>
      </c>
    </row>
    <row r="576" customFormat="false" ht="15" hidden="false" customHeight="false" outlineLevel="0" collapsed="false">
      <c r="A576" s="31" t="s">
        <v>1813</v>
      </c>
      <c r="B576" s="31" t="s">
        <v>342</v>
      </c>
      <c r="C576" s="31" t="s">
        <v>355</v>
      </c>
      <c r="D576" s="31" t="s">
        <v>356</v>
      </c>
      <c r="E576" s="31" t="s">
        <v>1814</v>
      </c>
      <c r="F576" s="31" t="s">
        <v>1623</v>
      </c>
      <c r="G576" s="31" t="s">
        <v>461</v>
      </c>
      <c r="H576" s="31" t="s">
        <v>41</v>
      </c>
      <c r="I576" s="31" t="n">
        <f aca="false">VLOOKUP(H576,Paramètres!$A$15:$B$19,2,FALSE())</f>
        <v>1</v>
      </c>
      <c r="J576" s="31" t="n">
        <v>0</v>
      </c>
      <c r="K576" s="50" t="str">
        <f aca="false">C576&amp;"|"&amp;J576</f>
        <v>MOB-ZD|0</v>
      </c>
      <c r="L576" s="31"/>
      <c r="M576" s="31" t="n">
        <v>1</v>
      </c>
      <c r="N576" s="51" t="s">
        <v>462</v>
      </c>
      <c r="O576" s="35" t="s">
        <v>78</v>
      </c>
      <c r="P576" s="52"/>
      <c r="Q576" s="52"/>
      <c r="R576" s="33" t="n">
        <f aca="false">INDEX(Épopées!$L$6:$L$59,MATCH(K576,Épopées!$A$6:$A$59,0))</f>
        <v>46400</v>
      </c>
      <c r="S576" s="33" t="n">
        <f aca="false">INDEX(Épopées!$M$6:$M$59,MATCH(K576,Épopées!$A$6:$A$59,0))</f>
        <v>46409</v>
      </c>
      <c r="T576" s="53" t="s">
        <v>463</v>
      </c>
    </row>
    <row r="577" customFormat="false" ht="15" hidden="false" customHeight="false" outlineLevel="0" collapsed="false">
      <c r="A577" s="31" t="s">
        <v>1815</v>
      </c>
      <c r="B577" s="31" t="s">
        <v>342</v>
      </c>
      <c r="C577" s="31" t="s">
        <v>355</v>
      </c>
      <c r="D577" s="31" t="s">
        <v>356</v>
      </c>
      <c r="E577" s="31" t="s">
        <v>1816</v>
      </c>
      <c r="F577" s="31" t="s">
        <v>1623</v>
      </c>
      <c r="G577" s="31" t="s">
        <v>466</v>
      </c>
      <c r="H577" s="31" t="s">
        <v>41</v>
      </c>
      <c r="I577" s="31" t="n">
        <f aca="false">VLOOKUP(H577,Paramètres!$A$15:$B$19,2,FALSE())</f>
        <v>1</v>
      </c>
      <c r="J577" s="31" t="n">
        <v>0</v>
      </c>
      <c r="K577" s="50" t="str">
        <f aca="false">C577&amp;"|"&amp;J577</f>
        <v>MOB-ZD|0</v>
      </c>
      <c r="L577" s="31"/>
      <c r="M577" s="31" t="n">
        <v>1</v>
      </c>
      <c r="N577" s="51" t="s">
        <v>462</v>
      </c>
      <c r="O577" s="35" t="s">
        <v>78</v>
      </c>
      <c r="P577" s="52"/>
      <c r="Q577" s="52"/>
      <c r="R577" s="33" t="n">
        <f aca="false">INDEX(Épopées!$L$6:$L$59,MATCH(K577,Épopées!$A$6:$A$59,0))</f>
        <v>46400</v>
      </c>
      <c r="S577" s="33" t="n">
        <f aca="false">INDEX(Épopées!$M$6:$M$59,MATCH(K577,Épopées!$A$6:$A$59,0))</f>
        <v>46409</v>
      </c>
      <c r="T577" s="53" t="s">
        <v>463</v>
      </c>
    </row>
    <row r="578" customFormat="false" ht="15" hidden="false" customHeight="false" outlineLevel="0" collapsed="false">
      <c r="A578" s="31" t="s">
        <v>1817</v>
      </c>
      <c r="B578" s="31" t="s">
        <v>342</v>
      </c>
      <c r="C578" s="31" t="s">
        <v>355</v>
      </c>
      <c r="D578" s="31" t="s">
        <v>356</v>
      </c>
      <c r="E578" s="31" t="s">
        <v>1818</v>
      </c>
      <c r="F578" s="31" t="s">
        <v>1623</v>
      </c>
      <c r="G578" s="31" t="s">
        <v>461</v>
      </c>
      <c r="H578" s="31" t="s">
        <v>43</v>
      </c>
      <c r="I578" s="31" t="n">
        <f aca="false">VLOOKUP(H578,Paramètres!$A$15:$B$19,2,FALSE())</f>
        <v>2</v>
      </c>
      <c r="J578" s="31" t="n">
        <v>0</v>
      </c>
      <c r="K578" s="50" t="str">
        <f aca="false">C578&amp;"|"&amp;J578</f>
        <v>MOB-ZD|0</v>
      </c>
      <c r="L578" s="31"/>
      <c r="M578" s="31" t="n">
        <v>1</v>
      </c>
      <c r="N578" s="51" t="s">
        <v>462</v>
      </c>
      <c r="O578" s="35" t="s">
        <v>78</v>
      </c>
      <c r="P578" s="52"/>
      <c r="Q578" s="52"/>
      <c r="R578" s="33" t="n">
        <f aca="false">INDEX(Épopées!$L$6:$L$59,MATCH(K578,Épopées!$A$6:$A$59,0))</f>
        <v>46400</v>
      </c>
      <c r="S578" s="33" t="n">
        <f aca="false">INDEX(Épopées!$M$6:$M$59,MATCH(K578,Épopées!$A$6:$A$59,0))</f>
        <v>46409</v>
      </c>
      <c r="T578" s="53" t="s">
        <v>463</v>
      </c>
    </row>
    <row r="579" customFormat="false" ht="15" hidden="false" customHeight="false" outlineLevel="0" collapsed="false">
      <c r="A579" s="31" t="s">
        <v>1819</v>
      </c>
      <c r="B579" s="31" t="s">
        <v>342</v>
      </c>
      <c r="C579" s="31" t="s">
        <v>355</v>
      </c>
      <c r="D579" s="31" t="s">
        <v>356</v>
      </c>
      <c r="E579" s="31" t="s">
        <v>1820</v>
      </c>
      <c r="F579" s="31" t="s">
        <v>1623</v>
      </c>
      <c r="G579" s="31" t="s">
        <v>466</v>
      </c>
      <c r="H579" s="31" t="s">
        <v>41</v>
      </c>
      <c r="I579" s="31" t="n">
        <f aca="false">VLOOKUP(H579,Paramètres!$A$15:$B$19,2,FALSE())</f>
        <v>1</v>
      </c>
      <c r="J579" s="31" t="n">
        <v>0</v>
      </c>
      <c r="K579" s="50" t="str">
        <f aca="false">C579&amp;"|"&amp;J579</f>
        <v>MOB-ZD|0</v>
      </c>
      <c r="L579" s="31"/>
      <c r="M579" s="31" t="n">
        <v>1</v>
      </c>
      <c r="N579" s="51" t="s">
        <v>462</v>
      </c>
      <c r="O579" s="35" t="s">
        <v>78</v>
      </c>
      <c r="P579" s="52"/>
      <c r="Q579" s="52"/>
      <c r="R579" s="33" t="n">
        <f aca="false">INDEX(Épopées!$L$6:$L$59,MATCH(K579,Épopées!$A$6:$A$59,0))</f>
        <v>46400</v>
      </c>
      <c r="S579" s="33" t="n">
        <f aca="false">INDEX(Épopées!$M$6:$M$59,MATCH(K579,Épopées!$A$6:$A$59,0))</f>
        <v>46409</v>
      </c>
      <c r="T579" s="53" t="s">
        <v>463</v>
      </c>
    </row>
    <row r="580" customFormat="false" ht="15" hidden="false" customHeight="false" outlineLevel="0" collapsed="false">
      <c r="A580" s="31" t="s">
        <v>1821</v>
      </c>
      <c r="B580" s="31" t="s">
        <v>342</v>
      </c>
      <c r="C580" s="31" t="s">
        <v>355</v>
      </c>
      <c r="D580" s="31" t="s">
        <v>356</v>
      </c>
      <c r="E580" s="31" t="s">
        <v>1822</v>
      </c>
      <c r="F580" s="31" t="s">
        <v>1623</v>
      </c>
      <c r="G580" s="31" t="s">
        <v>466</v>
      </c>
      <c r="H580" s="31" t="s">
        <v>41</v>
      </c>
      <c r="I580" s="31" t="n">
        <f aca="false">VLOOKUP(H580,Paramètres!$A$15:$B$19,2,FALSE())</f>
        <v>1</v>
      </c>
      <c r="J580" s="31" t="n">
        <v>0</v>
      </c>
      <c r="K580" s="50" t="str">
        <f aca="false">C580&amp;"|"&amp;J580</f>
        <v>MOB-ZD|0</v>
      </c>
      <c r="L580" s="31"/>
      <c r="M580" s="31" t="n">
        <v>1</v>
      </c>
      <c r="N580" s="51" t="s">
        <v>462</v>
      </c>
      <c r="O580" s="35" t="s">
        <v>78</v>
      </c>
      <c r="P580" s="52"/>
      <c r="Q580" s="52"/>
      <c r="R580" s="33" t="n">
        <f aca="false">INDEX(Épopées!$L$6:$L$59,MATCH(K580,Épopées!$A$6:$A$59,0))</f>
        <v>46400</v>
      </c>
      <c r="S580" s="33" t="n">
        <f aca="false">INDEX(Épopées!$M$6:$M$59,MATCH(K580,Épopées!$A$6:$A$59,0))</f>
        <v>46409</v>
      </c>
      <c r="T580" s="53" t="s">
        <v>463</v>
      </c>
    </row>
    <row r="581" customFormat="false" ht="15" hidden="false" customHeight="false" outlineLevel="0" collapsed="false">
      <c r="A581" s="31" t="s">
        <v>1823</v>
      </c>
      <c r="B581" s="31" t="s">
        <v>342</v>
      </c>
      <c r="C581" s="31" t="s">
        <v>355</v>
      </c>
      <c r="D581" s="31" t="s">
        <v>356</v>
      </c>
      <c r="E581" s="31" t="s">
        <v>1824</v>
      </c>
      <c r="F581" s="31" t="s">
        <v>1623</v>
      </c>
      <c r="G581" s="31" t="s">
        <v>466</v>
      </c>
      <c r="H581" s="31" t="s">
        <v>41</v>
      </c>
      <c r="I581" s="31" t="n">
        <f aca="false">VLOOKUP(H581,Paramètres!$A$15:$B$19,2,FALSE())</f>
        <v>1</v>
      </c>
      <c r="J581" s="31" t="n">
        <v>0</v>
      </c>
      <c r="K581" s="50" t="str">
        <f aca="false">C581&amp;"|"&amp;J581</f>
        <v>MOB-ZD|0</v>
      </c>
      <c r="L581" s="31"/>
      <c r="M581" s="31" t="n">
        <v>1</v>
      </c>
      <c r="N581" s="51" t="s">
        <v>462</v>
      </c>
      <c r="O581" s="35" t="s">
        <v>78</v>
      </c>
      <c r="P581" s="52"/>
      <c r="Q581" s="52"/>
      <c r="R581" s="33" t="n">
        <f aca="false">INDEX(Épopées!$L$6:$L$59,MATCH(K581,Épopées!$A$6:$A$59,0))</f>
        <v>46400</v>
      </c>
      <c r="S581" s="33" t="n">
        <f aca="false">INDEX(Épopées!$M$6:$M$59,MATCH(K581,Épopées!$A$6:$A$59,0))</f>
        <v>46409</v>
      </c>
      <c r="T581" s="53" t="s">
        <v>463</v>
      </c>
    </row>
    <row r="582" customFormat="false" ht="15" hidden="false" customHeight="false" outlineLevel="0" collapsed="false">
      <c r="A582" s="31" t="s">
        <v>1825</v>
      </c>
      <c r="B582" s="31" t="s">
        <v>342</v>
      </c>
      <c r="C582" s="31" t="s">
        <v>355</v>
      </c>
      <c r="D582" s="31" t="s">
        <v>356</v>
      </c>
      <c r="E582" s="31" t="s">
        <v>1826</v>
      </c>
      <c r="F582" s="31" t="s">
        <v>503</v>
      </c>
      <c r="G582" s="31" t="s">
        <v>612</v>
      </c>
      <c r="H582" s="31" t="s">
        <v>39</v>
      </c>
      <c r="I582" s="31" t="n">
        <f aca="false">VLOOKUP(H582,Paramètres!$A$15:$B$19,2,FALSE())</f>
        <v>0.5</v>
      </c>
      <c r="J582" s="31" t="n">
        <v>0</v>
      </c>
      <c r="K582" s="50" t="str">
        <f aca="false">C582&amp;"|"&amp;J582</f>
        <v>MOB-ZD|0</v>
      </c>
      <c r="L582" s="31"/>
      <c r="M582" s="31" t="n">
        <v>1</v>
      </c>
      <c r="N582" s="51" t="s">
        <v>462</v>
      </c>
      <c r="O582" s="35" t="s">
        <v>78</v>
      </c>
      <c r="P582" s="52"/>
      <c r="Q582" s="52"/>
      <c r="R582" s="33" t="n">
        <f aca="false">INDEX(Épopées!$L$6:$L$59,MATCH(K582,Épopées!$A$6:$A$59,0))</f>
        <v>46400</v>
      </c>
      <c r="S582" s="33" t="n">
        <f aca="false">INDEX(Épopées!$M$6:$M$59,MATCH(K582,Épopées!$A$6:$A$59,0))</f>
        <v>46409</v>
      </c>
      <c r="T582" s="53" t="s">
        <v>463</v>
      </c>
    </row>
    <row r="583" customFormat="false" ht="15" hidden="false" customHeight="false" outlineLevel="0" collapsed="false">
      <c r="A583" s="31" t="s">
        <v>1827</v>
      </c>
      <c r="B583" s="31" t="s">
        <v>342</v>
      </c>
      <c r="C583" s="31" t="s">
        <v>355</v>
      </c>
      <c r="D583" s="31" t="s">
        <v>356</v>
      </c>
      <c r="E583" s="31" t="s">
        <v>1828</v>
      </c>
      <c r="F583" s="31" t="s">
        <v>491</v>
      </c>
      <c r="G583" s="31" t="s">
        <v>461</v>
      </c>
      <c r="H583" s="31" t="s">
        <v>41</v>
      </c>
      <c r="I583" s="31" t="n">
        <f aca="false">VLOOKUP(H583,Paramètres!$A$15:$B$19,2,FALSE())</f>
        <v>1</v>
      </c>
      <c r="J583" s="31" t="n">
        <v>0</v>
      </c>
      <c r="K583" s="50" t="str">
        <f aca="false">C583&amp;"|"&amp;J583</f>
        <v>MOB-ZD|0</v>
      </c>
      <c r="L583" s="31"/>
      <c r="M583" s="31" t="n">
        <v>1</v>
      </c>
      <c r="N583" s="51" t="s">
        <v>462</v>
      </c>
      <c r="O583" s="35" t="s">
        <v>78</v>
      </c>
      <c r="P583" s="52"/>
      <c r="Q583" s="52"/>
      <c r="R583" s="33" t="n">
        <f aca="false">INDEX(Épopées!$L$6:$L$59,MATCH(K583,Épopées!$A$6:$A$59,0))</f>
        <v>46400</v>
      </c>
      <c r="S583" s="33" t="n">
        <f aca="false">INDEX(Épopées!$M$6:$M$59,MATCH(K583,Épopées!$A$6:$A$59,0))</f>
        <v>46409</v>
      </c>
      <c r="T583" s="53" t="s">
        <v>463</v>
      </c>
    </row>
    <row r="584" customFormat="false" ht="15" hidden="false" customHeight="false" outlineLevel="0" collapsed="false">
      <c r="A584" s="31" t="s">
        <v>1829</v>
      </c>
      <c r="B584" s="31" t="s">
        <v>342</v>
      </c>
      <c r="C584" s="31" t="s">
        <v>355</v>
      </c>
      <c r="D584" s="31" t="s">
        <v>356</v>
      </c>
      <c r="E584" s="31" t="s">
        <v>1830</v>
      </c>
      <c r="F584" s="31" t="s">
        <v>1623</v>
      </c>
      <c r="G584" s="31" t="s">
        <v>466</v>
      </c>
      <c r="H584" s="31" t="s">
        <v>43</v>
      </c>
      <c r="I584" s="31" t="n">
        <f aca="false">VLOOKUP(H584,Paramètres!$A$15:$B$19,2,FALSE())</f>
        <v>2</v>
      </c>
      <c r="J584" s="31" t="n">
        <v>0</v>
      </c>
      <c r="K584" s="50" t="str">
        <f aca="false">C584&amp;"|"&amp;J584</f>
        <v>MOB-ZD|0</v>
      </c>
      <c r="L584" s="31" t="s">
        <v>1827</v>
      </c>
      <c r="M584" s="31" t="n">
        <v>1</v>
      </c>
      <c r="N584" s="51" t="s">
        <v>462</v>
      </c>
      <c r="O584" s="35" t="s">
        <v>78</v>
      </c>
      <c r="P584" s="52"/>
      <c r="Q584" s="52"/>
      <c r="R584" s="33" t="n">
        <f aca="false">INDEX(Épopées!$L$6:$L$59,MATCH(K584,Épopées!$A$6:$A$59,0))</f>
        <v>46400</v>
      </c>
      <c r="S584" s="33" t="n">
        <f aca="false">INDEX(Épopées!$M$6:$M$59,MATCH(K584,Épopées!$A$6:$A$59,0))</f>
        <v>46409</v>
      </c>
      <c r="T584" s="53" t="s">
        <v>463</v>
      </c>
    </row>
    <row r="585" customFormat="false" ht="15" hidden="false" customHeight="false" outlineLevel="0" collapsed="false">
      <c r="A585" s="31" t="s">
        <v>1831</v>
      </c>
      <c r="B585" s="31" t="s">
        <v>342</v>
      </c>
      <c r="C585" s="31" t="s">
        <v>355</v>
      </c>
      <c r="D585" s="31" t="s">
        <v>356</v>
      </c>
      <c r="E585" s="31" t="s">
        <v>1832</v>
      </c>
      <c r="F585" s="31" t="s">
        <v>491</v>
      </c>
      <c r="G585" s="31" t="s">
        <v>461</v>
      </c>
      <c r="H585" s="31" t="s">
        <v>41</v>
      </c>
      <c r="I585" s="31" t="n">
        <f aca="false">VLOOKUP(H585,Paramètres!$A$15:$B$19,2,FALSE())</f>
        <v>1</v>
      </c>
      <c r="J585" s="31" t="n">
        <v>0</v>
      </c>
      <c r="K585" s="50" t="str">
        <f aca="false">C585&amp;"|"&amp;J585</f>
        <v>MOB-ZD|0</v>
      </c>
      <c r="L585" s="31"/>
      <c r="M585" s="31" t="n">
        <v>1</v>
      </c>
      <c r="N585" s="51" t="s">
        <v>462</v>
      </c>
      <c r="O585" s="35" t="s">
        <v>78</v>
      </c>
      <c r="P585" s="52"/>
      <c r="Q585" s="52"/>
      <c r="R585" s="33" t="n">
        <f aca="false">INDEX(Épopées!$L$6:$L$59,MATCH(K585,Épopées!$A$6:$A$59,0))</f>
        <v>46400</v>
      </c>
      <c r="S585" s="33" t="n">
        <f aca="false">INDEX(Épopées!$M$6:$M$59,MATCH(K585,Épopées!$A$6:$A$59,0))</f>
        <v>46409</v>
      </c>
      <c r="T585" s="53" t="s">
        <v>463</v>
      </c>
    </row>
    <row r="586" customFormat="false" ht="15" hidden="false" customHeight="false" outlineLevel="0" collapsed="false">
      <c r="A586" s="31" t="s">
        <v>1833</v>
      </c>
      <c r="B586" s="31" t="s">
        <v>342</v>
      </c>
      <c r="C586" s="31" t="s">
        <v>355</v>
      </c>
      <c r="D586" s="31" t="s">
        <v>356</v>
      </c>
      <c r="E586" s="31" t="s">
        <v>1834</v>
      </c>
      <c r="F586" s="31" t="s">
        <v>491</v>
      </c>
      <c r="G586" s="31" t="s">
        <v>461</v>
      </c>
      <c r="H586" s="31" t="s">
        <v>41</v>
      </c>
      <c r="I586" s="31" t="n">
        <f aca="false">VLOOKUP(H586,Paramètres!$A$15:$B$19,2,FALSE())</f>
        <v>1</v>
      </c>
      <c r="J586" s="31" t="n">
        <v>0</v>
      </c>
      <c r="K586" s="50" t="str">
        <f aca="false">C586&amp;"|"&amp;J586</f>
        <v>MOB-ZD|0</v>
      </c>
      <c r="L586" s="31" t="s">
        <v>1831</v>
      </c>
      <c r="M586" s="31" t="n">
        <v>3</v>
      </c>
      <c r="N586" s="51" t="s">
        <v>462</v>
      </c>
      <c r="O586" s="35" t="s">
        <v>78</v>
      </c>
      <c r="P586" s="52"/>
      <c r="Q586" s="52"/>
      <c r="R586" s="33" t="n">
        <f aca="false">INDEX(Épopées!$L$6:$L$59,MATCH(K586,Épopées!$A$6:$A$59,0))</f>
        <v>46400</v>
      </c>
      <c r="S586" s="33" t="n">
        <f aca="false">INDEX(Épopées!$M$6:$M$59,MATCH(K586,Épopées!$A$6:$A$59,0))</f>
        <v>46409</v>
      </c>
      <c r="T586" s="53" t="s">
        <v>463</v>
      </c>
    </row>
    <row r="587" customFormat="false" ht="15" hidden="false" customHeight="false" outlineLevel="0" collapsed="false">
      <c r="A587" s="31" t="s">
        <v>1835</v>
      </c>
      <c r="B587" s="31" t="s">
        <v>342</v>
      </c>
      <c r="C587" s="31" t="s">
        <v>355</v>
      </c>
      <c r="D587" s="31" t="s">
        <v>356</v>
      </c>
      <c r="E587" s="31" t="s">
        <v>1836</v>
      </c>
      <c r="F587" s="31" t="s">
        <v>486</v>
      </c>
      <c r="G587" s="31" t="s">
        <v>461</v>
      </c>
      <c r="H587" s="31" t="s">
        <v>41</v>
      </c>
      <c r="I587" s="31" t="n">
        <f aca="false">VLOOKUP(H587,Paramètres!$A$15:$B$19,2,FALSE())</f>
        <v>1</v>
      </c>
      <c r="J587" s="31" t="n">
        <v>0</v>
      </c>
      <c r="K587" s="50" t="str">
        <f aca="false">C587&amp;"|"&amp;J587</f>
        <v>MOB-ZD|0</v>
      </c>
      <c r="L587" s="31"/>
      <c r="M587" s="31" t="n">
        <v>2</v>
      </c>
      <c r="N587" s="51" t="s">
        <v>462</v>
      </c>
      <c r="O587" s="35" t="s">
        <v>78</v>
      </c>
      <c r="P587" s="52"/>
      <c r="Q587" s="52"/>
      <c r="R587" s="33" t="n">
        <f aca="false">INDEX(Épopées!$L$6:$L$59,MATCH(K587,Épopées!$A$6:$A$59,0))</f>
        <v>46400</v>
      </c>
      <c r="S587" s="33" t="n">
        <f aca="false">INDEX(Épopées!$M$6:$M$59,MATCH(K587,Épopées!$A$6:$A$59,0))</f>
        <v>46409</v>
      </c>
      <c r="T587" s="53" t="s">
        <v>463</v>
      </c>
    </row>
    <row r="588" customFormat="false" ht="15" hidden="false" customHeight="false" outlineLevel="0" collapsed="false">
      <c r="A588" s="31" t="s">
        <v>1837</v>
      </c>
      <c r="B588" s="31" t="s">
        <v>342</v>
      </c>
      <c r="C588" s="31" t="s">
        <v>355</v>
      </c>
      <c r="D588" s="31" t="s">
        <v>356</v>
      </c>
      <c r="E588" s="31" t="s">
        <v>1838</v>
      </c>
      <c r="F588" s="31" t="s">
        <v>1623</v>
      </c>
      <c r="G588" s="31" t="s">
        <v>466</v>
      </c>
      <c r="H588" s="31" t="s">
        <v>43</v>
      </c>
      <c r="I588" s="31" t="n">
        <f aca="false">VLOOKUP(H588,Paramètres!$A$15:$B$19,2,FALSE())</f>
        <v>2</v>
      </c>
      <c r="J588" s="31" t="n">
        <v>0</v>
      </c>
      <c r="K588" s="50" t="str">
        <f aca="false">C588&amp;"|"&amp;J588</f>
        <v>MOB-ZD|0</v>
      </c>
      <c r="L588" s="31" t="s">
        <v>1835</v>
      </c>
      <c r="M588" s="31" t="n">
        <v>2</v>
      </c>
      <c r="N588" s="51" t="s">
        <v>462</v>
      </c>
      <c r="O588" s="35" t="s">
        <v>78</v>
      </c>
      <c r="P588" s="52"/>
      <c r="Q588" s="52"/>
      <c r="R588" s="33" t="n">
        <f aca="false">INDEX(Épopées!$L$6:$L$59,MATCH(K588,Épopées!$A$6:$A$59,0))</f>
        <v>46400</v>
      </c>
      <c r="S588" s="33" t="n">
        <f aca="false">INDEX(Épopées!$M$6:$M$59,MATCH(K588,Épopées!$A$6:$A$59,0))</f>
        <v>46409</v>
      </c>
      <c r="T588" s="53" t="s">
        <v>463</v>
      </c>
    </row>
    <row r="589" customFormat="false" ht="15" hidden="false" customHeight="false" outlineLevel="0" collapsed="false">
      <c r="A589" s="31" t="s">
        <v>1839</v>
      </c>
      <c r="B589" s="31" t="s">
        <v>342</v>
      </c>
      <c r="C589" s="31" t="s">
        <v>358</v>
      </c>
      <c r="D589" s="31" t="s">
        <v>359</v>
      </c>
      <c r="E589" s="31" t="s">
        <v>1840</v>
      </c>
      <c r="F589" s="31" t="s">
        <v>481</v>
      </c>
      <c r="G589" s="31" t="s">
        <v>461</v>
      </c>
      <c r="H589" s="31" t="s">
        <v>41</v>
      </c>
      <c r="I589" s="31" t="n">
        <f aca="false">VLOOKUP(H589,Paramètres!$A$15:$B$19,2,FALSE())</f>
        <v>1</v>
      </c>
      <c r="J589" s="31" t="n">
        <v>0</v>
      </c>
      <c r="K589" s="50" t="str">
        <f aca="false">C589&amp;"|"&amp;J589</f>
        <v>MOB-ZE|0</v>
      </c>
      <c r="L589" s="31"/>
      <c r="M589" s="31" t="n">
        <v>2</v>
      </c>
      <c r="N589" s="51" t="s">
        <v>462</v>
      </c>
      <c r="O589" s="35" t="s">
        <v>78</v>
      </c>
      <c r="P589" s="52"/>
      <c r="Q589" s="52"/>
      <c r="R589" s="33" t="n">
        <f aca="false">INDEX(Épopées!$L$6:$L$59,MATCH(K589,Épopées!$A$6:$A$59,0))</f>
        <v>46412</v>
      </c>
      <c r="S589" s="33" t="n">
        <f aca="false">INDEX(Épopées!$M$6:$M$59,MATCH(K589,Épopées!$A$6:$A$59,0))</f>
        <v>46423</v>
      </c>
      <c r="T589" s="53" t="s">
        <v>463</v>
      </c>
    </row>
    <row r="590" customFormat="false" ht="15" hidden="false" customHeight="false" outlineLevel="0" collapsed="false">
      <c r="A590" s="31" t="s">
        <v>1841</v>
      </c>
      <c r="B590" s="31" t="s">
        <v>342</v>
      </c>
      <c r="C590" s="31" t="s">
        <v>358</v>
      </c>
      <c r="D590" s="31" t="s">
        <v>359</v>
      </c>
      <c r="E590" s="31" t="s">
        <v>1842</v>
      </c>
      <c r="F590" s="31" t="s">
        <v>491</v>
      </c>
      <c r="G590" s="31" t="s">
        <v>466</v>
      </c>
      <c r="H590" s="31" t="s">
        <v>39</v>
      </c>
      <c r="I590" s="31" t="n">
        <f aca="false">VLOOKUP(H590,Paramètres!$A$15:$B$19,2,FALSE())</f>
        <v>0.5</v>
      </c>
      <c r="J590" s="31" t="n">
        <v>0</v>
      </c>
      <c r="K590" s="50" t="str">
        <f aca="false">C590&amp;"|"&amp;J590</f>
        <v>MOB-ZE|0</v>
      </c>
      <c r="L590" s="31"/>
      <c r="M590" s="31" t="n">
        <v>1</v>
      </c>
      <c r="N590" s="51" t="s">
        <v>462</v>
      </c>
      <c r="O590" s="35" t="s">
        <v>78</v>
      </c>
      <c r="P590" s="52"/>
      <c r="Q590" s="52"/>
      <c r="R590" s="33" t="n">
        <f aca="false">INDEX(Épopées!$L$6:$L$59,MATCH(K590,Épopées!$A$6:$A$59,0))</f>
        <v>46412</v>
      </c>
      <c r="S590" s="33" t="n">
        <f aca="false">INDEX(Épopées!$M$6:$M$59,MATCH(K590,Épopées!$A$6:$A$59,0))</f>
        <v>46423</v>
      </c>
      <c r="T590" s="53" t="s">
        <v>463</v>
      </c>
    </row>
    <row r="591" customFormat="false" ht="15" hidden="false" customHeight="false" outlineLevel="0" collapsed="false">
      <c r="A591" s="31" t="s">
        <v>1843</v>
      </c>
      <c r="B591" s="31" t="s">
        <v>342</v>
      </c>
      <c r="C591" s="31" t="s">
        <v>358</v>
      </c>
      <c r="D591" s="31" t="s">
        <v>359</v>
      </c>
      <c r="E591" s="31" t="s">
        <v>1844</v>
      </c>
      <c r="F591" s="31" t="s">
        <v>1623</v>
      </c>
      <c r="G591" s="31" t="s">
        <v>461</v>
      </c>
      <c r="H591" s="31" t="s">
        <v>41</v>
      </c>
      <c r="I591" s="31" t="n">
        <f aca="false">VLOOKUP(H591,Paramètres!$A$15:$B$19,2,FALSE())</f>
        <v>1</v>
      </c>
      <c r="J591" s="31" t="n">
        <v>0</v>
      </c>
      <c r="K591" s="50" t="str">
        <f aca="false">C591&amp;"|"&amp;J591</f>
        <v>MOB-ZE|0</v>
      </c>
      <c r="L591" s="31" t="s">
        <v>1839</v>
      </c>
      <c r="M591" s="31" t="n">
        <v>3</v>
      </c>
      <c r="N591" s="51" t="s">
        <v>462</v>
      </c>
      <c r="O591" s="35" t="s">
        <v>78</v>
      </c>
      <c r="P591" s="52"/>
      <c r="Q591" s="52"/>
      <c r="R591" s="33" t="n">
        <f aca="false">INDEX(Épopées!$L$6:$L$59,MATCH(K591,Épopées!$A$6:$A$59,0))</f>
        <v>46412</v>
      </c>
      <c r="S591" s="33" t="n">
        <f aca="false">INDEX(Épopées!$M$6:$M$59,MATCH(K591,Épopées!$A$6:$A$59,0))</f>
        <v>46423</v>
      </c>
      <c r="T591" s="53" t="s">
        <v>463</v>
      </c>
    </row>
    <row r="592" customFormat="false" ht="15" hidden="false" customHeight="false" outlineLevel="0" collapsed="false">
      <c r="A592" s="31" t="s">
        <v>1845</v>
      </c>
      <c r="B592" s="31" t="s">
        <v>342</v>
      </c>
      <c r="C592" s="31" t="s">
        <v>358</v>
      </c>
      <c r="D592" s="31" t="s">
        <v>359</v>
      </c>
      <c r="E592" s="31" t="s">
        <v>1846</v>
      </c>
      <c r="F592" s="31" t="s">
        <v>1623</v>
      </c>
      <c r="G592" s="31" t="s">
        <v>461</v>
      </c>
      <c r="H592" s="31" t="s">
        <v>41</v>
      </c>
      <c r="I592" s="31" t="n">
        <f aca="false">VLOOKUP(H592,Paramètres!$A$15:$B$19,2,FALSE())</f>
        <v>1</v>
      </c>
      <c r="J592" s="31" t="n">
        <v>0</v>
      </c>
      <c r="K592" s="50" t="str">
        <f aca="false">C592&amp;"|"&amp;J592</f>
        <v>MOB-ZE|0</v>
      </c>
      <c r="L592" s="31" t="s">
        <v>1839</v>
      </c>
      <c r="M592" s="31" t="n">
        <v>1</v>
      </c>
      <c r="N592" s="51" t="s">
        <v>462</v>
      </c>
      <c r="O592" s="35" t="s">
        <v>78</v>
      </c>
      <c r="P592" s="52"/>
      <c r="Q592" s="52"/>
      <c r="R592" s="33" t="n">
        <f aca="false">INDEX(Épopées!$L$6:$L$59,MATCH(K592,Épopées!$A$6:$A$59,0))</f>
        <v>46412</v>
      </c>
      <c r="S592" s="33" t="n">
        <f aca="false">INDEX(Épopées!$M$6:$M$59,MATCH(K592,Épopées!$A$6:$A$59,0))</f>
        <v>46423</v>
      </c>
      <c r="T592" s="53" t="s">
        <v>463</v>
      </c>
    </row>
    <row r="593" customFormat="false" ht="15" hidden="false" customHeight="false" outlineLevel="0" collapsed="false">
      <c r="A593" s="31" t="s">
        <v>1847</v>
      </c>
      <c r="B593" s="31" t="s">
        <v>342</v>
      </c>
      <c r="C593" s="31" t="s">
        <v>358</v>
      </c>
      <c r="D593" s="31" t="s">
        <v>359</v>
      </c>
      <c r="E593" s="31" t="s">
        <v>1848</v>
      </c>
      <c r="F593" s="31" t="s">
        <v>1623</v>
      </c>
      <c r="G593" s="31" t="s">
        <v>466</v>
      </c>
      <c r="H593" s="31" t="s">
        <v>43</v>
      </c>
      <c r="I593" s="31" t="n">
        <f aca="false">VLOOKUP(H593,Paramètres!$A$15:$B$19,2,FALSE())</f>
        <v>2</v>
      </c>
      <c r="J593" s="31" t="n">
        <v>0</v>
      </c>
      <c r="K593" s="50" t="str">
        <f aca="false">C593&amp;"|"&amp;J593</f>
        <v>MOB-ZE|0</v>
      </c>
      <c r="L593" s="31" t="s">
        <v>1849</v>
      </c>
      <c r="M593" s="31" t="n">
        <v>1</v>
      </c>
      <c r="N593" s="51" t="s">
        <v>462</v>
      </c>
      <c r="O593" s="35" t="s">
        <v>78</v>
      </c>
      <c r="P593" s="52"/>
      <c r="Q593" s="52"/>
      <c r="R593" s="33" t="n">
        <f aca="false">INDEX(Épopées!$L$6:$L$59,MATCH(K593,Épopées!$A$6:$A$59,0))</f>
        <v>46412</v>
      </c>
      <c r="S593" s="33" t="n">
        <f aca="false">INDEX(Épopées!$M$6:$M$59,MATCH(K593,Épopées!$A$6:$A$59,0))</f>
        <v>46423</v>
      </c>
      <c r="T593" s="53" t="s">
        <v>463</v>
      </c>
    </row>
    <row r="594" customFormat="false" ht="15" hidden="false" customHeight="false" outlineLevel="0" collapsed="false">
      <c r="A594" s="31" t="s">
        <v>1850</v>
      </c>
      <c r="B594" s="31" t="s">
        <v>342</v>
      </c>
      <c r="C594" s="31" t="s">
        <v>358</v>
      </c>
      <c r="D594" s="31" t="s">
        <v>359</v>
      </c>
      <c r="E594" s="31" t="s">
        <v>1851</v>
      </c>
      <c r="F594" s="31" t="s">
        <v>1623</v>
      </c>
      <c r="G594" s="31" t="s">
        <v>612</v>
      </c>
      <c r="H594" s="31" t="s">
        <v>39</v>
      </c>
      <c r="I594" s="31" t="n">
        <f aca="false">VLOOKUP(H594,Paramètres!$A$15:$B$19,2,FALSE())</f>
        <v>0.5</v>
      </c>
      <c r="J594" s="31" t="n">
        <v>0</v>
      </c>
      <c r="K594" s="50" t="str">
        <f aca="false">C594&amp;"|"&amp;J594</f>
        <v>MOB-ZE|0</v>
      </c>
      <c r="L594" s="31" t="s">
        <v>1839</v>
      </c>
      <c r="M594" s="31" t="n">
        <v>1</v>
      </c>
      <c r="N594" s="51" t="s">
        <v>462</v>
      </c>
      <c r="O594" s="35" t="s">
        <v>78</v>
      </c>
      <c r="P594" s="52"/>
      <c r="Q594" s="52"/>
      <c r="R594" s="33" t="n">
        <f aca="false">INDEX(Épopées!$L$6:$L$59,MATCH(K594,Épopées!$A$6:$A$59,0))</f>
        <v>46412</v>
      </c>
      <c r="S594" s="33" t="n">
        <f aca="false">INDEX(Épopées!$M$6:$M$59,MATCH(K594,Épopées!$A$6:$A$59,0))</f>
        <v>46423</v>
      </c>
      <c r="T594" s="53" t="s">
        <v>463</v>
      </c>
    </row>
    <row r="595" customFormat="false" ht="15" hidden="false" customHeight="false" outlineLevel="0" collapsed="false">
      <c r="A595" s="31" t="s">
        <v>1852</v>
      </c>
      <c r="B595" s="31" t="s">
        <v>342</v>
      </c>
      <c r="C595" s="31" t="s">
        <v>358</v>
      </c>
      <c r="D595" s="31" t="s">
        <v>359</v>
      </c>
      <c r="E595" s="31" t="s">
        <v>1853</v>
      </c>
      <c r="F595" s="31" t="s">
        <v>1623</v>
      </c>
      <c r="G595" s="31" t="s">
        <v>466</v>
      </c>
      <c r="H595" s="31" t="s">
        <v>41</v>
      </c>
      <c r="I595" s="31" t="n">
        <f aca="false">VLOOKUP(H595,Paramètres!$A$15:$B$19,2,FALSE())</f>
        <v>1</v>
      </c>
      <c r="J595" s="31" t="n">
        <v>0</v>
      </c>
      <c r="K595" s="50" t="str">
        <f aca="false">C595&amp;"|"&amp;J595</f>
        <v>MOB-ZE|0</v>
      </c>
      <c r="L595" s="31" t="s">
        <v>1839</v>
      </c>
      <c r="M595" s="31" t="n">
        <v>2</v>
      </c>
      <c r="N595" s="51" t="s">
        <v>462</v>
      </c>
      <c r="O595" s="35" t="s">
        <v>78</v>
      </c>
      <c r="P595" s="52"/>
      <c r="Q595" s="52"/>
      <c r="R595" s="33" t="n">
        <f aca="false">INDEX(Épopées!$L$6:$L$59,MATCH(K595,Épopées!$A$6:$A$59,0))</f>
        <v>46412</v>
      </c>
      <c r="S595" s="33" t="n">
        <f aca="false">INDEX(Épopées!$M$6:$M$59,MATCH(K595,Épopées!$A$6:$A$59,0))</f>
        <v>46423</v>
      </c>
      <c r="T595" s="53" t="s">
        <v>463</v>
      </c>
    </row>
    <row r="596" customFormat="false" ht="15" hidden="false" customHeight="false" outlineLevel="0" collapsed="false">
      <c r="A596" s="31" t="s">
        <v>1854</v>
      </c>
      <c r="B596" s="31" t="s">
        <v>342</v>
      </c>
      <c r="C596" s="31" t="s">
        <v>358</v>
      </c>
      <c r="D596" s="31" t="s">
        <v>359</v>
      </c>
      <c r="E596" s="31" t="s">
        <v>1855</v>
      </c>
      <c r="F596" s="31" t="s">
        <v>1623</v>
      </c>
      <c r="G596" s="31" t="s">
        <v>466</v>
      </c>
      <c r="H596" s="31" t="s">
        <v>43</v>
      </c>
      <c r="I596" s="31" t="n">
        <f aca="false">VLOOKUP(H596,Paramètres!$A$15:$B$19,2,FALSE())</f>
        <v>2</v>
      </c>
      <c r="J596" s="31" t="n">
        <v>0</v>
      </c>
      <c r="K596" s="50" t="str">
        <f aca="false">C596&amp;"|"&amp;J596</f>
        <v>MOB-ZE|0</v>
      </c>
      <c r="L596" s="31" t="s">
        <v>1856</v>
      </c>
      <c r="M596" s="31" t="n">
        <v>2</v>
      </c>
      <c r="N596" s="51" t="s">
        <v>462</v>
      </c>
      <c r="O596" s="35" t="s">
        <v>78</v>
      </c>
      <c r="P596" s="52"/>
      <c r="Q596" s="52"/>
      <c r="R596" s="33" t="n">
        <f aca="false">INDEX(Épopées!$L$6:$L$59,MATCH(K596,Épopées!$A$6:$A$59,0))</f>
        <v>46412</v>
      </c>
      <c r="S596" s="33" t="n">
        <f aca="false">INDEX(Épopées!$M$6:$M$59,MATCH(K596,Épopées!$A$6:$A$59,0))</f>
        <v>46423</v>
      </c>
      <c r="T596" s="53" t="s">
        <v>463</v>
      </c>
    </row>
    <row r="597" customFormat="false" ht="15" hidden="false" customHeight="false" outlineLevel="0" collapsed="false">
      <c r="A597" s="31" t="s">
        <v>1857</v>
      </c>
      <c r="B597" s="31" t="s">
        <v>342</v>
      </c>
      <c r="C597" s="31" t="s">
        <v>358</v>
      </c>
      <c r="D597" s="31" t="s">
        <v>359</v>
      </c>
      <c r="E597" s="31" t="s">
        <v>1858</v>
      </c>
      <c r="F597" s="31" t="s">
        <v>1623</v>
      </c>
      <c r="G597" s="31" t="s">
        <v>466</v>
      </c>
      <c r="H597" s="31" t="s">
        <v>41</v>
      </c>
      <c r="I597" s="31" t="n">
        <f aca="false">VLOOKUP(H597,Paramètres!$A$15:$B$19,2,FALSE())</f>
        <v>1</v>
      </c>
      <c r="J597" s="31" t="n">
        <v>0</v>
      </c>
      <c r="K597" s="50" t="str">
        <f aca="false">C597&amp;"|"&amp;J597</f>
        <v>MOB-ZE|0</v>
      </c>
      <c r="L597" s="31" t="s">
        <v>1856</v>
      </c>
      <c r="M597" s="31" t="n">
        <v>1</v>
      </c>
      <c r="N597" s="51" t="s">
        <v>462</v>
      </c>
      <c r="O597" s="35" t="s">
        <v>78</v>
      </c>
      <c r="P597" s="52"/>
      <c r="Q597" s="52"/>
      <c r="R597" s="33" t="n">
        <f aca="false">INDEX(Épopées!$L$6:$L$59,MATCH(K597,Épopées!$A$6:$A$59,0))</f>
        <v>46412</v>
      </c>
      <c r="S597" s="33" t="n">
        <f aca="false">INDEX(Épopées!$M$6:$M$59,MATCH(K597,Épopées!$A$6:$A$59,0))</f>
        <v>46423</v>
      </c>
      <c r="T597" s="53" t="s">
        <v>463</v>
      </c>
    </row>
    <row r="598" customFormat="false" ht="15" hidden="false" customHeight="false" outlineLevel="0" collapsed="false">
      <c r="A598" s="31" t="s">
        <v>1859</v>
      </c>
      <c r="B598" s="31" t="s">
        <v>342</v>
      </c>
      <c r="C598" s="31" t="s">
        <v>358</v>
      </c>
      <c r="D598" s="31" t="s">
        <v>359</v>
      </c>
      <c r="E598" s="31" t="s">
        <v>1860</v>
      </c>
      <c r="F598" s="31" t="s">
        <v>1623</v>
      </c>
      <c r="G598" s="31" t="s">
        <v>466</v>
      </c>
      <c r="H598" s="31" t="s">
        <v>41</v>
      </c>
      <c r="I598" s="31" t="n">
        <f aca="false">VLOOKUP(H598,Paramètres!$A$15:$B$19,2,FALSE())</f>
        <v>1</v>
      </c>
      <c r="J598" s="31" t="n">
        <v>0</v>
      </c>
      <c r="K598" s="50" t="str">
        <f aca="false">C598&amp;"|"&amp;J598</f>
        <v>MOB-ZE|0</v>
      </c>
      <c r="L598" s="31" t="s">
        <v>1839</v>
      </c>
      <c r="M598" s="31" t="n">
        <v>1</v>
      </c>
      <c r="N598" s="51" t="s">
        <v>462</v>
      </c>
      <c r="O598" s="35" t="s">
        <v>78</v>
      </c>
      <c r="P598" s="52"/>
      <c r="Q598" s="52"/>
      <c r="R598" s="33" t="n">
        <f aca="false">INDEX(Épopées!$L$6:$L$59,MATCH(K598,Épopées!$A$6:$A$59,0))</f>
        <v>46412</v>
      </c>
      <c r="S598" s="33" t="n">
        <f aca="false">INDEX(Épopées!$M$6:$M$59,MATCH(K598,Épopées!$A$6:$A$59,0))</f>
        <v>46423</v>
      </c>
      <c r="T598" s="53" t="s">
        <v>463</v>
      </c>
    </row>
    <row r="599" customFormat="false" ht="15" hidden="false" customHeight="false" outlineLevel="0" collapsed="false">
      <c r="A599" s="31" t="s">
        <v>1861</v>
      </c>
      <c r="B599" s="31" t="s">
        <v>342</v>
      </c>
      <c r="C599" s="31" t="s">
        <v>358</v>
      </c>
      <c r="D599" s="31" t="s">
        <v>359</v>
      </c>
      <c r="E599" s="31" t="s">
        <v>1862</v>
      </c>
      <c r="F599" s="31" t="s">
        <v>1863</v>
      </c>
      <c r="G599" s="31" t="s">
        <v>461</v>
      </c>
      <c r="H599" s="31" t="s">
        <v>41</v>
      </c>
      <c r="I599" s="31" t="n">
        <f aca="false">VLOOKUP(H599,Paramètres!$A$15:$B$19,2,FALSE())</f>
        <v>1</v>
      </c>
      <c r="J599" s="31" t="n">
        <v>0</v>
      </c>
      <c r="K599" s="50" t="str">
        <f aca="false">C599&amp;"|"&amp;J599</f>
        <v>MOB-ZE|0</v>
      </c>
      <c r="L599" s="31"/>
      <c r="M599" s="31" t="n">
        <v>1</v>
      </c>
      <c r="N599" s="51" t="s">
        <v>462</v>
      </c>
      <c r="O599" s="35" t="s">
        <v>78</v>
      </c>
      <c r="P599" s="52"/>
      <c r="Q599" s="52"/>
      <c r="R599" s="33" t="n">
        <f aca="false">INDEX(Épopées!$L$6:$L$59,MATCH(K599,Épopées!$A$6:$A$59,0))</f>
        <v>46412</v>
      </c>
      <c r="S599" s="33" t="n">
        <f aca="false">INDEX(Épopées!$M$6:$M$59,MATCH(K599,Épopées!$A$6:$A$59,0))</f>
        <v>46423</v>
      </c>
      <c r="T599" s="53" t="s">
        <v>463</v>
      </c>
    </row>
    <row r="600" customFormat="false" ht="15" hidden="false" customHeight="false" outlineLevel="0" collapsed="false">
      <c r="A600" s="31" t="s">
        <v>1864</v>
      </c>
      <c r="B600" s="31" t="s">
        <v>342</v>
      </c>
      <c r="C600" s="31" t="s">
        <v>358</v>
      </c>
      <c r="D600" s="31" t="s">
        <v>359</v>
      </c>
      <c r="E600" s="31" t="s">
        <v>1865</v>
      </c>
      <c r="F600" s="31" t="s">
        <v>491</v>
      </c>
      <c r="G600" s="31" t="s">
        <v>466</v>
      </c>
      <c r="H600" s="31" t="s">
        <v>43</v>
      </c>
      <c r="I600" s="31" t="n">
        <f aca="false">VLOOKUP(H600,Paramètres!$A$15:$B$19,2,FALSE())</f>
        <v>2</v>
      </c>
      <c r="J600" s="31" t="n">
        <v>0</v>
      </c>
      <c r="K600" s="50" t="str">
        <f aca="false">C600&amp;"|"&amp;J600</f>
        <v>MOB-ZE|0</v>
      </c>
      <c r="L600" s="31" t="s">
        <v>1841</v>
      </c>
      <c r="M600" s="31" t="n">
        <v>1</v>
      </c>
      <c r="N600" s="51" t="s">
        <v>462</v>
      </c>
      <c r="O600" s="35" t="s">
        <v>78</v>
      </c>
      <c r="P600" s="52"/>
      <c r="Q600" s="52"/>
      <c r="R600" s="33" t="n">
        <f aca="false">INDEX(Épopées!$L$6:$L$59,MATCH(K600,Épopées!$A$6:$A$59,0))</f>
        <v>46412</v>
      </c>
      <c r="S600" s="33" t="n">
        <f aca="false">INDEX(Épopées!$M$6:$M$59,MATCH(K600,Épopées!$A$6:$A$59,0))</f>
        <v>46423</v>
      </c>
      <c r="T600" s="53" t="s">
        <v>463</v>
      </c>
    </row>
    <row r="601" customFormat="false" ht="15" hidden="false" customHeight="false" outlineLevel="0" collapsed="false">
      <c r="A601" s="31" t="s">
        <v>1866</v>
      </c>
      <c r="B601" s="31" t="s">
        <v>342</v>
      </c>
      <c r="C601" s="31" t="s">
        <v>358</v>
      </c>
      <c r="D601" s="31" t="s">
        <v>359</v>
      </c>
      <c r="E601" s="31" t="s">
        <v>1867</v>
      </c>
      <c r="F601" s="31" t="s">
        <v>1863</v>
      </c>
      <c r="G601" s="31" t="s">
        <v>461</v>
      </c>
      <c r="H601" s="31" t="s">
        <v>41</v>
      </c>
      <c r="I601" s="31" t="n">
        <f aca="false">VLOOKUP(H601,Paramètres!$A$15:$B$19,2,FALSE())</f>
        <v>1</v>
      </c>
      <c r="J601" s="31" t="n">
        <v>0</v>
      </c>
      <c r="K601" s="50" t="str">
        <f aca="false">C601&amp;"|"&amp;J601</f>
        <v>MOB-ZE|0</v>
      </c>
      <c r="L601" s="31" t="s">
        <v>1861</v>
      </c>
      <c r="M601" s="31" t="n">
        <v>1</v>
      </c>
      <c r="N601" s="51" t="s">
        <v>462</v>
      </c>
      <c r="O601" s="35" t="s">
        <v>78</v>
      </c>
      <c r="P601" s="52"/>
      <c r="Q601" s="52"/>
      <c r="R601" s="33" t="n">
        <f aca="false">INDEX(Épopées!$L$6:$L$59,MATCH(K601,Épopées!$A$6:$A$59,0))</f>
        <v>46412</v>
      </c>
      <c r="S601" s="33" t="n">
        <f aca="false">INDEX(Épopées!$M$6:$M$59,MATCH(K601,Épopées!$A$6:$A$59,0))</f>
        <v>46423</v>
      </c>
      <c r="T601" s="53" t="s">
        <v>463</v>
      </c>
    </row>
    <row r="602" customFormat="false" ht="15" hidden="false" customHeight="false" outlineLevel="0" collapsed="false">
      <c r="A602" s="31" t="s">
        <v>1868</v>
      </c>
      <c r="B602" s="31" t="s">
        <v>342</v>
      </c>
      <c r="C602" s="31" t="s">
        <v>358</v>
      </c>
      <c r="D602" s="31" t="s">
        <v>359</v>
      </c>
      <c r="E602" s="31" t="s">
        <v>1869</v>
      </c>
      <c r="F602" s="31" t="s">
        <v>1863</v>
      </c>
      <c r="G602" s="31" t="s">
        <v>461</v>
      </c>
      <c r="H602" s="31" t="s">
        <v>41</v>
      </c>
      <c r="I602" s="31" t="n">
        <f aca="false">VLOOKUP(H602,Paramètres!$A$15:$B$19,2,FALSE())</f>
        <v>1</v>
      </c>
      <c r="J602" s="31" t="n">
        <v>0</v>
      </c>
      <c r="K602" s="50" t="str">
        <f aca="false">C602&amp;"|"&amp;J602</f>
        <v>MOB-ZE|0</v>
      </c>
      <c r="L602" s="31"/>
      <c r="M602" s="31" t="n">
        <v>1</v>
      </c>
      <c r="N602" s="51" t="s">
        <v>462</v>
      </c>
      <c r="O602" s="35" t="s">
        <v>78</v>
      </c>
      <c r="P602" s="52"/>
      <c r="Q602" s="52"/>
      <c r="R602" s="33" t="n">
        <f aca="false">INDEX(Épopées!$L$6:$L$59,MATCH(K602,Épopées!$A$6:$A$59,0))</f>
        <v>46412</v>
      </c>
      <c r="S602" s="33" t="n">
        <f aca="false">INDEX(Épopées!$M$6:$M$59,MATCH(K602,Épopées!$A$6:$A$59,0))</f>
        <v>46423</v>
      </c>
      <c r="T602" s="53" t="s">
        <v>463</v>
      </c>
    </row>
    <row r="603" customFormat="false" ht="15" hidden="false" customHeight="false" outlineLevel="0" collapsed="false">
      <c r="A603" s="31" t="s">
        <v>1870</v>
      </c>
      <c r="B603" s="31" t="s">
        <v>342</v>
      </c>
      <c r="C603" s="31" t="s">
        <v>358</v>
      </c>
      <c r="D603" s="31" t="s">
        <v>359</v>
      </c>
      <c r="E603" s="31" t="s">
        <v>1871</v>
      </c>
      <c r="F603" s="31" t="s">
        <v>1863</v>
      </c>
      <c r="G603" s="31" t="s">
        <v>466</v>
      </c>
      <c r="H603" s="31" t="s">
        <v>39</v>
      </c>
      <c r="I603" s="31" t="n">
        <f aca="false">VLOOKUP(H603,Paramètres!$A$15:$B$19,2,FALSE())</f>
        <v>0.5</v>
      </c>
      <c r="J603" s="31" t="n">
        <v>0</v>
      </c>
      <c r="K603" s="50" t="str">
        <f aca="false">C603&amp;"|"&amp;J603</f>
        <v>MOB-ZE|0</v>
      </c>
      <c r="L603" s="31"/>
      <c r="M603" s="31" t="n">
        <v>1</v>
      </c>
      <c r="N603" s="51" t="s">
        <v>462</v>
      </c>
      <c r="O603" s="35" t="s">
        <v>78</v>
      </c>
      <c r="P603" s="52"/>
      <c r="Q603" s="52"/>
      <c r="R603" s="33" t="n">
        <f aca="false">INDEX(Épopées!$L$6:$L$59,MATCH(K603,Épopées!$A$6:$A$59,0))</f>
        <v>46412</v>
      </c>
      <c r="S603" s="33" t="n">
        <f aca="false">INDEX(Épopées!$M$6:$M$59,MATCH(K603,Épopées!$A$6:$A$59,0))</f>
        <v>46423</v>
      </c>
      <c r="T603" s="53" t="s">
        <v>463</v>
      </c>
    </row>
    <row r="604" customFormat="false" ht="15" hidden="false" customHeight="false" outlineLevel="0" collapsed="false">
      <c r="A604" s="31" t="s">
        <v>1872</v>
      </c>
      <c r="B604" s="31" t="s">
        <v>342</v>
      </c>
      <c r="C604" s="31" t="s">
        <v>358</v>
      </c>
      <c r="D604" s="31" t="s">
        <v>359</v>
      </c>
      <c r="E604" s="31" t="s">
        <v>1873</v>
      </c>
      <c r="F604" s="31" t="s">
        <v>491</v>
      </c>
      <c r="G604" s="31" t="s">
        <v>466</v>
      </c>
      <c r="H604" s="31" t="s">
        <v>41</v>
      </c>
      <c r="I604" s="31" t="n">
        <f aca="false">VLOOKUP(H604,Paramètres!$A$15:$B$19,2,FALSE())</f>
        <v>1</v>
      </c>
      <c r="J604" s="31" t="n">
        <v>0</v>
      </c>
      <c r="K604" s="50" t="str">
        <f aca="false">C604&amp;"|"&amp;J604</f>
        <v>MOB-ZE|0</v>
      </c>
      <c r="L604" s="31" t="s">
        <v>1861</v>
      </c>
      <c r="M604" s="31" t="n">
        <v>1</v>
      </c>
      <c r="N604" s="51" t="s">
        <v>462</v>
      </c>
      <c r="O604" s="35" t="s">
        <v>78</v>
      </c>
      <c r="P604" s="52"/>
      <c r="Q604" s="52"/>
      <c r="R604" s="33" t="n">
        <f aca="false">INDEX(Épopées!$L$6:$L$59,MATCH(K604,Épopées!$A$6:$A$59,0))</f>
        <v>46412</v>
      </c>
      <c r="S604" s="33" t="n">
        <f aca="false">INDEX(Épopées!$M$6:$M$59,MATCH(K604,Épopées!$A$6:$A$59,0))</f>
        <v>46423</v>
      </c>
      <c r="T604" s="53" t="s">
        <v>463</v>
      </c>
    </row>
    <row r="605" customFormat="false" ht="15" hidden="false" customHeight="false" outlineLevel="0" collapsed="false">
      <c r="A605" s="31" t="s">
        <v>1874</v>
      </c>
      <c r="B605" s="31" t="s">
        <v>342</v>
      </c>
      <c r="C605" s="31" t="s">
        <v>358</v>
      </c>
      <c r="D605" s="31" t="s">
        <v>359</v>
      </c>
      <c r="E605" s="31" t="s">
        <v>1875</v>
      </c>
      <c r="F605" s="31" t="s">
        <v>548</v>
      </c>
      <c r="G605" s="31" t="s">
        <v>466</v>
      </c>
      <c r="H605" s="31" t="s">
        <v>41</v>
      </c>
      <c r="I605" s="31" t="n">
        <f aca="false">VLOOKUP(H605,Paramètres!$A$15:$B$19,2,FALSE())</f>
        <v>1</v>
      </c>
      <c r="J605" s="31" t="n">
        <v>0</v>
      </c>
      <c r="K605" s="50" t="str">
        <f aca="false">C605&amp;"|"&amp;J605</f>
        <v>MOB-ZE|0</v>
      </c>
      <c r="L605" s="31" t="s">
        <v>1876</v>
      </c>
      <c r="M605" s="31" t="n">
        <v>2</v>
      </c>
      <c r="N605" s="51" t="s">
        <v>462</v>
      </c>
      <c r="O605" s="35" t="s">
        <v>78</v>
      </c>
      <c r="P605" s="52"/>
      <c r="Q605" s="52"/>
      <c r="R605" s="33" t="n">
        <f aca="false">INDEX(Épopées!$L$6:$L$59,MATCH(K605,Épopées!$A$6:$A$59,0))</f>
        <v>46412</v>
      </c>
      <c r="S605" s="33" t="n">
        <f aca="false">INDEX(Épopées!$M$6:$M$59,MATCH(K605,Épopées!$A$6:$A$59,0))</f>
        <v>46423</v>
      </c>
      <c r="T605" s="53" t="s">
        <v>463</v>
      </c>
    </row>
    <row r="606" customFormat="false" ht="15" hidden="false" customHeight="false" outlineLevel="0" collapsed="false">
      <c r="A606" s="31" t="s">
        <v>1877</v>
      </c>
      <c r="B606" s="31" t="s">
        <v>342</v>
      </c>
      <c r="C606" s="31" t="s">
        <v>358</v>
      </c>
      <c r="D606" s="31" t="s">
        <v>359</v>
      </c>
      <c r="E606" s="31" t="s">
        <v>1878</v>
      </c>
      <c r="F606" s="31" t="s">
        <v>472</v>
      </c>
      <c r="G606" s="31" t="s">
        <v>466</v>
      </c>
      <c r="H606" s="31" t="s">
        <v>41</v>
      </c>
      <c r="I606" s="31" t="n">
        <f aca="false">VLOOKUP(H606,Paramètres!$A$15:$B$19,2,FALSE())</f>
        <v>1</v>
      </c>
      <c r="J606" s="31" t="n">
        <v>0</v>
      </c>
      <c r="K606" s="50" t="str">
        <f aca="false">C606&amp;"|"&amp;J606</f>
        <v>MOB-ZE|0</v>
      </c>
      <c r="L606" s="31" t="s">
        <v>1879</v>
      </c>
      <c r="M606" s="31" t="n">
        <v>4</v>
      </c>
      <c r="N606" s="51" t="s">
        <v>462</v>
      </c>
      <c r="O606" s="35" t="s">
        <v>78</v>
      </c>
      <c r="P606" s="52"/>
      <c r="Q606" s="52"/>
      <c r="R606" s="33" t="n">
        <f aca="false">INDEX(Épopées!$L$6:$L$59,MATCH(K606,Épopées!$A$6:$A$59,0))</f>
        <v>46412</v>
      </c>
      <c r="S606" s="33" t="n">
        <f aca="false">INDEX(Épopées!$M$6:$M$59,MATCH(K606,Épopées!$A$6:$A$59,0))</f>
        <v>46423</v>
      </c>
      <c r="T606" s="53" t="s">
        <v>463</v>
      </c>
    </row>
    <row r="607" customFormat="false" ht="15" hidden="false" customHeight="false" outlineLevel="0" collapsed="false">
      <c r="A607" s="31" t="s">
        <v>1880</v>
      </c>
      <c r="B607" s="31" t="s">
        <v>342</v>
      </c>
      <c r="C607" s="31" t="s">
        <v>361</v>
      </c>
      <c r="D607" s="31" t="s">
        <v>362</v>
      </c>
      <c r="E607" s="31" t="s">
        <v>1881</v>
      </c>
      <c r="F607" s="31" t="s">
        <v>491</v>
      </c>
      <c r="G607" s="31" t="s">
        <v>461</v>
      </c>
      <c r="H607" s="31" t="s">
        <v>43</v>
      </c>
      <c r="I607" s="31" t="n">
        <f aca="false">VLOOKUP(H607,Paramètres!$A$15:$B$19,2,FALSE())</f>
        <v>2</v>
      </c>
      <c r="J607" s="31" t="n">
        <v>0</v>
      </c>
      <c r="K607" s="50" t="str">
        <f aca="false">C607&amp;"|"&amp;J607</f>
        <v>MOB-A|0</v>
      </c>
      <c r="L607" s="31"/>
      <c r="M607" s="31" t="n">
        <v>7</v>
      </c>
      <c r="N607" s="51" t="s">
        <v>462</v>
      </c>
      <c r="O607" s="35" t="s">
        <v>78</v>
      </c>
      <c r="P607" s="52"/>
      <c r="Q607" s="52"/>
      <c r="R607" s="33" t="n">
        <f aca="false">INDEX(Épopées!$L$6:$L$59,MATCH(K607,Épopées!$A$6:$A$59,0))</f>
        <v>46426</v>
      </c>
      <c r="S607" s="33" t="n">
        <f aca="false">INDEX(Épopées!$M$6:$M$59,MATCH(K607,Épopées!$A$6:$A$59,0))</f>
        <v>46435</v>
      </c>
      <c r="T607" s="53" t="s">
        <v>463</v>
      </c>
    </row>
    <row r="608" customFormat="false" ht="15" hidden="false" customHeight="false" outlineLevel="0" collapsed="false">
      <c r="A608" s="31" t="s">
        <v>1882</v>
      </c>
      <c r="B608" s="31" t="s">
        <v>342</v>
      </c>
      <c r="C608" s="31" t="s">
        <v>361</v>
      </c>
      <c r="D608" s="31" t="s">
        <v>362</v>
      </c>
      <c r="E608" s="31" t="s">
        <v>1883</v>
      </c>
      <c r="F608" s="31" t="s">
        <v>1623</v>
      </c>
      <c r="G608" s="31" t="s">
        <v>461</v>
      </c>
      <c r="H608" s="31" t="s">
        <v>39</v>
      </c>
      <c r="I608" s="31" t="n">
        <f aca="false">VLOOKUP(H608,Paramètres!$A$15:$B$19,2,FALSE())</f>
        <v>0.5</v>
      </c>
      <c r="J608" s="31" t="n">
        <v>0</v>
      </c>
      <c r="K608" s="50" t="str">
        <f aca="false">C608&amp;"|"&amp;J608</f>
        <v>MOB-A|0</v>
      </c>
      <c r="L608" s="31" t="s">
        <v>1880</v>
      </c>
      <c r="M608" s="31" t="n">
        <v>1</v>
      </c>
      <c r="N608" s="51" t="s">
        <v>462</v>
      </c>
      <c r="O608" s="35" t="s">
        <v>78</v>
      </c>
      <c r="P608" s="52"/>
      <c r="Q608" s="52"/>
      <c r="R608" s="33" t="n">
        <f aca="false">INDEX(Épopées!$L$6:$L$59,MATCH(K608,Épopées!$A$6:$A$59,0))</f>
        <v>46426</v>
      </c>
      <c r="S608" s="33" t="n">
        <f aca="false">INDEX(Épopées!$M$6:$M$59,MATCH(K608,Épopées!$A$6:$A$59,0))</f>
        <v>46435</v>
      </c>
      <c r="T608" s="53" t="s">
        <v>463</v>
      </c>
    </row>
    <row r="609" customFormat="false" ht="15" hidden="false" customHeight="false" outlineLevel="0" collapsed="false">
      <c r="A609" s="31" t="s">
        <v>1884</v>
      </c>
      <c r="B609" s="31" t="s">
        <v>342</v>
      </c>
      <c r="C609" s="31" t="s">
        <v>361</v>
      </c>
      <c r="D609" s="31" t="s">
        <v>362</v>
      </c>
      <c r="E609" s="31" t="s">
        <v>1885</v>
      </c>
      <c r="F609" s="31" t="s">
        <v>481</v>
      </c>
      <c r="G609" s="31" t="s">
        <v>461</v>
      </c>
      <c r="H609" s="31" t="s">
        <v>41</v>
      </c>
      <c r="I609" s="31" t="n">
        <f aca="false">VLOOKUP(H609,Paramètres!$A$15:$B$19,2,FALSE())</f>
        <v>1</v>
      </c>
      <c r="J609" s="31" t="n">
        <v>0</v>
      </c>
      <c r="K609" s="50" t="str">
        <f aca="false">C609&amp;"|"&amp;J609</f>
        <v>MOB-A|0</v>
      </c>
      <c r="L609" s="31" t="s">
        <v>1880</v>
      </c>
      <c r="M609" s="31" t="n">
        <v>1</v>
      </c>
      <c r="N609" s="51" t="s">
        <v>462</v>
      </c>
      <c r="O609" s="35" t="s">
        <v>78</v>
      </c>
      <c r="P609" s="52"/>
      <c r="Q609" s="52"/>
      <c r="R609" s="33" t="n">
        <f aca="false">INDEX(Épopées!$L$6:$L$59,MATCH(K609,Épopées!$A$6:$A$59,0))</f>
        <v>46426</v>
      </c>
      <c r="S609" s="33" t="n">
        <f aca="false">INDEX(Épopées!$M$6:$M$59,MATCH(K609,Épopées!$A$6:$A$59,0))</f>
        <v>46435</v>
      </c>
      <c r="T609" s="53" t="s">
        <v>463</v>
      </c>
    </row>
    <row r="610" customFormat="false" ht="15" hidden="false" customHeight="false" outlineLevel="0" collapsed="false">
      <c r="A610" s="31" t="s">
        <v>1886</v>
      </c>
      <c r="B610" s="31" t="s">
        <v>342</v>
      </c>
      <c r="C610" s="31" t="s">
        <v>361</v>
      </c>
      <c r="D610" s="31" t="s">
        <v>362</v>
      </c>
      <c r="E610" s="31" t="s">
        <v>1887</v>
      </c>
      <c r="F610" s="31" t="s">
        <v>1623</v>
      </c>
      <c r="G610" s="31" t="s">
        <v>461</v>
      </c>
      <c r="H610" s="31" t="s">
        <v>41</v>
      </c>
      <c r="I610" s="31" t="n">
        <f aca="false">VLOOKUP(H610,Paramètres!$A$15:$B$19,2,FALSE())</f>
        <v>1</v>
      </c>
      <c r="J610" s="31" t="n">
        <v>0</v>
      </c>
      <c r="K610" s="50" t="str">
        <f aca="false">C610&amp;"|"&amp;J610</f>
        <v>MOB-A|0</v>
      </c>
      <c r="L610" s="31" t="s">
        <v>1884</v>
      </c>
      <c r="M610" s="31" t="n">
        <v>1</v>
      </c>
      <c r="N610" s="51" t="s">
        <v>462</v>
      </c>
      <c r="O610" s="35" t="s">
        <v>78</v>
      </c>
      <c r="P610" s="52"/>
      <c r="Q610" s="52"/>
      <c r="R610" s="33" t="n">
        <f aca="false">INDEX(Épopées!$L$6:$L$59,MATCH(K610,Épopées!$A$6:$A$59,0))</f>
        <v>46426</v>
      </c>
      <c r="S610" s="33" t="n">
        <f aca="false">INDEX(Épopées!$M$6:$M$59,MATCH(K610,Épopées!$A$6:$A$59,0))</f>
        <v>46435</v>
      </c>
      <c r="T610" s="53" t="s">
        <v>463</v>
      </c>
    </row>
    <row r="611" customFormat="false" ht="15" hidden="false" customHeight="false" outlineLevel="0" collapsed="false">
      <c r="A611" s="31" t="s">
        <v>1888</v>
      </c>
      <c r="B611" s="31" t="s">
        <v>342</v>
      </c>
      <c r="C611" s="31" t="s">
        <v>361</v>
      </c>
      <c r="D611" s="31" t="s">
        <v>362</v>
      </c>
      <c r="E611" s="31" t="s">
        <v>1889</v>
      </c>
      <c r="F611" s="31" t="s">
        <v>469</v>
      </c>
      <c r="G611" s="31" t="s">
        <v>461</v>
      </c>
      <c r="H611" s="31" t="s">
        <v>41</v>
      </c>
      <c r="I611" s="31" t="n">
        <f aca="false">VLOOKUP(H611,Paramètres!$A$15:$B$19,2,FALSE())</f>
        <v>1</v>
      </c>
      <c r="J611" s="31" t="n">
        <v>0</v>
      </c>
      <c r="K611" s="50" t="str">
        <f aca="false">C611&amp;"|"&amp;J611</f>
        <v>MOB-A|0</v>
      </c>
      <c r="L611" s="31" t="s">
        <v>1884</v>
      </c>
      <c r="M611" s="31" t="n">
        <v>4</v>
      </c>
      <c r="N611" s="51" t="s">
        <v>462</v>
      </c>
      <c r="O611" s="35" t="s">
        <v>78</v>
      </c>
      <c r="P611" s="52"/>
      <c r="Q611" s="52"/>
      <c r="R611" s="33" t="n">
        <f aca="false">INDEX(Épopées!$L$6:$L$59,MATCH(K611,Épopées!$A$6:$A$59,0))</f>
        <v>46426</v>
      </c>
      <c r="S611" s="33" t="n">
        <f aca="false">INDEX(Épopées!$M$6:$M$59,MATCH(K611,Épopées!$A$6:$A$59,0))</f>
        <v>46435</v>
      </c>
      <c r="T611" s="53" t="s">
        <v>463</v>
      </c>
    </row>
    <row r="612" customFormat="false" ht="15" hidden="false" customHeight="false" outlineLevel="0" collapsed="false">
      <c r="A612" s="31" t="s">
        <v>1890</v>
      </c>
      <c r="B612" s="31" t="s">
        <v>342</v>
      </c>
      <c r="C612" s="31" t="s">
        <v>361</v>
      </c>
      <c r="D612" s="31" t="s">
        <v>362</v>
      </c>
      <c r="E612" s="31" t="s">
        <v>1891</v>
      </c>
      <c r="F612" s="31" t="s">
        <v>1623</v>
      </c>
      <c r="G612" s="31" t="s">
        <v>461</v>
      </c>
      <c r="H612" s="31" t="s">
        <v>39</v>
      </c>
      <c r="I612" s="31" t="n">
        <f aca="false">VLOOKUP(H612,Paramètres!$A$15:$B$19,2,FALSE())</f>
        <v>0.5</v>
      </c>
      <c r="J612" s="31" t="n">
        <v>0</v>
      </c>
      <c r="K612" s="50" t="str">
        <f aca="false">C612&amp;"|"&amp;J612</f>
        <v>MOB-A|0</v>
      </c>
      <c r="L612" s="31" t="s">
        <v>1888</v>
      </c>
      <c r="M612" s="31" t="n">
        <v>1</v>
      </c>
      <c r="N612" s="51" t="s">
        <v>462</v>
      </c>
      <c r="O612" s="35" t="s">
        <v>78</v>
      </c>
      <c r="P612" s="52"/>
      <c r="Q612" s="52"/>
      <c r="R612" s="33" t="n">
        <f aca="false">INDEX(Épopées!$L$6:$L$59,MATCH(K612,Épopées!$A$6:$A$59,0))</f>
        <v>46426</v>
      </c>
      <c r="S612" s="33" t="n">
        <f aca="false">INDEX(Épopées!$M$6:$M$59,MATCH(K612,Épopées!$A$6:$A$59,0))</f>
        <v>46435</v>
      </c>
      <c r="T612" s="53" t="s">
        <v>463</v>
      </c>
    </row>
    <row r="613" customFormat="false" ht="15" hidden="false" customHeight="false" outlineLevel="0" collapsed="false">
      <c r="A613" s="31" t="s">
        <v>1892</v>
      </c>
      <c r="B613" s="31" t="s">
        <v>342</v>
      </c>
      <c r="C613" s="31" t="s">
        <v>361</v>
      </c>
      <c r="D613" s="31" t="s">
        <v>362</v>
      </c>
      <c r="E613" s="31" t="s">
        <v>1893</v>
      </c>
      <c r="F613" s="31" t="s">
        <v>1623</v>
      </c>
      <c r="G613" s="31" t="s">
        <v>466</v>
      </c>
      <c r="H613" s="31" t="s">
        <v>41</v>
      </c>
      <c r="I613" s="31" t="n">
        <f aca="false">VLOOKUP(H613,Paramètres!$A$15:$B$19,2,FALSE())</f>
        <v>1</v>
      </c>
      <c r="J613" s="31" t="n">
        <v>0</v>
      </c>
      <c r="K613" s="50" t="str">
        <f aca="false">C613&amp;"|"&amp;J613</f>
        <v>MOB-A|0</v>
      </c>
      <c r="L613" s="31" t="s">
        <v>1888</v>
      </c>
      <c r="M613" s="31" t="n">
        <v>1</v>
      </c>
      <c r="N613" s="51" t="s">
        <v>462</v>
      </c>
      <c r="O613" s="35" t="s">
        <v>78</v>
      </c>
      <c r="P613" s="52"/>
      <c r="Q613" s="52"/>
      <c r="R613" s="33" t="n">
        <f aca="false">INDEX(Épopées!$L$6:$L$59,MATCH(K613,Épopées!$A$6:$A$59,0))</f>
        <v>46426</v>
      </c>
      <c r="S613" s="33" t="n">
        <f aca="false">INDEX(Épopées!$M$6:$M$59,MATCH(K613,Épopées!$A$6:$A$59,0))</f>
        <v>46435</v>
      </c>
      <c r="T613" s="53" t="s">
        <v>463</v>
      </c>
    </row>
    <row r="614" customFormat="false" ht="15" hidden="false" customHeight="false" outlineLevel="0" collapsed="false">
      <c r="A614" s="31" t="s">
        <v>1894</v>
      </c>
      <c r="B614" s="31" t="s">
        <v>342</v>
      </c>
      <c r="C614" s="31" t="s">
        <v>361</v>
      </c>
      <c r="D614" s="31" t="s">
        <v>362</v>
      </c>
      <c r="E614" s="31" t="s">
        <v>1895</v>
      </c>
      <c r="F614" s="31" t="s">
        <v>491</v>
      </c>
      <c r="G614" s="31" t="s">
        <v>461</v>
      </c>
      <c r="H614" s="31" t="s">
        <v>41</v>
      </c>
      <c r="I614" s="31" t="n">
        <f aca="false">VLOOKUP(H614,Paramètres!$A$15:$B$19,2,FALSE())</f>
        <v>1</v>
      </c>
      <c r="J614" s="31" t="n">
        <v>0</v>
      </c>
      <c r="K614" s="50" t="str">
        <f aca="false">C614&amp;"|"&amp;J614</f>
        <v>MOB-A|0</v>
      </c>
      <c r="L614" s="31" t="s">
        <v>1888</v>
      </c>
      <c r="M614" s="31" t="n">
        <v>2</v>
      </c>
      <c r="N614" s="51" t="s">
        <v>462</v>
      </c>
      <c r="O614" s="35" t="s">
        <v>78</v>
      </c>
      <c r="P614" s="52"/>
      <c r="Q614" s="52"/>
      <c r="R614" s="33" t="n">
        <f aca="false">INDEX(Épopées!$L$6:$L$59,MATCH(K614,Épopées!$A$6:$A$59,0))</f>
        <v>46426</v>
      </c>
      <c r="S614" s="33" t="n">
        <f aca="false">INDEX(Épopées!$M$6:$M$59,MATCH(K614,Épopées!$A$6:$A$59,0))</f>
        <v>46435</v>
      </c>
      <c r="T614" s="53" t="s">
        <v>463</v>
      </c>
    </row>
    <row r="615" customFormat="false" ht="15" hidden="false" customHeight="false" outlineLevel="0" collapsed="false">
      <c r="A615" s="31" t="s">
        <v>1896</v>
      </c>
      <c r="B615" s="31" t="s">
        <v>342</v>
      </c>
      <c r="C615" s="31" t="s">
        <v>361</v>
      </c>
      <c r="D615" s="31" t="s">
        <v>362</v>
      </c>
      <c r="E615" s="31" t="s">
        <v>1897</v>
      </c>
      <c r="F615" s="31" t="s">
        <v>1623</v>
      </c>
      <c r="G615" s="31" t="s">
        <v>461</v>
      </c>
      <c r="H615" s="31" t="s">
        <v>39</v>
      </c>
      <c r="I615" s="31" t="n">
        <f aca="false">VLOOKUP(H615,Paramètres!$A$15:$B$19,2,FALSE())</f>
        <v>0.5</v>
      </c>
      <c r="J615" s="31" t="n">
        <v>0</v>
      </c>
      <c r="K615" s="50" t="str">
        <f aca="false">C615&amp;"|"&amp;J615</f>
        <v>MOB-A|0</v>
      </c>
      <c r="L615" s="31" t="s">
        <v>1894</v>
      </c>
      <c r="M615" s="31" t="n">
        <v>1</v>
      </c>
      <c r="N615" s="51" t="s">
        <v>462</v>
      </c>
      <c r="O615" s="35" t="s">
        <v>78</v>
      </c>
      <c r="P615" s="52"/>
      <c r="Q615" s="52"/>
      <c r="R615" s="33" t="n">
        <f aca="false">INDEX(Épopées!$L$6:$L$59,MATCH(K615,Épopées!$A$6:$A$59,0))</f>
        <v>46426</v>
      </c>
      <c r="S615" s="33" t="n">
        <f aca="false">INDEX(Épopées!$M$6:$M$59,MATCH(K615,Épopées!$A$6:$A$59,0))</f>
        <v>46435</v>
      </c>
      <c r="T615" s="53" t="s">
        <v>463</v>
      </c>
    </row>
    <row r="616" customFormat="false" ht="15" hidden="false" customHeight="false" outlineLevel="0" collapsed="false">
      <c r="A616" s="31" t="s">
        <v>1898</v>
      </c>
      <c r="B616" s="31" t="s">
        <v>342</v>
      </c>
      <c r="C616" s="31" t="s">
        <v>361</v>
      </c>
      <c r="D616" s="31" t="s">
        <v>362</v>
      </c>
      <c r="E616" s="31" t="s">
        <v>1899</v>
      </c>
      <c r="F616" s="31" t="s">
        <v>1623</v>
      </c>
      <c r="G616" s="31" t="s">
        <v>461</v>
      </c>
      <c r="H616" s="31" t="s">
        <v>39</v>
      </c>
      <c r="I616" s="31" t="n">
        <f aca="false">VLOOKUP(H616,Paramètres!$A$15:$B$19,2,FALSE())</f>
        <v>0.5</v>
      </c>
      <c r="J616" s="31" t="n">
        <v>0</v>
      </c>
      <c r="K616" s="50" t="str">
        <f aca="false">C616&amp;"|"&amp;J616</f>
        <v>MOB-A|0</v>
      </c>
      <c r="L616" s="31" t="s">
        <v>1894</v>
      </c>
      <c r="M616" s="31" t="n">
        <v>1</v>
      </c>
      <c r="N616" s="51" t="s">
        <v>462</v>
      </c>
      <c r="O616" s="35" t="s">
        <v>78</v>
      </c>
      <c r="P616" s="52"/>
      <c r="Q616" s="52"/>
      <c r="R616" s="33" t="n">
        <f aca="false">INDEX(Épopées!$L$6:$L$59,MATCH(K616,Épopées!$A$6:$A$59,0))</f>
        <v>46426</v>
      </c>
      <c r="S616" s="33" t="n">
        <f aca="false">INDEX(Épopées!$M$6:$M$59,MATCH(K616,Épopées!$A$6:$A$59,0))</f>
        <v>46435</v>
      </c>
      <c r="T616" s="53" t="s">
        <v>463</v>
      </c>
    </row>
    <row r="617" customFormat="false" ht="15" hidden="false" customHeight="false" outlineLevel="0" collapsed="false">
      <c r="A617" s="31" t="s">
        <v>1900</v>
      </c>
      <c r="B617" s="31" t="s">
        <v>342</v>
      </c>
      <c r="C617" s="31" t="s">
        <v>361</v>
      </c>
      <c r="D617" s="31" t="s">
        <v>362</v>
      </c>
      <c r="E617" s="31" t="s">
        <v>1901</v>
      </c>
      <c r="F617" s="31" t="s">
        <v>469</v>
      </c>
      <c r="G617" s="31" t="s">
        <v>461</v>
      </c>
      <c r="H617" s="31" t="s">
        <v>41</v>
      </c>
      <c r="I617" s="31" t="n">
        <f aca="false">VLOOKUP(H617,Paramètres!$A$15:$B$19,2,FALSE())</f>
        <v>1</v>
      </c>
      <c r="J617" s="31" t="n">
        <v>0</v>
      </c>
      <c r="K617" s="50" t="str">
        <f aca="false">C617&amp;"|"&amp;J617</f>
        <v>MOB-A|0</v>
      </c>
      <c r="L617" s="31" t="s">
        <v>1888</v>
      </c>
      <c r="M617" s="31" t="n">
        <v>1</v>
      </c>
      <c r="N617" s="51" t="s">
        <v>462</v>
      </c>
      <c r="O617" s="35" t="s">
        <v>78</v>
      </c>
      <c r="P617" s="52"/>
      <c r="Q617" s="52"/>
      <c r="R617" s="33" t="n">
        <f aca="false">INDEX(Épopées!$L$6:$L$59,MATCH(K617,Épopées!$A$6:$A$59,0))</f>
        <v>46426</v>
      </c>
      <c r="S617" s="33" t="n">
        <f aca="false">INDEX(Épopées!$M$6:$M$59,MATCH(K617,Épopées!$A$6:$A$59,0))</f>
        <v>46435</v>
      </c>
      <c r="T617" s="53" t="s">
        <v>463</v>
      </c>
    </row>
    <row r="618" customFormat="false" ht="15" hidden="false" customHeight="false" outlineLevel="0" collapsed="false">
      <c r="A618" s="31" t="s">
        <v>1902</v>
      </c>
      <c r="B618" s="31" t="s">
        <v>342</v>
      </c>
      <c r="C618" s="31" t="s">
        <v>361</v>
      </c>
      <c r="D618" s="31" t="s">
        <v>362</v>
      </c>
      <c r="E618" s="31" t="s">
        <v>1903</v>
      </c>
      <c r="F618" s="31" t="s">
        <v>1623</v>
      </c>
      <c r="G618" s="31" t="s">
        <v>461</v>
      </c>
      <c r="H618" s="31" t="s">
        <v>39</v>
      </c>
      <c r="I618" s="31" t="n">
        <f aca="false">VLOOKUP(H618,Paramètres!$A$15:$B$19,2,FALSE())</f>
        <v>0.5</v>
      </c>
      <c r="J618" s="31" t="n">
        <v>0</v>
      </c>
      <c r="K618" s="50" t="str">
        <f aca="false">C618&amp;"|"&amp;J618</f>
        <v>MOB-A|0</v>
      </c>
      <c r="L618" s="31" t="s">
        <v>1900</v>
      </c>
      <c r="M618" s="31" t="n">
        <v>1</v>
      </c>
      <c r="N618" s="51" t="s">
        <v>462</v>
      </c>
      <c r="O618" s="35" t="s">
        <v>78</v>
      </c>
      <c r="P618" s="52"/>
      <c r="Q618" s="52"/>
      <c r="R618" s="33" t="n">
        <f aca="false">INDEX(Épopées!$L$6:$L$59,MATCH(K618,Épopées!$A$6:$A$59,0))</f>
        <v>46426</v>
      </c>
      <c r="S618" s="33" t="n">
        <f aca="false">INDEX(Épopées!$M$6:$M$59,MATCH(K618,Épopées!$A$6:$A$59,0))</f>
        <v>46435</v>
      </c>
      <c r="T618" s="53" t="s">
        <v>463</v>
      </c>
    </row>
    <row r="619" customFormat="false" ht="15" hidden="false" customHeight="false" outlineLevel="0" collapsed="false">
      <c r="A619" s="31" t="s">
        <v>1904</v>
      </c>
      <c r="B619" s="31" t="s">
        <v>342</v>
      </c>
      <c r="C619" s="31" t="s">
        <v>361</v>
      </c>
      <c r="D619" s="31" t="s">
        <v>362</v>
      </c>
      <c r="E619" s="31" t="s">
        <v>1905</v>
      </c>
      <c r="F619" s="31" t="s">
        <v>491</v>
      </c>
      <c r="G619" s="31" t="s">
        <v>461</v>
      </c>
      <c r="H619" s="31" t="s">
        <v>41</v>
      </c>
      <c r="I619" s="31" t="n">
        <f aca="false">VLOOKUP(H619,Paramètres!$A$15:$B$19,2,FALSE())</f>
        <v>1</v>
      </c>
      <c r="J619" s="31" t="n">
        <v>0</v>
      </c>
      <c r="K619" s="50" t="str">
        <f aca="false">C619&amp;"|"&amp;J619</f>
        <v>MOB-A|0</v>
      </c>
      <c r="L619" s="31" t="s">
        <v>1888</v>
      </c>
      <c r="M619" s="31" t="n">
        <v>2</v>
      </c>
      <c r="N619" s="51" t="s">
        <v>462</v>
      </c>
      <c r="O619" s="35" t="s">
        <v>78</v>
      </c>
      <c r="P619" s="52"/>
      <c r="Q619" s="52"/>
      <c r="R619" s="33" t="n">
        <f aca="false">INDEX(Épopées!$L$6:$L$59,MATCH(K619,Épopées!$A$6:$A$59,0))</f>
        <v>46426</v>
      </c>
      <c r="S619" s="33" t="n">
        <f aca="false">INDEX(Épopées!$M$6:$M$59,MATCH(K619,Épopées!$A$6:$A$59,0))</f>
        <v>46435</v>
      </c>
      <c r="T619" s="53" t="s">
        <v>463</v>
      </c>
    </row>
    <row r="620" customFormat="false" ht="15" hidden="false" customHeight="false" outlineLevel="0" collapsed="false">
      <c r="A620" s="31" t="s">
        <v>1906</v>
      </c>
      <c r="B620" s="31" t="s">
        <v>342</v>
      </c>
      <c r="C620" s="31" t="s">
        <v>361</v>
      </c>
      <c r="D620" s="31" t="s">
        <v>362</v>
      </c>
      <c r="E620" s="31" t="s">
        <v>1907</v>
      </c>
      <c r="F620" s="31" t="s">
        <v>1623</v>
      </c>
      <c r="G620" s="31" t="s">
        <v>461</v>
      </c>
      <c r="H620" s="31" t="s">
        <v>41</v>
      </c>
      <c r="I620" s="31" t="n">
        <f aca="false">VLOOKUP(H620,Paramètres!$A$15:$B$19,2,FALSE())</f>
        <v>1</v>
      </c>
      <c r="J620" s="31" t="n">
        <v>0</v>
      </c>
      <c r="K620" s="50" t="str">
        <f aca="false">C620&amp;"|"&amp;J620</f>
        <v>MOB-A|0</v>
      </c>
      <c r="L620" s="31" t="s">
        <v>1904</v>
      </c>
      <c r="M620" s="31" t="n">
        <v>1</v>
      </c>
      <c r="N620" s="51" t="s">
        <v>462</v>
      </c>
      <c r="O620" s="35" t="s">
        <v>78</v>
      </c>
      <c r="P620" s="52"/>
      <c r="Q620" s="52"/>
      <c r="R620" s="33" t="n">
        <f aca="false">INDEX(Épopées!$L$6:$L$59,MATCH(K620,Épopées!$A$6:$A$59,0))</f>
        <v>46426</v>
      </c>
      <c r="S620" s="33" t="n">
        <f aca="false">INDEX(Épopées!$M$6:$M$59,MATCH(K620,Épopées!$A$6:$A$59,0))</f>
        <v>46435</v>
      </c>
      <c r="T620" s="53" t="s">
        <v>463</v>
      </c>
    </row>
    <row r="621" customFormat="false" ht="15" hidden="false" customHeight="false" outlineLevel="0" collapsed="false">
      <c r="A621" s="31" t="s">
        <v>1908</v>
      </c>
      <c r="B621" s="31" t="s">
        <v>342</v>
      </c>
      <c r="C621" s="31" t="s">
        <v>361</v>
      </c>
      <c r="D621" s="31" t="s">
        <v>362</v>
      </c>
      <c r="E621" s="31" t="s">
        <v>1909</v>
      </c>
      <c r="F621" s="31" t="s">
        <v>1623</v>
      </c>
      <c r="G621" s="31" t="s">
        <v>461</v>
      </c>
      <c r="H621" s="31" t="s">
        <v>39</v>
      </c>
      <c r="I621" s="31" t="n">
        <f aca="false">VLOOKUP(H621,Paramètres!$A$15:$B$19,2,FALSE())</f>
        <v>0.5</v>
      </c>
      <c r="J621" s="31" t="n">
        <v>0</v>
      </c>
      <c r="K621" s="50" t="str">
        <f aca="false">C621&amp;"|"&amp;J621</f>
        <v>MOB-A|0</v>
      </c>
      <c r="L621" s="31" t="s">
        <v>1904</v>
      </c>
      <c r="M621" s="31" t="n">
        <v>1</v>
      </c>
      <c r="N621" s="51" t="s">
        <v>462</v>
      </c>
      <c r="O621" s="35" t="s">
        <v>78</v>
      </c>
      <c r="P621" s="52"/>
      <c r="Q621" s="52"/>
      <c r="R621" s="33" t="n">
        <f aca="false">INDEX(Épopées!$L$6:$L$59,MATCH(K621,Épopées!$A$6:$A$59,0))</f>
        <v>46426</v>
      </c>
      <c r="S621" s="33" t="n">
        <f aca="false">INDEX(Épopées!$M$6:$M$59,MATCH(K621,Épopées!$A$6:$A$59,0))</f>
        <v>46435</v>
      </c>
      <c r="T621" s="53" t="s">
        <v>463</v>
      </c>
    </row>
    <row r="622" customFormat="false" ht="15" hidden="false" customHeight="false" outlineLevel="0" collapsed="false">
      <c r="A622" s="31" t="s">
        <v>1910</v>
      </c>
      <c r="B622" s="31" t="s">
        <v>342</v>
      </c>
      <c r="C622" s="31" t="s">
        <v>361</v>
      </c>
      <c r="D622" s="31" t="s">
        <v>362</v>
      </c>
      <c r="E622" s="31" t="s">
        <v>1911</v>
      </c>
      <c r="F622" s="31" t="s">
        <v>1623</v>
      </c>
      <c r="G622" s="31" t="s">
        <v>466</v>
      </c>
      <c r="H622" s="31" t="s">
        <v>41</v>
      </c>
      <c r="I622" s="31" t="n">
        <f aca="false">VLOOKUP(H622,Paramètres!$A$15:$B$19,2,FALSE())</f>
        <v>1</v>
      </c>
      <c r="J622" s="31" t="n">
        <v>0</v>
      </c>
      <c r="K622" s="50" t="str">
        <f aca="false">C622&amp;"|"&amp;J622</f>
        <v>MOB-A|0</v>
      </c>
      <c r="L622" s="31" t="s">
        <v>1912</v>
      </c>
      <c r="M622" s="31" t="n">
        <v>1</v>
      </c>
      <c r="N622" s="51" t="s">
        <v>462</v>
      </c>
      <c r="O622" s="35" t="s">
        <v>78</v>
      </c>
      <c r="P622" s="52"/>
      <c r="Q622" s="52"/>
      <c r="R622" s="33" t="n">
        <f aca="false">INDEX(Épopées!$L$6:$L$59,MATCH(K622,Épopées!$A$6:$A$59,0))</f>
        <v>46426</v>
      </c>
      <c r="S622" s="33" t="n">
        <f aca="false">INDEX(Épopées!$M$6:$M$59,MATCH(K622,Épopées!$A$6:$A$59,0))</f>
        <v>46435</v>
      </c>
      <c r="T622" s="53" t="s">
        <v>463</v>
      </c>
    </row>
    <row r="623" customFormat="false" ht="15" hidden="false" customHeight="false" outlineLevel="0" collapsed="false">
      <c r="A623" s="31" t="s">
        <v>1913</v>
      </c>
      <c r="B623" s="31" t="s">
        <v>342</v>
      </c>
      <c r="C623" s="31" t="s">
        <v>361</v>
      </c>
      <c r="D623" s="31" t="s">
        <v>362</v>
      </c>
      <c r="E623" s="31" t="s">
        <v>1914</v>
      </c>
      <c r="F623" s="31" t="s">
        <v>481</v>
      </c>
      <c r="G623" s="31" t="s">
        <v>466</v>
      </c>
      <c r="H623" s="31" t="s">
        <v>39</v>
      </c>
      <c r="I623" s="31" t="n">
        <f aca="false">VLOOKUP(H623,Paramètres!$A$15:$B$19,2,FALSE())</f>
        <v>0.5</v>
      </c>
      <c r="J623" s="31" t="n">
        <v>0</v>
      </c>
      <c r="K623" s="50" t="str">
        <f aca="false">C623&amp;"|"&amp;J623</f>
        <v>MOB-A|0</v>
      </c>
      <c r="L623" s="31" t="s">
        <v>1888</v>
      </c>
      <c r="M623" s="31" t="n">
        <v>4</v>
      </c>
      <c r="N623" s="51" t="s">
        <v>462</v>
      </c>
      <c r="O623" s="35" t="s">
        <v>78</v>
      </c>
      <c r="P623" s="52"/>
      <c r="Q623" s="52"/>
      <c r="R623" s="33" t="n">
        <f aca="false">INDEX(Épopées!$L$6:$L$59,MATCH(K623,Épopées!$A$6:$A$59,0))</f>
        <v>46426</v>
      </c>
      <c r="S623" s="33" t="n">
        <f aca="false">INDEX(Épopées!$M$6:$M$59,MATCH(K623,Épopées!$A$6:$A$59,0))</f>
        <v>46435</v>
      </c>
      <c r="T623" s="53" t="s">
        <v>463</v>
      </c>
    </row>
    <row r="624" customFormat="false" ht="15" hidden="false" customHeight="false" outlineLevel="0" collapsed="false">
      <c r="A624" s="31" t="s">
        <v>1915</v>
      </c>
      <c r="B624" s="31" t="s">
        <v>342</v>
      </c>
      <c r="C624" s="31" t="s">
        <v>361</v>
      </c>
      <c r="D624" s="31" t="s">
        <v>362</v>
      </c>
      <c r="E624" s="31" t="s">
        <v>1916</v>
      </c>
      <c r="F624" s="31" t="s">
        <v>588</v>
      </c>
      <c r="G624" s="31" t="s">
        <v>466</v>
      </c>
      <c r="H624" s="31" t="s">
        <v>39</v>
      </c>
      <c r="I624" s="31" t="n">
        <f aca="false">VLOOKUP(H624,Paramètres!$A$15:$B$19,2,FALSE())</f>
        <v>0.5</v>
      </c>
      <c r="J624" s="31" t="n">
        <v>0</v>
      </c>
      <c r="K624" s="50" t="str">
        <f aca="false">C624&amp;"|"&amp;J624</f>
        <v>MOB-A|0</v>
      </c>
      <c r="L624" s="31" t="s">
        <v>1917</v>
      </c>
      <c r="M624" s="31" t="n">
        <v>10</v>
      </c>
      <c r="N624" s="51" t="s">
        <v>462</v>
      </c>
      <c r="O624" s="35" t="s">
        <v>78</v>
      </c>
      <c r="P624" s="52"/>
      <c r="Q624" s="52"/>
      <c r="R624" s="33" t="n">
        <f aca="false">INDEX(Épopées!$L$6:$L$59,MATCH(K624,Épopées!$A$6:$A$59,0))</f>
        <v>46426</v>
      </c>
      <c r="S624" s="33" t="n">
        <f aca="false">INDEX(Épopées!$M$6:$M$59,MATCH(K624,Épopées!$A$6:$A$59,0))</f>
        <v>46435</v>
      </c>
      <c r="T624" s="53" t="s">
        <v>463</v>
      </c>
    </row>
    <row r="625" customFormat="false" ht="15" hidden="false" customHeight="false" outlineLevel="0" collapsed="false">
      <c r="A625" s="31" t="s">
        <v>1918</v>
      </c>
      <c r="B625" s="31" t="s">
        <v>342</v>
      </c>
      <c r="C625" s="31" t="s">
        <v>361</v>
      </c>
      <c r="D625" s="31" t="s">
        <v>362</v>
      </c>
      <c r="E625" s="31" t="s">
        <v>1919</v>
      </c>
      <c r="F625" s="31" t="s">
        <v>472</v>
      </c>
      <c r="G625" s="31" t="s">
        <v>466</v>
      </c>
      <c r="H625" s="31" t="s">
        <v>41</v>
      </c>
      <c r="I625" s="31" t="n">
        <f aca="false">VLOOKUP(H625,Paramètres!$A$15:$B$19,2,FALSE())</f>
        <v>1</v>
      </c>
      <c r="J625" s="31" t="n">
        <v>0</v>
      </c>
      <c r="K625" s="50" t="str">
        <f aca="false">C625&amp;"|"&amp;J625</f>
        <v>MOB-A|0</v>
      </c>
      <c r="L625" s="31" t="s">
        <v>1920</v>
      </c>
      <c r="M625" s="31" t="n">
        <v>10</v>
      </c>
      <c r="N625" s="51" t="s">
        <v>462</v>
      </c>
      <c r="O625" s="35" t="s">
        <v>78</v>
      </c>
      <c r="P625" s="52"/>
      <c r="Q625" s="52"/>
      <c r="R625" s="33" t="n">
        <f aca="false">INDEX(Épopées!$L$6:$L$59,MATCH(K625,Épopées!$A$6:$A$59,0))</f>
        <v>46426</v>
      </c>
      <c r="S625" s="33" t="n">
        <f aca="false">INDEX(Épopées!$M$6:$M$59,MATCH(K625,Épopées!$A$6:$A$59,0))</f>
        <v>46435</v>
      </c>
      <c r="T625" s="53" t="s">
        <v>463</v>
      </c>
    </row>
    <row r="626" customFormat="false" ht="15" hidden="false" customHeight="false" outlineLevel="0" collapsed="false">
      <c r="A626" s="31" t="s">
        <v>1921</v>
      </c>
      <c r="B626" s="31" t="s">
        <v>342</v>
      </c>
      <c r="C626" s="31" t="s">
        <v>364</v>
      </c>
      <c r="D626" s="31" t="s">
        <v>365</v>
      </c>
      <c r="E626" s="31" t="s">
        <v>1922</v>
      </c>
      <c r="F626" s="31" t="s">
        <v>491</v>
      </c>
      <c r="G626" s="31" t="s">
        <v>461</v>
      </c>
      <c r="H626" s="31" t="s">
        <v>41</v>
      </c>
      <c r="I626" s="31" t="n">
        <f aca="false">VLOOKUP(H626,Paramètres!$A$15:$B$19,2,FALSE())</f>
        <v>1</v>
      </c>
      <c r="J626" s="31" t="n">
        <v>1</v>
      </c>
      <c r="K626" s="50" t="str">
        <f aca="false">C626&amp;"|"&amp;J626</f>
        <v>MOB-B|1</v>
      </c>
      <c r="L626" s="31"/>
      <c r="M626" s="31" t="n">
        <v>13</v>
      </c>
      <c r="N626" s="51" t="s">
        <v>462</v>
      </c>
      <c r="O626" s="35" t="s">
        <v>78</v>
      </c>
      <c r="P626" s="52"/>
      <c r="Q626" s="52"/>
      <c r="R626" s="33" t="n">
        <f aca="false">INDEX(Épopées!$L$6:$L$59,MATCH(K626,Épopées!$A$6:$A$59,0))</f>
        <v>46436</v>
      </c>
      <c r="S626" s="33" t="n">
        <f aca="false">INDEX(Épopées!$M$6:$M$59,MATCH(K626,Épopées!$A$6:$A$59,0))</f>
        <v>46455</v>
      </c>
      <c r="T626" s="53" t="s">
        <v>463</v>
      </c>
    </row>
    <row r="627" customFormat="false" ht="15" hidden="false" customHeight="false" outlineLevel="0" collapsed="false">
      <c r="A627" s="31" t="s">
        <v>1923</v>
      </c>
      <c r="B627" s="31" t="s">
        <v>342</v>
      </c>
      <c r="C627" s="31" t="s">
        <v>364</v>
      </c>
      <c r="D627" s="31" t="s">
        <v>365</v>
      </c>
      <c r="E627" s="31" t="s">
        <v>1924</v>
      </c>
      <c r="F627" s="31" t="s">
        <v>1623</v>
      </c>
      <c r="G627" s="31" t="s">
        <v>461</v>
      </c>
      <c r="H627" s="31" t="s">
        <v>39</v>
      </c>
      <c r="I627" s="31" t="n">
        <f aca="false">VLOOKUP(H627,Paramètres!$A$15:$B$19,2,FALSE())</f>
        <v>0.5</v>
      </c>
      <c r="J627" s="31" t="n">
        <v>1</v>
      </c>
      <c r="K627" s="50" t="str">
        <f aca="false">C627&amp;"|"&amp;J627</f>
        <v>MOB-B|1</v>
      </c>
      <c r="L627" s="31" t="s">
        <v>1921</v>
      </c>
      <c r="M627" s="31" t="n">
        <v>1</v>
      </c>
      <c r="N627" s="51" t="s">
        <v>462</v>
      </c>
      <c r="O627" s="35" t="s">
        <v>78</v>
      </c>
      <c r="P627" s="52"/>
      <c r="Q627" s="52"/>
      <c r="R627" s="33" t="n">
        <f aca="false">INDEX(Épopées!$L$6:$L$59,MATCH(K627,Épopées!$A$6:$A$59,0))</f>
        <v>46436</v>
      </c>
      <c r="S627" s="33" t="n">
        <f aca="false">INDEX(Épopées!$M$6:$M$59,MATCH(K627,Épopées!$A$6:$A$59,0))</f>
        <v>46455</v>
      </c>
      <c r="T627" s="53" t="s">
        <v>463</v>
      </c>
    </row>
    <row r="628" customFormat="false" ht="15" hidden="false" customHeight="false" outlineLevel="0" collapsed="false">
      <c r="A628" s="31" t="s">
        <v>1925</v>
      </c>
      <c r="B628" s="31" t="s">
        <v>342</v>
      </c>
      <c r="C628" s="31" t="s">
        <v>364</v>
      </c>
      <c r="D628" s="31" t="s">
        <v>365</v>
      </c>
      <c r="E628" s="31" t="s">
        <v>1926</v>
      </c>
      <c r="F628" s="31" t="s">
        <v>1623</v>
      </c>
      <c r="G628" s="31" t="s">
        <v>461</v>
      </c>
      <c r="H628" s="31" t="s">
        <v>41</v>
      </c>
      <c r="I628" s="31" t="n">
        <f aca="false">VLOOKUP(H628,Paramètres!$A$15:$B$19,2,FALSE())</f>
        <v>1</v>
      </c>
      <c r="J628" s="31" t="n">
        <v>1</v>
      </c>
      <c r="K628" s="50" t="str">
        <f aca="false">C628&amp;"|"&amp;J628</f>
        <v>MOB-B|1</v>
      </c>
      <c r="L628" s="31" t="s">
        <v>1923</v>
      </c>
      <c r="M628" s="31" t="n">
        <v>3</v>
      </c>
      <c r="N628" s="51" t="s">
        <v>462</v>
      </c>
      <c r="O628" s="35" t="s">
        <v>78</v>
      </c>
      <c r="P628" s="52"/>
      <c r="Q628" s="52"/>
      <c r="R628" s="33" t="n">
        <f aca="false">INDEX(Épopées!$L$6:$L$59,MATCH(K628,Épopées!$A$6:$A$59,0))</f>
        <v>46436</v>
      </c>
      <c r="S628" s="33" t="n">
        <f aca="false">INDEX(Épopées!$M$6:$M$59,MATCH(K628,Épopées!$A$6:$A$59,0))</f>
        <v>46455</v>
      </c>
      <c r="T628" s="53" t="s">
        <v>463</v>
      </c>
    </row>
    <row r="629" customFormat="false" ht="15" hidden="false" customHeight="false" outlineLevel="0" collapsed="false">
      <c r="A629" s="31" t="s">
        <v>1927</v>
      </c>
      <c r="B629" s="31" t="s">
        <v>342</v>
      </c>
      <c r="C629" s="31" t="s">
        <v>364</v>
      </c>
      <c r="D629" s="31" t="s">
        <v>365</v>
      </c>
      <c r="E629" s="31" t="s">
        <v>1928</v>
      </c>
      <c r="F629" s="31" t="s">
        <v>1863</v>
      </c>
      <c r="G629" s="31" t="s">
        <v>612</v>
      </c>
      <c r="H629" s="31" t="s">
        <v>41</v>
      </c>
      <c r="I629" s="31" t="n">
        <f aca="false">VLOOKUP(H629,Paramètres!$A$15:$B$19,2,FALSE())</f>
        <v>1</v>
      </c>
      <c r="J629" s="31" t="n">
        <v>1</v>
      </c>
      <c r="K629" s="50" t="str">
        <f aca="false">C629&amp;"|"&amp;J629</f>
        <v>MOB-B|1</v>
      </c>
      <c r="L629" s="31" t="s">
        <v>1925</v>
      </c>
      <c r="M629" s="31" t="n">
        <v>3</v>
      </c>
      <c r="N629" s="51" t="s">
        <v>462</v>
      </c>
      <c r="O629" s="35" t="s">
        <v>78</v>
      </c>
      <c r="P629" s="52"/>
      <c r="Q629" s="52"/>
      <c r="R629" s="33" t="n">
        <f aca="false">INDEX(Épopées!$L$6:$L$59,MATCH(K629,Épopées!$A$6:$A$59,0))</f>
        <v>46436</v>
      </c>
      <c r="S629" s="33" t="n">
        <f aca="false">INDEX(Épopées!$M$6:$M$59,MATCH(K629,Épopées!$A$6:$A$59,0))</f>
        <v>46455</v>
      </c>
      <c r="T629" s="53" t="s">
        <v>463</v>
      </c>
    </row>
    <row r="630" customFormat="false" ht="15" hidden="false" customHeight="false" outlineLevel="0" collapsed="false">
      <c r="A630" s="31" t="s">
        <v>1929</v>
      </c>
      <c r="B630" s="31" t="s">
        <v>342</v>
      </c>
      <c r="C630" s="31" t="s">
        <v>364</v>
      </c>
      <c r="D630" s="31" t="s">
        <v>365</v>
      </c>
      <c r="E630" s="31" t="s">
        <v>1930</v>
      </c>
      <c r="F630" s="31" t="s">
        <v>1623</v>
      </c>
      <c r="G630" s="31" t="s">
        <v>461</v>
      </c>
      <c r="H630" s="31" t="s">
        <v>39</v>
      </c>
      <c r="I630" s="31" t="n">
        <f aca="false">VLOOKUP(H630,Paramètres!$A$15:$B$19,2,FALSE())</f>
        <v>0.5</v>
      </c>
      <c r="J630" s="31" t="n">
        <v>1</v>
      </c>
      <c r="K630" s="50" t="str">
        <f aca="false">C630&amp;"|"&amp;J630</f>
        <v>MOB-B|1</v>
      </c>
      <c r="L630" s="31" t="s">
        <v>1925</v>
      </c>
      <c r="M630" s="31" t="n">
        <v>1</v>
      </c>
      <c r="N630" s="51" t="s">
        <v>462</v>
      </c>
      <c r="O630" s="35" t="s">
        <v>78</v>
      </c>
      <c r="P630" s="52"/>
      <c r="Q630" s="52"/>
      <c r="R630" s="33" t="n">
        <f aca="false">INDEX(Épopées!$L$6:$L$59,MATCH(K630,Épopées!$A$6:$A$59,0))</f>
        <v>46436</v>
      </c>
      <c r="S630" s="33" t="n">
        <f aca="false">INDEX(Épopées!$M$6:$M$59,MATCH(K630,Épopées!$A$6:$A$59,0))</f>
        <v>46455</v>
      </c>
      <c r="T630" s="53" t="s">
        <v>463</v>
      </c>
    </row>
    <row r="631" customFormat="false" ht="15" hidden="false" customHeight="false" outlineLevel="0" collapsed="false">
      <c r="A631" s="31" t="s">
        <v>1931</v>
      </c>
      <c r="B631" s="31" t="s">
        <v>342</v>
      </c>
      <c r="C631" s="31" t="s">
        <v>364</v>
      </c>
      <c r="D631" s="31" t="s">
        <v>365</v>
      </c>
      <c r="E631" s="31" t="s">
        <v>1932</v>
      </c>
      <c r="F631" s="31" t="s">
        <v>486</v>
      </c>
      <c r="G631" s="31" t="s">
        <v>461</v>
      </c>
      <c r="H631" s="31" t="s">
        <v>43</v>
      </c>
      <c r="I631" s="31" t="n">
        <f aca="false">VLOOKUP(H631,Paramètres!$A$15:$B$19,2,FALSE())</f>
        <v>2</v>
      </c>
      <c r="J631" s="31" t="n">
        <v>1</v>
      </c>
      <c r="K631" s="50" t="str">
        <f aca="false">C631&amp;"|"&amp;J631</f>
        <v>MOB-B|1</v>
      </c>
      <c r="L631" s="31" t="s">
        <v>1921</v>
      </c>
      <c r="M631" s="31" t="n">
        <v>5</v>
      </c>
      <c r="N631" s="51" t="s">
        <v>462</v>
      </c>
      <c r="O631" s="35" t="s">
        <v>78</v>
      </c>
      <c r="P631" s="52"/>
      <c r="Q631" s="52"/>
      <c r="R631" s="33" t="n">
        <f aca="false">INDEX(Épopées!$L$6:$L$59,MATCH(K631,Épopées!$A$6:$A$59,0))</f>
        <v>46436</v>
      </c>
      <c r="S631" s="33" t="n">
        <f aca="false">INDEX(Épopées!$M$6:$M$59,MATCH(K631,Épopées!$A$6:$A$59,0))</f>
        <v>46455</v>
      </c>
      <c r="T631" s="53" t="s">
        <v>463</v>
      </c>
    </row>
    <row r="632" customFormat="false" ht="15" hidden="false" customHeight="false" outlineLevel="0" collapsed="false">
      <c r="A632" s="31" t="s">
        <v>1933</v>
      </c>
      <c r="B632" s="31" t="s">
        <v>342</v>
      </c>
      <c r="C632" s="31" t="s">
        <v>364</v>
      </c>
      <c r="D632" s="31" t="s">
        <v>365</v>
      </c>
      <c r="E632" s="31" t="s">
        <v>1934</v>
      </c>
      <c r="F632" s="31" t="s">
        <v>469</v>
      </c>
      <c r="G632" s="31" t="s">
        <v>461</v>
      </c>
      <c r="H632" s="31" t="s">
        <v>41</v>
      </c>
      <c r="I632" s="31" t="n">
        <f aca="false">VLOOKUP(H632,Paramètres!$A$15:$B$19,2,FALSE())</f>
        <v>1</v>
      </c>
      <c r="J632" s="31" t="n">
        <v>1</v>
      </c>
      <c r="K632" s="50" t="str">
        <f aca="false">C632&amp;"|"&amp;J632</f>
        <v>MOB-B|1</v>
      </c>
      <c r="L632" s="31" t="s">
        <v>1931</v>
      </c>
      <c r="M632" s="31" t="n">
        <v>2</v>
      </c>
      <c r="N632" s="51" t="s">
        <v>462</v>
      </c>
      <c r="O632" s="35" t="s">
        <v>78</v>
      </c>
      <c r="P632" s="52"/>
      <c r="Q632" s="52"/>
      <c r="R632" s="33" t="n">
        <f aca="false">INDEX(Épopées!$L$6:$L$59,MATCH(K632,Épopées!$A$6:$A$59,0))</f>
        <v>46436</v>
      </c>
      <c r="S632" s="33" t="n">
        <f aca="false">INDEX(Épopées!$M$6:$M$59,MATCH(K632,Épopées!$A$6:$A$59,0))</f>
        <v>46455</v>
      </c>
      <c r="T632" s="53" t="s">
        <v>463</v>
      </c>
    </row>
    <row r="633" customFormat="false" ht="15" hidden="false" customHeight="false" outlineLevel="0" collapsed="false">
      <c r="A633" s="31" t="s">
        <v>1935</v>
      </c>
      <c r="B633" s="31" t="s">
        <v>342</v>
      </c>
      <c r="C633" s="31" t="s">
        <v>364</v>
      </c>
      <c r="D633" s="31" t="s">
        <v>365</v>
      </c>
      <c r="E633" s="31" t="s">
        <v>1936</v>
      </c>
      <c r="F633" s="31" t="s">
        <v>491</v>
      </c>
      <c r="G633" s="31" t="s">
        <v>461</v>
      </c>
      <c r="H633" s="31" t="s">
        <v>41</v>
      </c>
      <c r="I633" s="31" t="n">
        <f aca="false">VLOOKUP(H633,Paramètres!$A$15:$B$19,2,FALSE())</f>
        <v>1</v>
      </c>
      <c r="J633" s="31" t="n">
        <v>1</v>
      </c>
      <c r="K633" s="50" t="str">
        <f aca="false">C633&amp;"|"&amp;J633</f>
        <v>MOB-B|1</v>
      </c>
      <c r="L633" s="31" t="s">
        <v>1937</v>
      </c>
      <c r="M633" s="31" t="n">
        <v>3</v>
      </c>
      <c r="N633" s="51" t="s">
        <v>462</v>
      </c>
      <c r="O633" s="35" t="s">
        <v>78</v>
      </c>
      <c r="P633" s="52"/>
      <c r="Q633" s="52"/>
      <c r="R633" s="33" t="n">
        <f aca="false">INDEX(Épopées!$L$6:$L$59,MATCH(K633,Épopées!$A$6:$A$59,0))</f>
        <v>46436</v>
      </c>
      <c r="S633" s="33" t="n">
        <f aca="false">INDEX(Épopées!$M$6:$M$59,MATCH(K633,Épopées!$A$6:$A$59,0))</f>
        <v>46455</v>
      </c>
      <c r="T633" s="53" t="s">
        <v>463</v>
      </c>
    </row>
    <row r="634" customFormat="false" ht="15" hidden="false" customHeight="false" outlineLevel="0" collapsed="false">
      <c r="A634" s="31" t="s">
        <v>1938</v>
      </c>
      <c r="B634" s="31" t="s">
        <v>342</v>
      </c>
      <c r="C634" s="31" t="s">
        <v>364</v>
      </c>
      <c r="D634" s="31" t="s">
        <v>365</v>
      </c>
      <c r="E634" s="31" t="s">
        <v>1939</v>
      </c>
      <c r="F634" s="31" t="s">
        <v>1623</v>
      </c>
      <c r="G634" s="31" t="s">
        <v>461</v>
      </c>
      <c r="H634" s="31" t="s">
        <v>41</v>
      </c>
      <c r="I634" s="31" t="n">
        <f aca="false">VLOOKUP(H634,Paramètres!$A$15:$B$19,2,FALSE())</f>
        <v>1</v>
      </c>
      <c r="J634" s="31" t="n">
        <v>1</v>
      </c>
      <c r="K634" s="50" t="str">
        <f aca="false">C634&amp;"|"&amp;J634</f>
        <v>MOB-B|1</v>
      </c>
      <c r="L634" s="31" t="s">
        <v>1940</v>
      </c>
      <c r="M634" s="31" t="n">
        <v>1</v>
      </c>
      <c r="N634" s="51" t="s">
        <v>462</v>
      </c>
      <c r="O634" s="35" t="s">
        <v>78</v>
      </c>
      <c r="P634" s="52"/>
      <c r="Q634" s="52"/>
      <c r="R634" s="33" t="n">
        <f aca="false">INDEX(Épopées!$L$6:$L$59,MATCH(K634,Épopées!$A$6:$A$59,0))</f>
        <v>46436</v>
      </c>
      <c r="S634" s="33" t="n">
        <f aca="false">INDEX(Épopées!$M$6:$M$59,MATCH(K634,Épopées!$A$6:$A$59,0))</f>
        <v>46455</v>
      </c>
      <c r="T634" s="53" t="s">
        <v>463</v>
      </c>
    </row>
    <row r="635" customFormat="false" ht="15" hidden="false" customHeight="false" outlineLevel="0" collapsed="false">
      <c r="A635" s="31" t="s">
        <v>1941</v>
      </c>
      <c r="B635" s="31" t="s">
        <v>342</v>
      </c>
      <c r="C635" s="31" t="s">
        <v>364</v>
      </c>
      <c r="D635" s="31" t="s">
        <v>365</v>
      </c>
      <c r="E635" s="31" t="s">
        <v>1942</v>
      </c>
      <c r="F635" s="31" t="s">
        <v>491</v>
      </c>
      <c r="G635" s="31" t="s">
        <v>461</v>
      </c>
      <c r="H635" s="31" t="s">
        <v>41</v>
      </c>
      <c r="I635" s="31" t="n">
        <f aca="false">VLOOKUP(H635,Paramètres!$A$15:$B$19,2,FALSE())</f>
        <v>1</v>
      </c>
      <c r="J635" s="31" t="n">
        <v>1</v>
      </c>
      <c r="K635" s="50" t="str">
        <f aca="false">C635&amp;"|"&amp;J635</f>
        <v>MOB-B|1</v>
      </c>
      <c r="L635" s="31" t="s">
        <v>1938</v>
      </c>
      <c r="M635" s="31" t="n">
        <v>2</v>
      </c>
      <c r="N635" s="51" t="s">
        <v>462</v>
      </c>
      <c r="O635" s="35" t="s">
        <v>78</v>
      </c>
      <c r="P635" s="52"/>
      <c r="Q635" s="52"/>
      <c r="R635" s="33" t="n">
        <f aca="false">INDEX(Épopées!$L$6:$L$59,MATCH(K635,Épopées!$A$6:$A$59,0))</f>
        <v>46436</v>
      </c>
      <c r="S635" s="33" t="n">
        <f aca="false">INDEX(Épopées!$M$6:$M$59,MATCH(K635,Épopées!$A$6:$A$59,0))</f>
        <v>46455</v>
      </c>
      <c r="T635" s="53" t="s">
        <v>463</v>
      </c>
    </row>
    <row r="636" customFormat="false" ht="15" hidden="false" customHeight="false" outlineLevel="0" collapsed="false">
      <c r="A636" s="31" t="s">
        <v>1943</v>
      </c>
      <c r="B636" s="31" t="s">
        <v>342</v>
      </c>
      <c r="C636" s="31" t="s">
        <v>364</v>
      </c>
      <c r="D636" s="31" t="s">
        <v>365</v>
      </c>
      <c r="E636" s="31" t="s">
        <v>1944</v>
      </c>
      <c r="F636" s="31" t="s">
        <v>1623</v>
      </c>
      <c r="G636" s="31" t="s">
        <v>461</v>
      </c>
      <c r="H636" s="31" t="s">
        <v>39</v>
      </c>
      <c r="I636" s="31" t="n">
        <f aca="false">VLOOKUP(H636,Paramètres!$A$15:$B$19,2,FALSE())</f>
        <v>0.5</v>
      </c>
      <c r="J636" s="31" t="n">
        <v>1</v>
      </c>
      <c r="K636" s="50" t="str">
        <f aca="false">C636&amp;"|"&amp;J636</f>
        <v>MOB-B|1</v>
      </c>
      <c r="L636" s="31" t="s">
        <v>1941</v>
      </c>
      <c r="M636" s="31" t="n">
        <v>1</v>
      </c>
      <c r="N636" s="51" t="s">
        <v>462</v>
      </c>
      <c r="O636" s="35" t="s">
        <v>78</v>
      </c>
      <c r="P636" s="52"/>
      <c r="Q636" s="52"/>
      <c r="R636" s="33" t="n">
        <f aca="false">INDEX(Épopées!$L$6:$L$59,MATCH(K636,Épopées!$A$6:$A$59,0))</f>
        <v>46436</v>
      </c>
      <c r="S636" s="33" t="n">
        <f aca="false">INDEX(Épopées!$M$6:$M$59,MATCH(K636,Épopées!$A$6:$A$59,0))</f>
        <v>46455</v>
      </c>
      <c r="T636" s="53" t="s">
        <v>463</v>
      </c>
    </row>
    <row r="637" customFormat="false" ht="15" hidden="false" customHeight="false" outlineLevel="0" collapsed="false">
      <c r="A637" s="31" t="s">
        <v>1945</v>
      </c>
      <c r="B637" s="31" t="s">
        <v>342</v>
      </c>
      <c r="C637" s="31" t="s">
        <v>364</v>
      </c>
      <c r="D637" s="31" t="s">
        <v>365</v>
      </c>
      <c r="E637" s="31" t="s">
        <v>1946</v>
      </c>
      <c r="F637" s="31" t="s">
        <v>1623</v>
      </c>
      <c r="G637" s="31" t="s">
        <v>461</v>
      </c>
      <c r="H637" s="31" t="s">
        <v>41</v>
      </c>
      <c r="I637" s="31" t="n">
        <f aca="false">VLOOKUP(H637,Paramètres!$A$15:$B$19,2,FALSE())</f>
        <v>1</v>
      </c>
      <c r="J637" s="31" t="n">
        <v>1</v>
      </c>
      <c r="K637" s="50" t="str">
        <f aca="false">C637&amp;"|"&amp;J637</f>
        <v>MOB-B|1</v>
      </c>
      <c r="L637" s="31" t="s">
        <v>1947</v>
      </c>
      <c r="M637" s="31" t="n">
        <v>1</v>
      </c>
      <c r="N637" s="51" t="s">
        <v>462</v>
      </c>
      <c r="O637" s="35" t="s">
        <v>78</v>
      </c>
      <c r="P637" s="52"/>
      <c r="Q637" s="52"/>
      <c r="R637" s="33" t="n">
        <f aca="false">INDEX(Épopées!$L$6:$L$59,MATCH(K637,Épopées!$A$6:$A$59,0))</f>
        <v>46436</v>
      </c>
      <c r="S637" s="33" t="n">
        <f aca="false">INDEX(Épopées!$M$6:$M$59,MATCH(K637,Épopées!$A$6:$A$59,0))</f>
        <v>46455</v>
      </c>
      <c r="T637" s="53" t="s">
        <v>463</v>
      </c>
    </row>
    <row r="638" customFormat="false" ht="15" hidden="false" customHeight="false" outlineLevel="0" collapsed="false">
      <c r="A638" s="31" t="s">
        <v>1948</v>
      </c>
      <c r="B638" s="31" t="s">
        <v>342</v>
      </c>
      <c r="C638" s="31" t="s">
        <v>364</v>
      </c>
      <c r="D638" s="31" t="s">
        <v>365</v>
      </c>
      <c r="E638" s="31" t="s">
        <v>1949</v>
      </c>
      <c r="F638" s="31" t="s">
        <v>579</v>
      </c>
      <c r="G638" s="31" t="s">
        <v>461</v>
      </c>
      <c r="H638" s="31" t="s">
        <v>39</v>
      </c>
      <c r="I638" s="31" t="n">
        <f aca="false">VLOOKUP(H638,Paramètres!$A$15:$B$19,2,FALSE())</f>
        <v>0.5</v>
      </c>
      <c r="J638" s="31" t="n">
        <v>1</v>
      </c>
      <c r="K638" s="50" t="str">
        <f aca="false">C638&amp;"|"&amp;J638</f>
        <v>MOB-B|1</v>
      </c>
      <c r="L638" s="31" t="s">
        <v>1931</v>
      </c>
      <c r="M638" s="31" t="n">
        <v>3</v>
      </c>
      <c r="N638" s="51" t="s">
        <v>462</v>
      </c>
      <c r="O638" s="35" t="s">
        <v>78</v>
      </c>
      <c r="P638" s="52"/>
      <c r="Q638" s="52"/>
      <c r="R638" s="33" t="n">
        <f aca="false">INDEX(Épopées!$L$6:$L$59,MATCH(K638,Épopées!$A$6:$A$59,0))</f>
        <v>46436</v>
      </c>
      <c r="S638" s="33" t="n">
        <f aca="false">INDEX(Épopées!$M$6:$M$59,MATCH(K638,Épopées!$A$6:$A$59,0))</f>
        <v>46455</v>
      </c>
      <c r="T638" s="53" t="s">
        <v>463</v>
      </c>
    </row>
    <row r="639" customFormat="false" ht="15" hidden="false" customHeight="false" outlineLevel="0" collapsed="false">
      <c r="A639" s="31" t="s">
        <v>1950</v>
      </c>
      <c r="B639" s="31" t="s">
        <v>342</v>
      </c>
      <c r="C639" s="31" t="s">
        <v>364</v>
      </c>
      <c r="D639" s="31" t="s">
        <v>365</v>
      </c>
      <c r="E639" s="31" t="s">
        <v>1951</v>
      </c>
      <c r="F639" s="31" t="s">
        <v>1623</v>
      </c>
      <c r="G639" s="31" t="s">
        <v>461</v>
      </c>
      <c r="H639" s="31" t="s">
        <v>41</v>
      </c>
      <c r="I639" s="31" t="n">
        <f aca="false">VLOOKUP(H639,Paramètres!$A$15:$B$19,2,FALSE())</f>
        <v>1</v>
      </c>
      <c r="J639" s="31" t="n">
        <v>1</v>
      </c>
      <c r="K639" s="50" t="str">
        <f aca="false">C639&amp;"|"&amp;J639</f>
        <v>MOB-B|1</v>
      </c>
      <c r="L639" s="31" t="s">
        <v>1952</v>
      </c>
      <c r="M639" s="31" t="n">
        <v>1</v>
      </c>
      <c r="N639" s="51" t="s">
        <v>462</v>
      </c>
      <c r="O639" s="35" t="s">
        <v>78</v>
      </c>
      <c r="P639" s="52"/>
      <c r="Q639" s="52"/>
      <c r="R639" s="33" t="n">
        <f aca="false">INDEX(Épopées!$L$6:$L$59,MATCH(K639,Épopées!$A$6:$A$59,0))</f>
        <v>46436</v>
      </c>
      <c r="S639" s="33" t="n">
        <f aca="false">INDEX(Épopées!$M$6:$M$59,MATCH(K639,Épopées!$A$6:$A$59,0))</f>
        <v>46455</v>
      </c>
      <c r="T639" s="53" t="s">
        <v>463</v>
      </c>
    </row>
    <row r="640" customFormat="false" ht="15" hidden="false" customHeight="false" outlineLevel="0" collapsed="false">
      <c r="A640" s="31" t="s">
        <v>1953</v>
      </c>
      <c r="B640" s="31" t="s">
        <v>342</v>
      </c>
      <c r="C640" s="31" t="s">
        <v>364</v>
      </c>
      <c r="D640" s="31" t="s">
        <v>365</v>
      </c>
      <c r="E640" s="31" t="s">
        <v>1954</v>
      </c>
      <c r="F640" s="31" t="s">
        <v>1623</v>
      </c>
      <c r="G640" s="31" t="s">
        <v>461</v>
      </c>
      <c r="H640" s="31" t="s">
        <v>39</v>
      </c>
      <c r="I640" s="31" t="n">
        <f aca="false">VLOOKUP(H640,Paramètres!$A$15:$B$19,2,FALSE())</f>
        <v>0.5</v>
      </c>
      <c r="J640" s="31" t="n">
        <v>1</v>
      </c>
      <c r="K640" s="50" t="str">
        <f aca="false">C640&amp;"|"&amp;J640</f>
        <v>MOB-B|1</v>
      </c>
      <c r="L640" s="31" t="s">
        <v>1950</v>
      </c>
      <c r="M640" s="31" t="n">
        <v>1</v>
      </c>
      <c r="N640" s="51" t="s">
        <v>462</v>
      </c>
      <c r="O640" s="35" t="s">
        <v>78</v>
      </c>
      <c r="P640" s="52"/>
      <c r="Q640" s="52"/>
      <c r="R640" s="33" t="n">
        <f aca="false">INDEX(Épopées!$L$6:$L$59,MATCH(K640,Épopées!$A$6:$A$59,0))</f>
        <v>46436</v>
      </c>
      <c r="S640" s="33" t="n">
        <f aca="false">INDEX(Épopées!$M$6:$M$59,MATCH(K640,Épopées!$A$6:$A$59,0))</f>
        <v>46455</v>
      </c>
      <c r="T640" s="53" t="s">
        <v>463</v>
      </c>
    </row>
    <row r="641" customFormat="false" ht="15" hidden="false" customHeight="false" outlineLevel="0" collapsed="false">
      <c r="A641" s="31" t="s">
        <v>1955</v>
      </c>
      <c r="B641" s="31" t="s">
        <v>342</v>
      </c>
      <c r="C641" s="31" t="s">
        <v>364</v>
      </c>
      <c r="D641" s="31" t="s">
        <v>365</v>
      </c>
      <c r="E641" s="31" t="s">
        <v>1956</v>
      </c>
      <c r="F641" s="31" t="s">
        <v>1623</v>
      </c>
      <c r="G641" s="31" t="s">
        <v>466</v>
      </c>
      <c r="H641" s="31" t="s">
        <v>41</v>
      </c>
      <c r="I641" s="31" t="n">
        <f aca="false">VLOOKUP(H641,Paramètres!$A$15:$B$19,2,FALSE())</f>
        <v>1</v>
      </c>
      <c r="J641" s="31" t="n">
        <v>1</v>
      </c>
      <c r="K641" s="50" t="str">
        <f aca="false">C641&amp;"|"&amp;J641</f>
        <v>MOB-B|1</v>
      </c>
      <c r="L641" s="31" t="s">
        <v>1957</v>
      </c>
      <c r="M641" s="31" t="n">
        <v>1</v>
      </c>
      <c r="N641" s="51" t="s">
        <v>462</v>
      </c>
      <c r="O641" s="35" t="s">
        <v>78</v>
      </c>
      <c r="P641" s="52"/>
      <c r="Q641" s="52"/>
      <c r="R641" s="33" t="n">
        <f aca="false">INDEX(Épopées!$L$6:$L$59,MATCH(K641,Épopées!$A$6:$A$59,0))</f>
        <v>46436</v>
      </c>
      <c r="S641" s="33" t="n">
        <f aca="false">INDEX(Épopées!$M$6:$M$59,MATCH(K641,Épopées!$A$6:$A$59,0))</f>
        <v>46455</v>
      </c>
      <c r="T641" s="53" t="s">
        <v>463</v>
      </c>
    </row>
    <row r="642" customFormat="false" ht="15" hidden="false" customHeight="false" outlineLevel="0" collapsed="false">
      <c r="A642" s="31" t="s">
        <v>1958</v>
      </c>
      <c r="B642" s="31" t="s">
        <v>342</v>
      </c>
      <c r="C642" s="31" t="s">
        <v>364</v>
      </c>
      <c r="D642" s="31" t="s">
        <v>365</v>
      </c>
      <c r="E642" s="31" t="s">
        <v>1959</v>
      </c>
      <c r="F642" s="31" t="s">
        <v>1623</v>
      </c>
      <c r="G642" s="31" t="s">
        <v>466</v>
      </c>
      <c r="H642" s="31" t="s">
        <v>41</v>
      </c>
      <c r="I642" s="31" t="n">
        <f aca="false">VLOOKUP(H642,Paramètres!$A$15:$B$19,2,FALSE())</f>
        <v>1</v>
      </c>
      <c r="J642" s="31" t="n">
        <v>1</v>
      </c>
      <c r="K642" s="50" t="str">
        <f aca="false">C642&amp;"|"&amp;J642</f>
        <v>MOB-B|1</v>
      </c>
      <c r="L642" s="31" t="s">
        <v>1955</v>
      </c>
      <c r="M642" s="31" t="n">
        <v>1</v>
      </c>
      <c r="N642" s="51" t="s">
        <v>462</v>
      </c>
      <c r="O642" s="35" t="s">
        <v>78</v>
      </c>
      <c r="P642" s="52"/>
      <c r="Q642" s="52"/>
      <c r="R642" s="33" t="n">
        <f aca="false">INDEX(Épopées!$L$6:$L$59,MATCH(K642,Épopées!$A$6:$A$59,0))</f>
        <v>46436</v>
      </c>
      <c r="S642" s="33" t="n">
        <f aca="false">INDEX(Épopées!$M$6:$M$59,MATCH(K642,Épopées!$A$6:$A$59,0))</f>
        <v>46455</v>
      </c>
      <c r="T642" s="53" t="s">
        <v>463</v>
      </c>
    </row>
    <row r="643" customFormat="false" ht="15" hidden="false" customHeight="false" outlineLevel="0" collapsed="false">
      <c r="A643" s="31" t="s">
        <v>1960</v>
      </c>
      <c r="B643" s="31" t="s">
        <v>342</v>
      </c>
      <c r="C643" s="31" t="s">
        <v>364</v>
      </c>
      <c r="D643" s="31" t="s">
        <v>365</v>
      </c>
      <c r="E643" s="31" t="s">
        <v>1961</v>
      </c>
      <c r="F643" s="31" t="s">
        <v>1623</v>
      </c>
      <c r="G643" s="31" t="s">
        <v>466</v>
      </c>
      <c r="H643" s="31" t="s">
        <v>41</v>
      </c>
      <c r="I643" s="31" t="n">
        <f aca="false">VLOOKUP(H643,Paramètres!$A$15:$B$19,2,FALSE())</f>
        <v>1</v>
      </c>
      <c r="J643" s="31" t="n">
        <v>1</v>
      </c>
      <c r="K643" s="50" t="str">
        <f aca="false">C643&amp;"|"&amp;J643</f>
        <v>MOB-B|1</v>
      </c>
      <c r="L643" s="31" t="s">
        <v>1957</v>
      </c>
      <c r="M643" s="31" t="n">
        <v>1</v>
      </c>
      <c r="N643" s="51" t="s">
        <v>462</v>
      </c>
      <c r="O643" s="35" t="s">
        <v>78</v>
      </c>
      <c r="P643" s="52"/>
      <c r="Q643" s="52"/>
      <c r="R643" s="33" t="n">
        <f aca="false">INDEX(Épopées!$L$6:$L$59,MATCH(K643,Épopées!$A$6:$A$59,0))</f>
        <v>46436</v>
      </c>
      <c r="S643" s="33" t="n">
        <f aca="false">INDEX(Épopées!$M$6:$M$59,MATCH(K643,Épopées!$A$6:$A$59,0))</f>
        <v>46455</v>
      </c>
      <c r="T643" s="53" t="s">
        <v>463</v>
      </c>
    </row>
    <row r="644" customFormat="false" ht="15" hidden="false" customHeight="false" outlineLevel="0" collapsed="false">
      <c r="A644" s="31" t="s">
        <v>1962</v>
      </c>
      <c r="B644" s="31" t="s">
        <v>342</v>
      </c>
      <c r="C644" s="31" t="s">
        <v>364</v>
      </c>
      <c r="D644" s="31" t="s">
        <v>365</v>
      </c>
      <c r="E644" s="31" t="s">
        <v>1963</v>
      </c>
      <c r="F644" s="31" t="s">
        <v>1623</v>
      </c>
      <c r="G644" s="31" t="s">
        <v>466</v>
      </c>
      <c r="H644" s="31" t="s">
        <v>41</v>
      </c>
      <c r="I644" s="31" t="n">
        <f aca="false">VLOOKUP(H644,Paramètres!$A$15:$B$19,2,FALSE())</f>
        <v>1</v>
      </c>
      <c r="J644" s="31" t="n">
        <v>1</v>
      </c>
      <c r="K644" s="50" t="str">
        <f aca="false">C644&amp;"|"&amp;J644</f>
        <v>MOB-B|1</v>
      </c>
      <c r="L644" s="31" t="s">
        <v>1960</v>
      </c>
      <c r="M644" s="31" t="n">
        <v>1</v>
      </c>
      <c r="N644" s="51" t="s">
        <v>462</v>
      </c>
      <c r="O644" s="35" t="s">
        <v>78</v>
      </c>
      <c r="P644" s="52"/>
      <c r="Q644" s="52"/>
      <c r="R644" s="33" t="n">
        <f aca="false">INDEX(Épopées!$L$6:$L$59,MATCH(K644,Épopées!$A$6:$A$59,0))</f>
        <v>46436</v>
      </c>
      <c r="S644" s="33" t="n">
        <f aca="false">INDEX(Épopées!$M$6:$M$59,MATCH(K644,Épopées!$A$6:$A$59,0))</f>
        <v>46455</v>
      </c>
      <c r="T644" s="53" t="s">
        <v>463</v>
      </c>
    </row>
    <row r="645" customFormat="false" ht="15" hidden="false" customHeight="false" outlineLevel="0" collapsed="false">
      <c r="A645" s="31" t="s">
        <v>1964</v>
      </c>
      <c r="B645" s="31" t="s">
        <v>342</v>
      </c>
      <c r="C645" s="31" t="s">
        <v>364</v>
      </c>
      <c r="D645" s="31" t="s">
        <v>365</v>
      </c>
      <c r="E645" s="31" t="s">
        <v>1965</v>
      </c>
      <c r="F645" s="31" t="s">
        <v>1623</v>
      </c>
      <c r="G645" s="31" t="s">
        <v>466</v>
      </c>
      <c r="H645" s="31" t="s">
        <v>41</v>
      </c>
      <c r="I645" s="31" t="n">
        <f aca="false">VLOOKUP(H645,Paramètres!$A$15:$B$19,2,FALSE())</f>
        <v>1</v>
      </c>
      <c r="J645" s="31" t="n">
        <v>1</v>
      </c>
      <c r="K645" s="50" t="str">
        <f aca="false">C645&amp;"|"&amp;J645</f>
        <v>MOB-B|1</v>
      </c>
      <c r="L645" s="31" t="s">
        <v>1948</v>
      </c>
      <c r="M645" s="31" t="n">
        <v>1</v>
      </c>
      <c r="N645" s="51" t="s">
        <v>462</v>
      </c>
      <c r="O645" s="35" t="s">
        <v>78</v>
      </c>
      <c r="P645" s="52"/>
      <c r="Q645" s="52"/>
      <c r="R645" s="33" t="n">
        <f aca="false">INDEX(Épopées!$L$6:$L$59,MATCH(K645,Épopées!$A$6:$A$59,0))</f>
        <v>46436</v>
      </c>
      <c r="S645" s="33" t="n">
        <f aca="false">INDEX(Épopées!$M$6:$M$59,MATCH(K645,Épopées!$A$6:$A$59,0))</f>
        <v>46455</v>
      </c>
      <c r="T645" s="53" t="s">
        <v>463</v>
      </c>
    </row>
    <row r="646" customFormat="false" ht="15" hidden="false" customHeight="false" outlineLevel="0" collapsed="false">
      <c r="A646" s="31" t="s">
        <v>1966</v>
      </c>
      <c r="B646" s="31" t="s">
        <v>342</v>
      </c>
      <c r="C646" s="31" t="s">
        <v>364</v>
      </c>
      <c r="D646" s="31" t="s">
        <v>365</v>
      </c>
      <c r="E646" s="31" t="s">
        <v>1967</v>
      </c>
      <c r="F646" s="31" t="s">
        <v>1623</v>
      </c>
      <c r="G646" s="31" t="s">
        <v>461</v>
      </c>
      <c r="H646" s="31" t="s">
        <v>41</v>
      </c>
      <c r="I646" s="31" t="n">
        <f aca="false">VLOOKUP(H646,Paramètres!$A$15:$B$19,2,FALSE())</f>
        <v>1</v>
      </c>
      <c r="J646" s="31" t="n">
        <v>1</v>
      </c>
      <c r="K646" s="50" t="str">
        <f aca="false">C646&amp;"|"&amp;J646</f>
        <v>MOB-B|1</v>
      </c>
      <c r="L646" s="31" t="s">
        <v>1968</v>
      </c>
      <c r="M646" s="31" t="n">
        <v>1</v>
      </c>
      <c r="N646" s="51" t="s">
        <v>462</v>
      </c>
      <c r="O646" s="35" t="s">
        <v>78</v>
      </c>
      <c r="P646" s="52"/>
      <c r="Q646" s="52"/>
      <c r="R646" s="33" t="n">
        <f aca="false">INDEX(Épopées!$L$6:$L$59,MATCH(K646,Épopées!$A$6:$A$59,0))</f>
        <v>46436</v>
      </c>
      <c r="S646" s="33" t="n">
        <f aca="false">INDEX(Épopées!$M$6:$M$59,MATCH(K646,Épopées!$A$6:$A$59,0))</f>
        <v>46455</v>
      </c>
      <c r="T646" s="53" t="s">
        <v>463</v>
      </c>
    </row>
    <row r="647" customFormat="false" ht="15" hidden="false" customHeight="false" outlineLevel="0" collapsed="false">
      <c r="A647" s="31" t="s">
        <v>1969</v>
      </c>
      <c r="B647" s="31" t="s">
        <v>342</v>
      </c>
      <c r="C647" s="31" t="s">
        <v>364</v>
      </c>
      <c r="D647" s="31" t="s">
        <v>365</v>
      </c>
      <c r="E647" s="31" t="s">
        <v>1970</v>
      </c>
      <c r="F647" s="31" t="s">
        <v>1623</v>
      </c>
      <c r="G647" s="31" t="s">
        <v>461</v>
      </c>
      <c r="H647" s="31" t="s">
        <v>41</v>
      </c>
      <c r="I647" s="31" t="n">
        <f aca="false">VLOOKUP(H647,Paramètres!$A$15:$B$19,2,FALSE())</f>
        <v>1</v>
      </c>
      <c r="J647" s="31" t="n">
        <v>1</v>
      </c>
      <c r="K647" s="50" t="str">
        <f aca="false">C647&amp;"|"&amp;J647</f>
        <v>MOB-B|1</v>
      </c>
      <c r="L647" s="31" t="s">
        <v>1966</v>
      </c>
      <c r="M647" s="31" t="n">
        <v>1</v>
      </c>
      <c r="N647" s="51" t="s">
        <v>462</v>
      </c>
      <c r="O647" s="35" t="s">
        <v>78</v>
      </c>
      <c r="P647" s="52"/>
      <c r="Q647" s="52"/>
      <c r="R647" s="33" t="n">
        <f aca="false">INDEX(Épopées!$L$6:$L$59,MATCH(K647,Épopées!$A$6:$A$59,0))</f>
        <v>46436</v>
      </c>
      <c r="S647" s="33" t="n">
        <f aca="false">INDEX(Épopées!$M$6:$M$59,MATCH(K647,Épopées!$A$6:$A$59,0))</f>
        <v>46455</v>
      </c>
      <c r="T647" s="53" t="s">
        <v>463</v>
      </c>
    </row>
    <row r="648" customFormat="false" ht="15" hidden="false" customHeight="false" outlineLevel="0" collapsed="false">
      <c r="A648" s="31" t="s">
        <v>1971</v>
      </c>
      <c r="B648" s="31" t="s">
        <v>342</v>
      </c>
      <c r="C648" s="31" t="s">
        <v>364</v>
      </c>
      <c r="D648" s="31" t="s">
        <v>365</v>
      </c>
      <c r="E648" s="31" t="s">
        <v>1972</v>
      </c>
      <c r="F648" s="31" t="s">
        <v>491</v>
      </c>
      <c r="G648" s="31" t="s">
        <v>466</v>
      </c>
      <c r="H648" s="31" t="s">
        <v>43</v>
      </c>
      <c r="I648" s="31" t="n">
        <f aca="false">VLOOKUP(H648,Paramètres!$A$15:$B$19,2,FALSE())</f>
        <v>2</v>
      </c>
      <c r="J648" s="31" t="n">
        <v>1</v>
      </c>
      <c r="K648" s="50" t="str">
        <f aca="false">C648&amp;"|"&amp;J648</f>
        <v>MOB-B|1</v>
      </c>
      <c r="L648" s="31" t="s">
        <v>1973</v>
      </c>
      <c r="M648" s="31" t="n">
        <v>3</v>
      </c>
      <c r="N648" s="51" t="s">
        <v>462</v>
      </c>
      <c r="O648" s="35" t="s">
        <v>78</v>
      </c>
      <c r="P648" s="52"/>
      <c r="Q648" s="52"/>
      <c r="R648" s="33" t="n">
        <f aca="false">INDEX(Épopées!$L$6:$L$59,MATCH(K648,Épopées!$A$6:$A$59,0))</f>
        <v>46436</v>
      </c>
      <c r="S648" s="33" t="n">
        <f aca="false">INDEX(Épopées!$M$6:$M$59,MATCH(K648,Épopées!$A$6:$A$59,0))</f>
        <v>46455</v>
      </c>
      <c r="T648" s="53" t="s">
        <v>463</v>
      </c>
    </row>
    <row r="649" customFormat="false" ht="15" hidden="false" customHeight="false" outlineLevel="0" collapsed="false">
      <c r="A649" s="31" t="s">
        <v>1974</v>
      </c>
      <c r="B649" s="31" t="s">
        <v>342</v>
      </c>
      <c r="C649" s="31" t="s">
        <v>364</v>
      </c>
      <c r="D649" s="31" t="s">
        <v>365</v>
      </c>
      <c r="E649" s="31" t="s">
        <v>1975</v>
      </c>
      <c r="F649" s="31" t="s">
        <v>1623</v>
      </c>
      <c r="G649" s="31" t="s">
        <v>461</v>
      </c>
      <c r="H649" s="31" t="s">
        <v>39</v>
      </c>
      <c r="I649" s="31" t="n">
        <f aca="false">VLOOKUP(H649,Paramètres!$A$15:$B$19,2,FALSE())</f>
        <v>0.5</v>
      </c>
      <c r="J649" s="31" t="n">
        <v>1</v>
      </c>
      <c r="K649" s="50" t="str">
        <f aca="false">C649&amp;"|"&amp;J649</f>
        <v>MOB-B|1</v>
      </c>
      <c r="L649" s="31" t="s">
        <v>1976</v>
      </c>
      <c r="M649" s="31" t="n">
        <v>1</v>
      </c>
      <c r="N649" s="51" t="s">
        <v>462</v>
      </c>
      <c r="O649" s="35" t="s">
        <v>78</v>
      </c>
      <c r="P649" s="52"/>
      <c r="Q649" s="52"/>
      <c r="R649" s="33" t="n">
        <f aca="false">INDEX(Épopées!$L$6:$L$59,MATCH(K649,Épopées!$A$6:$A$59,0))</f>
        <v>46436</v>
      </c>
      <c r="S649" s="33" t="n">
        <f aca="false">INDEX(Épopées!$M$6:$M$59,MATCH(K649,Épopées!$A$6:$A$59,0))</f>
        <v>46455</v>
      </c>
      <c r="T649" s="53" t="s">
        <v>463</v>
      </c>
    </row>
    <row r="650" customFormat="false" ht="15" hidden="false" customHeight="false" outlineLevel="0" collapsed="false">
      <c r="A650" s="31" t="s">
        <v>1977</v>
      </c>
      <c r="B650" s="31" t="s">
        <v>342</v>
      </c>
      <c r="C650" s="31" t="s">
        <v>364</v>
      </c>
      <c r="D650" s="31" t="s">
        <v>365</v>
      </c>
      <c r="E650" s="31" t="s">
        <v>1978</v>
      </c>
      <c r="F650" s="31" t="s">
        <v>1623</v>
      </c>
      <c r="G650" s="31" t="s">
        <v>461</v>
      </c>
      <c r="H650" s="31" t="s">
        <v>41</v>
      </c>
      <c r="I650" s="31" t="n">
        <f aca="false">VLOOKUP(H650,Paramètres!$A$15:$B$19,2,FALSE())</f>
        <v>1</v>
      </c>
      <c r="J650" s="31" t="n">
        <v>1</v>
      </c>
      <c r="K650" s="50" t="str">
        <f aca="false">C650&amp;"|"&amp;J650</f>
        <v>MOB-B|1</v>
      </c>
      <c r="L650" s="31" t="s">
        <v>1979</v>
      </c>
      <c r="M650" s="31" t="n">
        <v>1</v>
      </c>
      <c r="N650" s="51" t="s">
        <v>462</v>
      </c>
      <c r="O650" s="35" t="s">
        <v>78</v>
      </c>
      <c r="P650" s="52"/>
      <c r="Q650" s="52"/>
      <c r="R650" s="33" t="n">
        <f aca="false">INDEX(Épopées!$L$6:$L$59,MATCH(K650,Épopées!$A$6:$A$59,0))</f>
        <v>46436</v>
      </c>
      <c r="S650" s="33" t="n">
        <f aca="false">INDEX(Épopées!$M$6:$M$59,MATCH(K650,Épopées!$A$6:$A$59,0))</f>
        <v>46455</v>
      </c>
      <c r="T650" s="53" t="s">
        <v>463</v>
      </c>
    </row>
    <row r="651" customFormat="false" ht="15" hidden="false" customHeight="false" outlineLevel="0" collapsed="false">
      <c r="A651" s="31" t="s">
        <v>1980</v>
      </c>
      <c r="B651" s="31" t="s">
        <v>342</v>
      </c>
      <c r="C651" s="31" t="s">
        <v>364</v>
      </c>
      <c r="D651" s="31" t="s">
        <v>365</v>
      </c>
      <c r="E651" s="31" t="s">
        <v>1981</v>
      </c>
      <c r="F651" s="31" t="s">
        <v>1623</v>
      </c>
      <c r="G651" s="31" t="s">
        <v>461</v>
      </c>
      <c r="H651" s="31" t="s">
        <v>37</v>
      </c>
      <c r="I651" s="31" t="n">
        <f aca="false">VLOOKUP(H651,Paramètres!$A$15:$B$19,2,FALSE())</f>
        <v>0.25</v>
      </c>
      <c r="J651" s="31" t="n">
        <v>1</v>
      </c>
      <c r="K651" s="50" t="str">
        <f aca="false">C651&amp;"|"&amp;J651</f>
        <v>MOB-B|1</v>
      </c>
      <c r="L651" s="31" t="s">
        <v>1977</v>
      </c>
      <c r="M651" s="31" t="n">
        <v>1</v>
      </c>
      <c r="N651" s="51" t="s">
        <v>462</v>
      </c>
      <c r="O651" s="35" t="s">
        <v>78</v>
      </c>
      <c r="P651" s="52"/>
      <c r="Q651" s="52"/>
      <c r="R651" s="33" t="n">
        <f aca="false">INDEX(Épopées!$L$6:$L$59,MATCH(K651,Épopées!$A$6:$A$59,0))</f>
        <v>46436</v>
      </c>
      <c r="S651" s="33" t="n">
        <f aca="false">INDEX(Épopées!$M$6:$M$59,MATCH(K651,Épopées!$A$6:$A$59,0))</f>
        <v>46455</v>
      </c>
      <c r="T651" s="53" t="s">
        <v>463</v>
      </c>
    </row>
    <row r="652" customFormat="false" ht="15" hidden="false" customHeight="false" outlineLevel="0" collapsed="false">
      <c r="A652" s="31" t="s">
        <v>1982</v>
      </c>
      <c r="B652" s="31" t="s">
        <v>342</v>
      </c>
      <c r="C652" s="31" t="s">
        <v>364</v>
      </c>
      <c r="D652" s="31" t="s">
        <v>365</v>
      </c>
      <c r="E652" s="31" t="s">
        <v>1983</v>
      </c>
      <c r="F652" s="31" t="s">
        <v>469</v>
      </c>
      <c r="G652" s="31" t="s">
        <v>466</v>
      </c>
      <c r="H652" s="31" t="s">
        <v>39</v>
      </c>
      <c r="I652" s="31" t="n">
        <f aca="false">VLOOKUP(H652,Paramètres!$A$15:$B$19,2,FALSE())</f>
        <v>0.5</v>
      </c>
      <c r="J652" s="31" t="n">
        <v>1</v>
      </c>
      <c r="K652" s="50" t="str">
        <f aca="false">C652&amp;"|"&amp;J652</f>
        <v>MOB-B|1</v>
      </c>
      <c r="L652" s="31" t="s">
        <v>1984</v>
      </c>
      <c r="M652" s="31" t="n">
        <v>4</v>
      </c>
      <c r="N652" s="51" t="s">
        <v>462</v>
      </c>
      <c r="O652" s="35" t="s">
        <v>78</v>
      </c>
      <c r="P652" s="52"/>
      <c r="Q652" s="52"/>
      <c r="R652" s="33" t="n">
        <f aca="false">INDEX(Épopées!$L$6:$L$59,MATCH(K652,Épopées!$A$6:$A$59,0))</f>
        <v>46436</v>
      </c>
      <c r="S652" s="33" t="n">
        <f aca="false">INDEX(Épopées!$M$6:$M$59,MATCH(K652,Épopées!$A$6:$A$59,0))</f>
        <v>46455</v>
      </c>
      <c r="T652" s="53" t="s">
        <v>463</v>
      </c>
    </row>
    <row r="653" customFormat="false" ht="15" hidden="false" customHeight="false" outlineLevel="0" collapsed="false">
      <c r="A653" s="31" t="s">
        <v>1985</v>
      </c>
      <c r="B653" s="31" t="s">
        <v>342</v>
      </c>
      <c r="C653" s="31" t="s">
        <v>364</v>
      </c>
      <c r="D653" s="31" t="s">
        <v>365</v>
      </c>
      <c r="E653" s="31" t="s">
        <v>1986</v>
      </c>
      <c r="F653" s="31" t="s">
        <v>588</v>
      </c>
      <c r="G653" s="31" t="s">
        <v>466</v>
      </c>
      <c r="H653" s="31" t="s">
        <v>41</v>
      </c>
      <c r="I653" s="31" t="n">
        <f aca="false">VLOOKUP(H653,Paramètres!$A$15:$B$19,2,FALSE())</f>
        <v>1</v>
      </c>
      <c r="J653" s="31" t="n">
        <v>1</v>
      </c>
      <c r="K653" s="50" t="str">
        <f aca="false">C653&amp;"|"&amp;J653</f>
        <v>MOB-B|1</v>
      </c>
      <c r="L653" s="31" t="s">
        <v>1987</v>
      </c>
      <c r="M653" s="31" t="n">
        <v>20</v>
      </c>
      <c r="N653" s="51" t="s">
        <v>462</v>
      </c>
      <c r="O653" s="35" t="s">
        <v>78</v>
      </c>
      <c r="P653" s="52"/>
      <c r="Q653" s="52"/>
      <c r="R653" s="33" t="n">
        <f aca="false">INDEX(Épopées!$L$6:$L$59,MATCH(K653,Épopées!$A$6:$A$59,0))</f>
        <v>46436</v>
      </c>
      <c r="S653" s="33" t="n">
        <f aca="false">INDEX(Épopées!$M$6:$M$59,MATCH(K653,Épopées!$A$6:$A$59,0))</f>
        <v>46455</v>
      </c>
      <c r="T653" s="53" t="s">
        <v>463</v>
      </c>
    </row>
    <row r="654" customFormat="false" ht="15" hidden="false" customHeight="false" outlineLevel="0" collapsed="false">
      <c r="A654" s="31" t="s">
        <v>1988</v>
      </c>
      <c r="B654" s="31" t="s">
        <v>342</v>
      </c>
      <c r="C654" s="31" t="s">
        <v>364</v>
      </c>
      <c r="D654" s="31" t="s">
        <v>365</v>
      </c>
      <c r="E654" s="31" t="s">
        <v>1989</v>
      </c>
      <c r="F654" s="31" t="s">
        <v>472</v>
      </c>
      <c r="G654" s="31" t="s">
        <v>466</v>
      </c>
      <c r="H654" s="31" t="s">
        <v>43</v>
      </c>
      <c r="I654" s="31" t="n">
        <f aca="false">VLOOKUP(H654,Paramètres!$A$15:$B$19,2,FALSE())</f>
        <v>2</v>
      </c>
      <c r="J654" s="31" t="n">
        <v>1</v>
      </c>
      <c r="K654" s="50" t="str">
        <f aca="false">C654&amp;"|"&amp;J654</f>
        <v>MOB-B|1</v>
      </c>
      <c r="L654" s="31" t="s">
        <v>1990</v>
      </c>
      <c r="M654" s="31" t="n">
        <v>20</v>
      </c>
      <c r="N654" s="51" t="s">
        <v>462</v>
      </c>
      <c r="O654" s="35" t="s">
        <v>78</v>
      </c>
      <c r="P654" s="52"/>
      <c r="Q654" s="52"/>
      <c r="R654" s="33" t="n">
        <f aca="false">INDEX(Épopées!$L$6:$L$59,MATCH(K654,Épopées!$A$6:$A$59,0))</f>
        <v>46436</v>
      </c>
      <c r="S654" s="33" t="n">
        <f aca="false">INDEX(Épopées!$M$6:$M$59,MATCH(K654,Épopées!$A$6:$A$59,0))</f>
        <v>46455</v>
      </c>
      <c r="T654" s="53" t="s">
        <v>463</v>
      </c>
    </row>
    <row r="655" customFormat="false" ht="15" hidden="false" customHeight="false" outlineLevel="0" collapsed="false">
      <c r="A655" s="31" t="s">
        <v>1991</v>
      </c>
      <c r="B655" s="31" t="s">
        <v>342</v>
      </c>
      <c r="C655" s="31" t="s">
        <v>367</v>
      </c>
      <c r="D655" s="31" t="s">
        <v>368</v>
      </c>
      <c r="E655" s="31" t="s">
        <v>1992</v>
      </c>
      <c r="F655" s="31" t="s">
        <v>481</v>
      </c>
      <c r="G655" s="31" t="s">
        <v>461</v>
      </c>
      <c r="H655" s="31" t="s">
        <v>39</v>
      </c>
      <c r="I655" s="31" t="n">
        <f aca="false">VLOOKUP(H655,Paramètres!$A$15:$B$19,2,FALSE())</f>
        <v>0.5</v>
      </c>
      <c r="J655" s="31" t="n">
        <v>1</v>
      </c>
      <c r="K655" s="50" t="str">
        <f aca="false">C655&amp;"|"&amp;J655</f>
        <v>MOB-Q|1</v>
      </c>
      <c r="L655" s="31"/>
      <c r="M655" s="31" t="n">
        <v>2</v>
      </c>
      <c r="N655" s="51" t="s">
        <v>462</v>
      </c>
      <c r="O655" s="35" t="s">
        <v>78</v>
      </c>
      <c r="P655" s="52"/>
      <c r="Q655" s="52"/>
      <c r="R655" s="33" t="n">
        <f aca="false">INDEX(Épopées!$L$6:$L$59,MATCH(K655,Épopées!$A$6:$A$59,0))</f>
        <v>46456</v>
      </c>
      <c r="S655" s="33" t="n">
        <f aca="false">INDEX(Épopées!$M$6:$M$59,MATCH(K655,Épopées!$A$6:$A$59,0))</f>
        <v>46472</v>
      </c>
      <c r="T655" s="53" t="s">
        <v>463</v>
      </c>
    </row>
    <row r="656" customFormat="false" ht="15" hidden="false" customHeight="false" outlineLevel="0" collapsed="false">
      <c r="A656" s="31" t="s">
        <v>1993</v>
      </c>
      <c r="B656" s="31" t="s">
        <v>342</v>
      </c>
      <c r="C656" s="31" t="s">
        <v>367</v>
      </c>
      <c r="D656" s="31" t="s">
        <v>368</v>
      </c>
      <c r="E656" s="31" t="s">
        <v>1994</v>
      </c>
      <c r="F656" s="31" t="s">
        <v>486</v>
      </c>
      <c r="G656" s="31" t="s">
        <v>461</v>
      </c>
      <c r="H656" s="31" t="s">
        <v>41</v>
      </c>
      <c r="I656" s="31" t="n">
        <f aca="false">VLOOKUP(H656,Paramètres!$A$15:$B$19,2,FALSE())</f>
        <v>1</v>
      </c>
      <c r="J656" s="31" t="n">
        <v>1</v>
      </c>
      <c r="K656" s="50" t="str">
        <f aca="false">C656&amp;"|"&amp;J656</f>
        <v>MOB-Q|1</v>
      </c>
      <c r="L656" s="31"/>
      <c r="M656" s="31" t="n">
        <v>4</v>
      </c>
      <c r="N656" s="51" t="s">
        <v>462</v>
      </c>
      <c r="O656" s="35" t="s">
        <v>78</v>
      </c>
      <c r="P656" s="52"/>
      <c r="Q656" s="52"/>
      <c r="R656" s="33" t="n">
        <f aca="false">INDEX(Épopées!$L$6:$L$59,MATCH(K656,Épopées!$A$6:$A$59,0))</f>
        <v>46456</v>
      </c>
      <c r="S656" s="33" t="n">
        <f aca="false">INDEX(Épopées!$M$6:$M$59,MATCH(K656,Épopées!$A$6:$A$59,0))</f>
        <v>46472</v>
      </c>
      <c r="T656" s="53" t="s">
        <v>463</v>
      </c>
    </row>
    <row r="657" customFormat="false" ht="15" hidden="false" customHeight="false" outlineLevel="0" collapsed="false">
      <c r="A657" s="31" t="s">
        <v>1995</v>
      </c>
      <c r="B657" s="31" t="s">
        <v>342</v>
      </c>
      <c r="C657" s="31" t="s">
        <v>367</v>
      </c>
      <c r="D657" s="31" t="s">
        <v>368</v>
      </c>
      <c r="E657" s="31" t="s">
        <v>1996</v>
      </c>
      <c r="F657" s="31" t="s">
        <v>460</v>
      </c>
      <c r="G657" s="31" t="s">
        <v>461</v>
      </c>
      <c r="H657" s="31" t="s">
        <v>43</v>
      </c>
      <c r="I657" s="31" t="n">
        <f aca="false">VLOOKUP(H657,Paramètres!$A$15:$B$19,2,FALSE())</f>
        <v>2</v>
      </c>
      <c r="J657" s="31" t="n">
        <v>1</v>
      </c>
      <c r="K657" s="50" t="str">
        <f aca="false">C657&amp;"|"&amp;J657</f>
        <v>MOB-Q|1</v>
      </c>
      <c r="L657" s="31" t="s">
        <v>1993</v>
      </c>
      <c r="M657" s="31" t="n">
        <v>8</v>
      </c>
      <c r="N657" s="51" t="s">
        <v>462</v>
      </c>
      <c r="O657" s="35" t="s">
        <v>78</v>
      </c>
      <c r="P657" s="52"/>
      <c r="Q657" s="52"/>
      <c r="R657" s="33" t="n">
        <f aca="false">INDEX(Épopées!$L$6:$L$59,MATCH(K657,Épopées!$A$6:$A$59,0))</f>
        <v>46456</v>
      </c>
      <c r="S657" s="33" t="n">
        <f aca="false">INDEX(Épopées!$M$6:$M$59,MATCH(K657,Épopées!$A$6:$A$59,0))</f>
        <v>46472</v>
      </c>
      <c r="T657" s="53" t="s">
        <v>463</v>
      </c>
    </row>
    <row r="658" customFormat="false" ht="15" hidden="false" customHeight="false" outlineLevel="0" collapsed="false">
      <c r="A658" s="31" t="s">
        <v>1997</v>
      </c>
      <c r="B658" s="31" t="s">
        <v>342</v>
      </c>
      <c r="C658" s="31" t="s">
        <v>367</v>
      </c>
      <c r="D658" s="31" t="s">
        <v>368</v>
      </c>
      <c r="E658" s="31" t="s">
        <v>1998</v>
      </c>
      <c r="F658" s="31" t="s">
        <v>486</v>
      </c>
      <c r="G658" s="31" t="s">
        <v>461</v>
      </c>
      <c r="H658" s="31" t="s">
        <v>39</v>
      </c>
      <c r="I658" s="31" t="n">
        <f aca="false">VLOOKUP(H658,Paramètres!$A$15:$B$19,2,FALSE())</f>
        <v>0.5</v>
      </c>
      <c r="J658" s="31" t="n">
        <v>1</v>
      </c>
      <c r="K658" s="50" t="str">
        <f aca="false">C658&amp;"|"&amp;J658</f>
        <v>MOB-Q|1</v>
      </c>
      <c r="L658" s="31" t="s">
        <v>1993</v>
      </c>
      <c r="M658" s="31" t="n">
        <v>3</v>
      </c>
      <c r="N658" s="51" t="s">
        <v>462</v>
      </c>
      <c r="O658" s="35" t="s">
        <v>78</v>
      </c>
      <c r="P658" s="52"/>
      <c r="Q658" s="52"/>
      <c r="R658" s="33" t="n">
        <f aca="false">INDEX(Épopées!$L$6:$L$59,MATCH(K658,Épopées!$A$6:$A$59,0))</f>
        <v>46456</v>
      </c>
      <c r="S658" s="33" t="n">
        <f aca="false">INDEX(Épopées!$M$6:$M$59,MATCH(K658,Épopées!$A$6:$A$59,0))</f>
        <v>46472</v>
      </c>
      <c r="T658" s="53" t="s">
        <v>463</v>
      </c>
    </row>
    <row r="659" customFormat="false" ht="15" hidden="false" customHeight="false" outlineLevel="0" collapsed="false">
      <c r="A659" s="31" t="s">
        <v>1999</v>
      </c>
      <c r="B659" s="31" t="s">
        <v>342</v>
      </c>
      <c r="C659" s="31" t="s">
        <v>367</v>
      </c>
      <c r="D659" s="31" t="s">
        <v>368</v>
      </c>
      <c r="E659" s="31" t="s">
        <v>2000</v>
      </c>
      <c r="F659" s="31" t="s">
        <v>491</v>
      </c>
      <c r="G659" s="31" t="s">
        <v>461</v>
      </c>
      <c r="H659" s="31" t="s">
        <v>43</v>
      </c>
      <c r="I659" s="31" t="n">
        <f aca="false">VLOOKUP(H659,Paramètres!$A$15:$B$19,2,FALSE())</f>
        <v>2</v>
      </c>
      <c r="J659" s="31" t="n">
        <v>1</v>
      </c>
      <c r="K659" s="50" t="str">
        <f aca="false">C659&amp;"|"&amp;J659</f>
        <v>MOB-Q|1</v>
      </c>
      <c r="L659" s="31" t="s">
        <v>2001</v>
      </c>
      <c r="M659" s="31" t="n">
        <v>5</v>
      </c>
      <c r="N659" s="51" t="s">
        <v>462</v>
      </c>
      <c r="O659" s="35" t="s">
        <v>78</v>
      </c>
      <c r="P659" s="52"/>
      <c r="Q659" s="52"/>
      <c r="R659" s="33" t="n">
        <f aca="false">INDEX(Épopées!$L$6:$L$59,MATCH(K659,Épopées!$A$6:$A$59,0))</f>
        <v>46456</v>
      </c>
      <c r="S659" s="33" t="n">
        <f aca="false">INDEX(Épopées!$M$6:$M$59,MATCH(K659,Épopées!$A$6:$A$59,0))</f>
        <v>46472</v>
      </c>
      <c r="T659" s="53" t="s">
        <v>463</v>
      </c>
    </row>
    <row r="660" customFormat="false" ht="15" hidden="false" customHeight="false" outlineLevel="0" collapsed="false">
      <c r="A660" s="31" t="s">
        <v>2002</v>
      </c>
      <c r="B660" s="31" t="s">
        <v>342</v>
      </c>
      <c r="C660" s="31" t="s">
        <v>367</v>
      </c>
      <c r="D660" s="31" t="s">
        <v>368</v>
      </c>
      <c r="E660" s="31" t="s">
        <v>2003</v>
      </c>
      <c r="F660" s="31" t="s">
        <v>1623</v>
      </c>
      <c r="G660" s="31" t="s">
        <v>461</v>
      </c>
      <c r="H660" s="31" t="s">
        <v>41</v>
      </c>
      <c r="I660" s="31" t="n">
        <f aca="false">VLOOKUP(H660,Paramètres!$A$15:$B$19,2,FALSE())</f>
        <v>1</v>
      </c>
      <c r="J660" s="31" t="n">
        <v>1</v>
      </c>
      <c r="K660" s="50" t="str">
        <f aca="false">C660&amp;"|"&amp;J660</f>
        <v>MOB-Q|1</v>
      </c>
      <c r="L660" s="31" t="s">
        <v>2004</v>
      </c>
      <c r="M660" s="31" t="n">
        <v>1</v>
      </c>
      <c r="N660" s="51" t="s">
        <v>462</v>
      </c>
      <c r="O660" s="35" t="s">
        <v>78</v>
      </c>
      <c r="P660" s="52"/>
      <c r="Q660" s="52"/>
      <c r="R660" s="33" t="n">
        <f aca="false">INDEX(Épopées!$L$6:$L$59,MATCH(K660,Épopées!$A$6:$A$59,0))</f>
        <v>46456</v>
      </c>
      <c r="S660" s="33" t="n">
        <f aca="false">INDEX(Épopées!$M$6:$M$59,MATCH(K660,Épopées!$A$6:$A$59,0))</f>
        <v>46472</v>
      </c>
      <c r="T660" s="53" t="s">
        <v>463</v>
      </c>
    </row>
    <row r="661" customFormat="false" ht="15" hidden="false" customHeight="false" outlineLevel="0" collapsed="false">
      <c r="A661" s="31" t="s">
        <v>2005</v>
      </c>
      <c r="B661" s="31" t="s">
        <v>342</v>
      </c>
      <c r="C661" s="31" t="s">
        <v>367</v>
      </c>
      <c r="D661" s="31" t="s">
        <v>368</v>
      </c>
      <c r="E661" s="31" t="s">
        <v>2006</v>
      </c>
      <c r="F661" s="31" t="s">
        <v>1623</v>
      </c>
      <c r="G661" s="31" t="s">
        <v>461</v>
      </c>
      <c r="H661" s="31" t="s">
        <v>39</v>
      </c>
      <c r="I661" s="31" t="n">
        <f aca="false">VLOOKUP(H661,Paramètres!$A$15:$B$19,2,FALSE())</f>
        <v>0.5</v>
      </c>
      <c r="J661" s="31" t="n">
        <v>1</v>
      </c>
      <c r="K661" s="50" t="str">
        <f aca="false">C661&amp;"|"&amp;J661</f>
        <v>MOB-Q|1</v>
      </c>
      <c r="L661" s="31" t="s">
        <v>2002</v>
      </c>
      <c r="M661" s="31" t="n">
        <v>1</v>
      </c>
      <c r="N661" s="51" t="s">
        <v>462</v>
      </c>
      <c r="O661" s="35" t="s">
        <v>78</v>
      </c>
      <c r="P661" s="52"/>
      <c r="Q661" s="52"/>
      <c r="R661" s="33" t="n">
        <f aca="false">INDEX(Épopées!$L$6:$L$59,MATCH(K661,Épopées!$A$6:$A$59,0))</f>
        <v>46456</v>
      </c>
      <c r="S661" s="33" t="n">
        <f aca="false">INDEX(Épopées!$M$6:$M$59,MATCH(K661,Épopées!$A$6:$A$59,0))</f>
        <v>46472</v>
      </c>
      <c r="T661" s="53" t="s">
        <v>463</v>
      </c>
    </row>
    <row r="662" customFormat="false" ht="15" hidden="false" customHeight="false" outlineLevel="0" collapsed="false">
      <c r="A662" s="31" t="s">
        <v>2007</v>
      </c>
      <c r="B662" s="31" t="s">
        <v>342</v>
      </c>
      <c r="C662" s="31" t="s">
        <v>367</v>
      </c>
      <c r="D662" s="31" t="s">
        <v>368</v>
      </c>
      <c r="E662" s="31" t="s">
        <v>2008</v>
      </c>
      <c r="F662" s="31" t="s">
        <v>1623</v>
      </c>
      <c r="G662" s="31" t="s">
        <v>461</v>
      </c>
      <c r="H662" s="31" t="s">
        <v>39</v>
      </c>
      <c r="I662" s="31" t="n">
        <f aca="false">VLOOKUP(H662,Paramètres!$A$15:$B$19,2,FALSE())</f>
        <v>0.5</v>
      </c>
      <c r="J662" s="31" t="n">
        <v>1</v>
      </c>
      <c r="K662" s="50" t="str">
        <f aca="false">C662&amp;"|"&amp;J662</f>
        <v>MOB-Q|1</v>
      </c>
      <c r="L662" s="31" t="s">
        <v>2002</v>
      </c>
      <c r="M662" s="31" t="n">
        <v>1</v>
      </c>
      <c r="N662" s="51" t="s">
        <v>462</v>
      </c>
      <c r="O662" s="35" t="s">
        <v>78</v>
      </c>
      <c r="P662" s="52"/>
      <c r="Q662" s="52"/>
      <c r="R662" s="33" t="n">
        <f aca="false">INDEX(Épopées!$L$6:$L$59,MATCH(K662,Épopées!$A$6:$A$59,0))</f>
        <v>46456</v>
      </c>
      <c r="S662" s="33" t="n">
        <f aca="false">INDEX(Épopées!$M$6:$M$59,MATCH(K662,Épopées!$A$6:$A$59,0))</f>
        <v>46472</v>
      </c>
      <c r="T662" s="53" t="s">
        <v>463</v>
      </c>
    </row>
    <row r="663" customFormat="false" ht="15" hidden="false" customHeight="false" outlineLevel="0" collapsed="false">
      <c r="A663" s="31" t="s">
        <v>2009</v>
      </c>
      <c r="B663" s="31" t="s">
        <v>342</v>
      </c>
      <c r="C663" s="31" t="s">
        <v>367</v>
      </c>
      <c r="D663" s="31" t="s">
        <v>368</v>
      </c>
      <c r="E663" s="31" t="s">
        <v>2010</v>
      </c>
      <c r="F663" s="31" t="s">
        <v>1623</v>
      </c>
      <c r="G663" s="31" t="s">
        <v>466</v>
      </c>
      <c r="H663" s="31" t="s">
        <v>41</v>
      </c>
      <c r="I663" s="31" t="n">
        <f aca="false">VLOOKUP(H663,Paramètres!$A$15:$B$19,2,FALSE())</f>
        <v>1</v>
      </c>
      <c r="J663" s="31" t="n">
        <v>1</v>
      </c>
      <c r="K663" s="50" t="str">
        <f aca="false">C663&amp;"|"&amp;J663</f>
        <v>MOB-Q|1</v>
      </c>
      <c r="L663" s="31" t="s">
        <v>1999</v>
      </c>
      <c r="M663" s="31" t="n">
        <v>1</v>
      </c>
      <c r="N663" s="51" t="s">
        <v>462</v>
      </c>
      <c r="O663" s="35" t="s">
        <v>78</v>
      </c>
      <c r="P663" s="52"/>
      <c r="Q663" s="52"/>
      <c r="R663" s="33" t="n">
        <f aca="false">INDEX(Épopées!$L$6:$L$59,MATCH(K663,Épopées!$A$6:$A$59,0))</f>
        <v>46456</v>
      </c>
      <c r="S663" s="33" t="n">
        <f aca="false">INDEX(Épopées!$M$6:$M$59,MATCH(K663,Épopées!$A$6:$A$59,0))</f>
        <v>46472</v>
      </c>
      <c r="T663" s="53" t="s">
        <v>463</v>
      </c>
    </row>
    <row r="664" customFormat="false" ht="15" hidden="false" customHeight="false" outlineLevel="0" collapsed="false">
      <c r="A664" s="31" t="s">
        <v>2011</v>
      </c>
      <c r="B664" s="31" t="s">
        <v>342</v>
      </c>
      <c r="C664" s="31" t="s">
        <v>367</v>
      </c>
      <c r="D664" s="31" t="s">
        <v>368</v>
      </c>
      <c r="E664" s="31" t="s">
        <v>2012</v>
      </c>
      <c r="F664" s="31" t="s">
        <v>491</v>
      </c>
      <c r="G664" s="31" t="s">
        <v>461</v>
      </c>
      <c r="H664" s="31" t="s">
        <v>41</v>
      </c>
      <c r="I664" s="31" t="n">
        <f aca="false">VLOOKUP(H664,Paramètres!$A$15:$B$19,2,FALSE())</f>
        <v>1</v>
      </c>
      <c r="J664" s="31" t="n">
        <v>1</v>
      </c>
      <c r="K664" s="50" t="str">
        <f aca="false">C664&amp;"|"&amp;J664</f>
        <v>MOB-Q|1</v>
      </c>
      <c r="L664" s="31" t="s">
        <v>2013</v>
      </c>
      <c r="M664" s="31" t="n">
        <v>2</v>
      </c>
      <c r="N664" s="51" t="s">
        <v>462</v>
      </c>
      <c r="O664" s="35" t="s">
        <v>78</v>
      </c>
      <c r="P664" s="52"/>
      <c r="Q664" s="52"/>
      <c r="R664" s="33" t="n">
        <f aca="false">INDEX(Épopées!$L$6:$L$59,MATCH(K664,Épopées!$A$6:$A$59,0))</f>
        <v>46456</v>
      </c>
      <c r="S664" s="33" t="n">
        <f aca="false">INDEX(Épopées!$M$6:$M$59,MATCH(K664,Épopées!$A$6:$A$59,0))</f>
        <v>46472</v>
      </c>
      <c r="T664" s="53" t="s">
        <v>463</v>
      </c>
    </row>
    <row r="665" customFormat="false" ht="15" hidden="false" customHeight="false" outlineLevel="0" collapsed="false">
      <c r="A665" s="31" t="s">
        <v>2014</v>
      </c>
      <c r="B665" s="31" t="s">
        <v>342</v>
      </c>
      <c r="C665" s="31" t="s">
        <v>367</v>
      </c>
      <c r="D665" s="31" t="s">
        <v>368</v>
      </c>
      <c r="E665" s="31" t="s">
        <v>2015</v>
      </c>
      <c r="F665" s="31" t="s">
        <v>1623</v>
      </c>
      <c r="G665" s="31" t="s">
        <v>461</v>
      </c>
      <c r="H665" s="31" t="s">
        <v>41</v>
      </c>
      <c r="I665" s="31" t="n">
        <f aca="false">VLOOKUP(H665,Paramètres!$A$15:$B$19,2,FALSE())</f>
        <v>1</v>
      </c>
      <c r="J665" s="31" t="n">
        <v>1</v>
      </c>
      <c r="K665" s="50" t="str">
        <f aca="false">C665&amp;"|"&amp;J665</f>
        <v>MOB-Q|1</v>
      </c>
      <c r="L665" s="31" t="s">
        <v>2011</v>
      </c>
      <c r="M665" s="31" t="n">
        <v>1</v>
      </c>
      <c r="N665" s="51" t="s">
        <v>462</v>
      </c>
      <c r="O665" s="35" t="s">
        <v>78</v>
      </c>
      <c r="P665" s="52"/>
      <c r="Q665" s="52"/>
      <c r="R665" s="33" t="n">
        <f aca="false">INDEX(Épopées!$L$6:$L$59,MATCH(K665,Épopées!$A$6:$A$59,0))</f>
        <v>46456</v>
      </c>
      <c r="S665" s="33" t="n">
        <f aca="false">INDEX(Épopées!$M$6:$M$59,MATCH(K665,Épopées!$A$6:$A$59,0))</f>
        <v>46472</v>
      </c>
      <c r="T665" s="53" t="s">
        <v>463</v>
      </c>
    </row>
    <row r="666" customFormat="false" ht="15" hidden="false" customHeight="false" outlineLevel="0" collapsed="false">
      <c r="A666" s="31" t="s">
        <v>2016</v>
      </c>
      <c r="B666" s="31" t="s">
        <v>342</v>
      </c>
      <c r="C666" s="31" t="s">
        <v>367</v>
      </c>
      <c r="D666" s="31" t="s">
        <v>368</v>
      </c>
      <c r="E666" s="31" t="s">
        <v>2017</v>
      </c>
      <c r="F666" s="31" t="s">
        <v>1623</v>
      </c>
      <c r="G666" s="31" t="s">
        <v>461</v>
      </c>
      <c r="H666" s="31" t="s">
        <v>39</v>
      </c>
      <c r="I666" s="31" t="n">
        <f aca="false">VLOOKUP(H666,Paramètres!$A$15:$B$19,2,FALSE())</f>
        <v>0.5</v>
      </c>
      <c r="J666" s="31" t="n">
        <v>1</v>
      </c>
      <c r="K666" s="50" t="str">
        <f aca="false">C666&amp;"|"&amp;J666</f>
        <v>MOB-Q|1</v>
      </c>
      <c r="L666" s="31" t="s">
        <v>2014</v>
      </c>
      <c r="M666" s="31" t="n">
        <v>1</v>
      </c>
      <c r="N666" s="51" t="s">
        <v>462</v>
      </c>
      <c r="O666" s="35" t="s">
        <v>78</v>
      </c>
      <c r="P666" s="52"/>
      <c r="Q666" s="52"/>
      <c r="R666" s="33" t="n">
        <f aca="false">INDEX(Épopées!$L$6:$L$59,MATCH(K666,Épopées!$A$6:$A$59,0))</f>
        <v>46456</v>
      </c>
      <c r="S666" s="33" t="n">
        <f aca="false">INDEX(Épopées!$M$6:$M$59,MATCH(K666,Épopées!$A$6:$A$59,0))</f>
        <v>46472</v>
      </c>
      <c r="T666" s="53" t="s">
        <v>463</v>
      </c>
    </row>
    <row r="667" customFormat="false" ht="15" hidden="false" customHeight="false" outlineLevel="0" collapsed="false">
      <c r="A667" s="31" t="s">
        <v>2018</v>
      </c>
      <c r="B667" s="31" t="s">
        <v>342</v>
      </c>
      <c r="C667" s="31" t="s">
        <v>367</v>
      </c>
      <c r="D667" s="31" t="s">
        <v>368</v>
      </c>
      <c r="E667" s="31" t="s">
        <v>2019</v>
      </c>
      <c r="F667" s="31" t="s">
        <v>491</v>
      </c>
      <c r="G667" s="31" t="s">
        <v>466</v>
      </c>
      <c r="H667" s="31" t="s">
        <v>39</v>
      </c>
      <c r="I667" s="31" t="n">
        <f aca="false">VLOOKUP(H667,Paramètres!$A$15:$B$19,2,FALSE())</f>
        <v>0.5</v>
      </c>
      <c r="J667" s="31" t="n">
        <v>1</v>
      </c>
      <c r="K667" s="50" t="str">
        <f aca="false">C667&amp;"|"&amp;J667</f>
        <v>MOB-Q|1</v>
      </c>
      <c r="L667" s="31" t="s">
        <v>1999</v>
      </c>
      <c r="M667" s="31" t="n">
        <v>2</v>
      </c>
      <c r="N667" s="51" t="s">
        <v>462</v>
      </c>
      <c r="O667" s="35" t="s">
        <v>78</v>
      </c>
      <c r="P667" s="52"/>
      <c r="Q667" s="52"/>
      <c r="R667" s="33" t="n">
        <f aca="false">INDEX(Épopées!$L$6:$L$59,MATCH(K667,Épopées!$A$6:$A$59,0))</f>
        <v>46456</v>
      </c>
      <c r="S667" s="33" t="n">
        <f aca="false">INDEX(Épopées!$M$6:$M$59,MATCH(K667,Épopées!$A$6:$A$59,0))</f>
        <v>46472</v>
      </c>
      <c r="T667" s="53" t="s">
        <v>463</v>
      </c>
    </row>
    <row r="668" customFormat="false" ht="15" hidden="false" customHeight="false" outlineLevel="0" collapsed="false">
      <c r="A668" s="31" t="s">
        <v>2020</v>
      </c>
      <c r="B668" s="31" t="s">
        <v>342</v>
      </c>
      <c r="C668" s="31" t="s">
        <v>367</v>
      </c>
      <c r="D668" s="31" t="s">
        <v>368</v>
      </c>
      <c r="E668" s="31" t="s">
        <v>2021</v>
      </c>
      <c r="F668" s="31" t="s">
        <v>1623</v>
      </c>
      <c r="G668" s="31" t="s">
        <v>461</v>
      </c>
      <c r="H668" s="31" t="s">
        <v>41</v>
      </c>
      <c r="I668" s="31" t="n">
        <f aca="false">VLOOKUP(H668,Paramètres!$A$15:$B$19,2,FALSE())</f>
        <v>1</v>
      </c>
      <c r="J668" s="31" t="n">
        <v>1</v>
      </c>
      <c r="K668" s="50" t="str">
        <f aca="false">C668&amp;"|"&amp;J668</f>
        <v>MOB-Q|1</v>
      </c>
      <c r="L668" s="31" t="s">
        <v>1999</v>
      </c>
      <c r="M668" s="31" t="n">
        <v>1</v>
      </c>
      <c r="N668" s="51" t="s">
        <v>462</v>
      </c>
      <c r="O668" s="35" t="s">
        <v>78</v>
      </c>
      <c r="P668" s="52"/>
      <c r="Q668" s="52"/>
      <c r="R668" s="33" t="n">
        <f aca="false">INDEX(Épopées!$L$6:$L$59,MATCH(K668,Épopées!$A$6:$A$59,0))</f>
        <v>46456</v>
      </c>
      <c r="S668" s="33" t="n">
        <f aca="false">INDEX(Épopées!$M$6:$M$59,MATCH(K668,Épopées!$A$6:$A$59,0))</f>
        <v>46472</v>
      </c>
      <c r="T668" s="53" t="s">
        <v>463</v>
      </c>
    </row>
    <row r="669" customFormat="false" ht="15" hidden="false" customHeight="false" outlineLevel="0" collapsed="false">
      <c r="A669" s="31" t="s">
        <v>2022</v>
      </c>
      <c r="B669" s="31" t="s">
        <v>342</v>
      </c>
      <c r="C669" s="31" t="s">
        <v>367</v>
      </c>
      <c r="D669" s="31" t="s">
        <v>368</v>
      </c>
      <c r="E669" s="31" t="s">
        <v>2023</v>
      </c>
      <c r="F669" s="31" t="s">
        <v>491</v>
      </c>
      <c r="G669" s="31" t="s">
        <v>461</v>
      </c>
      <c r="H669" s="31" t="s">
        <v>39</v>
      </c>
      <c r="I669" s="31" t="n">
        <f aca="false">VLOOKUP(H669,Paramètres!$A$15:$B$19,2,FALSE())</f>
        <v>0.5</v>
      </c>
      <c r="J669" s="31" t="n">
        <v>1</v>
      </c>
      <c r="K669" s="50" t="str">
        <f aca="false">C669&amp;"|"&amp;J669</f>
        <v>MOB-Q|1</v>
      </c>
      <c r="L669" s="31" t="s">
        <v>1995</v>
      </c>
      <c r="M669" s="31" t="n">
        <v>1</v>
      </c>
      <c r="N669" s="51" t="s">
        <v>462</v>
      </c>
      <c r="O669" s="35" t="s">
        <v>78</v>
      </c>
      <c r="P669" s="52"/>
      <c r="Q669" s="52"/>
      <c r="R669" s="33" t="n">
        <f aca="false">INDEX(Épopées!$L$6:$L$59,MATCH(K669,Épopées!$A$6:$A$59,0))</f>
        <v>46456</v>
      </c>
      <c r="S669" s="33" t="n">
        <f aca="false">INDEX(Épopées!$M$6:$M$59,MATCH(K669,Épopées!$A$6:$A$59,0))</f>
        <v>46472</v>
      </c>
      <c r="T669" s="53" t="s">
        <v>463</v>
      </c>
    </row>
    <row r="670" customFormat="false" ht="15" hidden="false" customHeight="false" outlineLevel="0" collapsed="false">
      <c r="A670" s="31" t="s">
        <v>2024</v>
      </c>
      <c r="B670" s="31" t="s">
        <v>342</v>
      </c>
      <c r="C670" s="31" t="s">
        <v>367</v>
      </c>
      <c r="D670" s="31" t="s">
        <v>368</v>
      </c>
      <c r="E670" s="31" t="s">
        <v>2025</v>
      </c>
      <c r="F670" s="31" t="s">
        <v>1623</v>
      </c>
      <c r="G670" s="31" t="s">
        <v>461</v>
      </c>
      <c r="H670" s="31" t="s">
        <v>41</v>
      </c>
      <c r="I670" s="31" t="n">
        <f aca="false">VLOOKUP(H670,Paramètres!$A$15:$B$19,2,FALSE())</f>
        <v>1</v>
      </c>
      <c r="J670" s="31" t="n">
        <v>1</v>
      </c>
      <c r="K670" s="50" t="str">
        <f aca="false">C670&amp;"|"&amp;J670</f>
        <v>MOB-Q|1</v>
      </c>
      <c r="L670" s="31" t="s">
        <v>2026</v>
      </c>
      <c r="M670" s="31" t="n">
        <v>1</v>
      </c>
      <c r="N670" s="51" t="s">
        <v>462</v>
      </c>
      <c r="O670" s="35" t="s">
        <v>78</v>
      </c>
      <c r="P670" s="52"/>
      <c r="Q670" s="52"/>
      <c r="R670" s="33" t="n">
        <f aca="false">INDEX(Épopées!$L$6:$L$59,MATCH(K670,Épopées!$A$6:$A$59,0))</f>
        <v>46456</v>
      </c>
      <c r="S670" s="33" t="n">
        <f aca="false">INDEX(Épopées!$M$6:$M$59,MATCH(K670,Épopées!$A$6:$A$59,0))</f>
        <v>46472</v>
      </c>
      <c r="T670" s="53" t="s">
        <v>463</v>
      </c>
    </row>
    <row r="671" customFormat="false" ht="15" hidden="false" customHeight="false" outlineLevel="0" collapsed="false">
      <c r="A671" s="31" t="s">
        <v>2027</v>
      </c>
      <c r="B671" s="31" t="s">
        <v>342</v>
      </c>
      <c r="C671" s="31" t="s">
        <v>367</v>
      </c>
      <c r="D671" s="31" t="s">
        <v>368</v>
      </c>
      <c r="E671" s="31" t="s">
        <v>2028</v>
      </c>
      <c r="F671" s="31" t="s">
        <v>1623</v>
      </c>
      <c r="G671" s="31" t="s">
        <v>466</v>
      </c>
      <c r="H671" s="31" t="s">
        <v>41</v>
      </c>
      <c r="I671" s="31" t="n">
        <f aca="false">VLOOKUP(H671,Paramètres!$A$15:$B$19,2,FALSE())</f>
        <v>1</v>
      </c>
      <c r="J671" s="31" t="n">
        <v>1</v>
      </c>
      <c r="K671" s="50" t="str">
        <f aca="false">C671&amp;"|"&amp;J671</f>
        <v>MOB-Q|1</v>
      </c>
      <c r="L671" s="31" t="s">
        <v>2029</v>
      </c>
      <c r="M671" s="31" t="n">
        <v>1</v>
      </c>
      <c r="N671" s="51" t="s">
        <v>462</v>
      </c>
      <c r="O671" s="35" t="s">
        <v>78</v>
      </c>
      <c r="P671" s="52"/>
      <c r="Q671" s="52"/>
      <c r="R671" s="33" t="n">
        <f aca="false">INDEX(Épopées!$L$6:$L$59,MATCH(K671,Épopées!$A$6:$A$59,0))</f>
        <v>46456</v>
      </c>
      <c r="S671" s="33" t="n">
        <f aca="false">INDEX(Épopées!$M$6:$M$59,MATCH(K671,Épopées!$A$6:$A$59,0))</f>
        <v>46472</v>
      </c>
      <c r="T671" s="53" t="s">
        <v>463</v>
      </c>
    </row>
    <row r="672" customFormat="false" ht="15" hidden="false" customHeight="false" outlineLevel="0" collapsed="false">
      <c r="A672" s="31" t="s">
        <v>2030</v>
      </c>
      <c r="B672" s="31" t="s">
        <v>342</v>
      </c>
      <c r="C672" s="31" t="s">
        <v>367</v>
      </c>
      <c r="D672" s="31" t="s">
        <v>368</v>
      </c>
      <c r="E672" s="31" t="s">
        <v>2031</v>
      </c>
      <c r="F672" s="31" t="s">
        <v>1623</v>
      </c>
      <c r="G672" s="31" t="s">
        <v>466</v>
      </c>
      <c r="H672" s="31" t="s">
        <v>41</v>
      </c>
      <c r="I672" s="31" t="n">
        <f aca="false">VLOOKUP(H672,Paramètres!$A$15:$B$19,2,FALSE())</f>
        <v>1</v>
      </c>
      <c r="J672" s="31" t="n">
        <v>1</v>
      </c>
      <c r="K672" s="50" t="str">
        <f aca="false">C672&amp;"|"&amp;J672</f>
        <v>MOB-Q|1</v>
      </c>
      <c r="L672" s="31" t="s">
        <v>2020</v>
      </c>
      <c r="M672" s="31" t="n">
        <v>1</v>
      </c>
      <c r="N672" s="51" t="s">
        <v>462</v>
      </c>
      <c r="O672" s="35" t="s">
        <v>78</v>
      </c>
      <c r="P672" s="52"/>
      <c r="Q672" s="52"/>
      <c r="R672" s="33" t="n">
        <f aca="false">INDEX(Épopées!$L$6:$L$59,MATCH(K672,Épopées!$A$6:$A$59,0))</f>
        <v>46456</v>
      </c>
      <c r="S672" s="33" t="n">
        <f aca="false">INDEX(Épopées!$M$6:$M$59,MATCH(K672,Épopées!$A$6:$A$59,0))</f>
        <v>46472</v>
      </c>
      <c r="T672" s="53" t="s">
        <v>463</v>
      </c>
    </row>
    <row r="673" customFormat="false" ht="15" hidden="false" customHeight="false" outlineLevel="0" collapsed="false">
      <c r="A673" s="31" t="s">
        <v>2032</v>
      </c>
      <c r="B673" s="31" t="s">
        <v>342</v>
      </c>
      <c r="C673" s="31" t="s">
        <v>367</v>
      </c>
      <c r="D673" s="31" t="s">
        <v>368</v>
      </c>
      <c r="E673" s="31" t="s">
        <v>2033</v>
      </c>
      <c r="F673" s="31" t="s">
        <v>1623</v>
      </c>
      <c r="G673" s="31" t="s">
        <v>461</v>
      </c>
      <c r="H673" s="31" t="s">
        <v>41</v>
      </c>
      <c r="I673" s="31" t="n">
        <f aca="false">VLOOKUP(H673,Paramètres!$A$15:$B$19,2,FALSE())</f>
        <v>1</v>
      </c>
      <c r="J673" s="31" t="n">
        <v>1</v>
      </c>
      <c r="K673" s="50" t="str">
        <f aca="false">C673&amp;"|"&amp;J673</f>
        <v>MOB-Q|1</v>
      </c>
      <c r="L673" s="31" t="s">
        <v>2034</v>
      </c>
      <c r="M673" s="31" t="n">
        <v>1</v>
      </c>
      <c r="N673" s="51" t="s">
        <v>462</v>
      </c>
      <c r="O673" s="35" t="s">
        <v>78</v>
      </c>
      <c r="P673" s="52"/>
      <c r="Q673" s="52"/>
      <c r="R673" s="33" t="n">
        <f aca="false">INDEX(Épopées!$L$6:$L$59,MATCH(K673,Épopées!$A$6:$A$59,0))</f>
        <v>46456</v>
      </c>
      <c r="S673" s="33" t="n">
        <f aca="false">INDEX(Épopées!$M$6:$M$59,MATCH(K673,Épopées!$A$6:$A$59,0))</f>
        <v>46472</v>
      </c>
      <c r="T673" s="53" t="s">
        <v>463</v>
      </c>
    </row>
    <row r="674" customFormat="false" ht="15" hidden="false" customHeight="false" outlineLevel="0" collapsed="false">
      <c r="A674" s="31" t="s">
        <v>2035</v>
      </c>
      <c r="B674" s="31" t="s">
        <v>342</v>
      </c>
      <c r="C674" s="31" t="s">
        <v>367</v>
      </c>
      <c r="D674" s="31" t="s">
        <v>368</v>
      </c>
      <c r="E674" s="31" t="s">
        <v>2036</v>
      </c>
      <c r="F674" s="31" t="s">
        <v>1623</v>
      </c>
      <c r="G674" s="31" t="s">
        <v>466</v>
      </c>
      <c r="H674" s="31" t="s">
        <v>39</v>
      </c>
      <c r="I674" s="31" t="n">
        <f aca="false">VLOOKUP(H674,Paramètres!$A$15:$B$19,2,FALSE())</f>
        <v>0.5</v>
      </c>
      <c r="J674" s="31" t="n">
        <v>1</v>
      </c>
      <c r="K674" s="50" t="str">
        <f aca="false">C674&amp;"|"&amp;J674</f>
        <v>MOB-Q|1</v>
      </c>
      <c r="L674" s="31" t="s">
        <v>2032</v>
      </c>
      <c r="M674" s="31" t="n">
        <v>1</v>
      </c>
      <c r="N674" s="51" t="s">
        <v>462</v>
      </c>
      <c r="O674" s="35" t="s">
        <v>78</v>
      </c>
      <c r="P674" s="52"/>
      <c r="Q674" s="52"/>
      <c r="R674" s="33" t="n">
        <f aca="false">INDEX(Épopées!$L$6:$L$59,MATCH(K674,Épopées!$A$6:$A$59,0))</f>
        <v>46456</v>
      </c>
      <c r="S674" s="33" t="n">
        <f aca="false">INDEX(Épopées!$M$6:$M$59,MATCH(K674,Épopées!$A$6:$A$59,0))</f>
        <v>46472</v>
      </c>
      <c r="T674" s="53" t="s">
        <v>463</v>
      </c>
    </row>
    <row r="675" customFormat="false" ht="15" hidden="false" customHeight="false" outlineLevel="0" collapsed="false">
      <c r="A675" s="31" t="s">
        <v>2037</v>
      </c>
      <c r="B675" s="31" t="s">
        <v>342</v>
      </c>
      <c r="C675" s="31" t="s">
        <v>367</v>
      </c>
      <c r="D675" s="31" t="s">
        <v>368</v>
      </c>
      <c r="E675" s="31" t="s">
        <v>2038</v>
      </c>
      <c r="F675" s="31" t="s">
        <v>1623</v>
      </c>
      <c r="G675" s="31" t="s">
        <v>461</v>
      </c>
      <c r="H675" s="31" t="s">
        <v>41</v>
      </c>
      <c r="I675" s="31" t="n">
        <f aca="false">VLOOKUP(H675,Paramètres!$A$15:$B$19,2,FALSE())</f>
        <v>1</v>
      </c>
      <c r="J675" s="31" t="n">
        <v>1</v>
      </c>
      <c r="K675" s="50" t="str">
        <f aca="false">C675&amp;"|"&amp;J675</f>
        <v>MOB-Q|1</v>
      </c>
      <c r="L675" s="31" t="s">
        <v>2039</v>
      </c>
      <c r="M675" s="31" t="n">
        <v>1</v>
      </c>
      <c r="N675" s="51" t="s">
        <v>462</v>
      </c>
      <c r="O675" s="35" t="s">
        <v>78</v>
      </c>
      <c r="P675" s="52"/>
      <c r="Q675" s="52"/>
      <c r="R675" s="33" t="n">
        <f aca="false">INDEX(Épopées!$L$6:$L$59,MATCH(K675,Épopées!$A$6:$A$59,0))</f>
        <v>46456</v>
      </c>
      <c r="S675" s="33" t="n">
        <f aca="false">INDEX(Épopées!$M$6:$M$59,MATCH(K675,Épopées!$A$6:$A$59,0))</f>
        <v>46472</v>
      </c>
      <c r="T675" s="53" t="s">
        <v>463</v>
      </c>
    </row>
    <row r="676" customFormat="false" ht="15" hidden="false" customHeight="false" outlineLevel="0" collapsed="false">
      <c r="A676" s="31" t="s">
        <v>2040</v>
      </c>
      <c r="B676" s="31" t="s">
        <v>342</v>
      </c>
      <c r="C676" s="31" t="s">
        <v>367</v>
      </c>
      <c r="D676" s="31" t="s">
        <v>368</v>
      </c>
      <c r="E676" s="31" t="s">
        <v>2041</v>
      </c>
      <c r="F676" s="31" t="s">
        <v>1623</v>
      </c>
      <c r="G676" s="31" t="s">
        <v>461</v>
      </c>
      <c r="H676" s="31" t="s">
        <v>41</v>
      </c>
      <c r="I676" s="31" t="n">
        <f aca="false">VLOOKUP(H676,Paramètres!$A$15:$B$19,2,FALSE())</f>
        <v>1</v>
      </c>
      <c r="J676" s="31" t="n">
        <v>1</v>
      </c>
      <c r="K676" s="50" t="str">
        <f aca="false">C676&amp;"|"&amp;J676</f>
        <v>MOB-Q|1</v>
      </c>
      <c r="L676" s="31" t="s">
        <v>2042</v>
      </c>
      <c r="M676" s="31" t="n">
        <v>1</v>
      </c>
      <c r="N676" s="51" t="s">
        <v>462</v>
      </c>
      <c r="O676" s="35" t="s">
        <v>78</v>
      </c>
      <c r="P676" s="52"/>
      <c r="Q676" s="52"/>
      <c r="R676" s="33" t="n">
        <f aca="false">INDEX(Épopées!$L$6:$L$59,MATCH(K676,Épopées!$A$6:$A$59,0))</f>
        <v>46456</v>
      </c>
      <c r="S676" s="33" t="n">
        <f aca="false">INDEX(Épopées!$M$6:$M$59,MATCH(K676,Épopées!$A$6:$A$59,0))</f>
        <v>46472</v>
      </c>
      <c r="T676" s="53" t="s">
        <v>463</v>
      </c>
    </row>
    <row r="677" customFormat="false" ht="15" hidden="false" customHeight="false" outlineLevel="0" collapsed="false">
      <c r="A677" s="31" t="s">
        <v>2043</v>
      </c>
      <c r="B677" s="31" t="s">
        <v>342</v>
      </c>
      <c r="C677" s="31" t="s">
        <v>367</v>
      </c>
      <c r="D677" s="31" t="s">
        <v>368</v>
      </c>
      <c r="E677" s="31" t="s">
        <v>2044</v>
      </c>
      <c r="F677" s="31" t="s">
        <v>469</v>
      </c>
      <c r="G677" s="31" t="s">
        <v>461</v>
      </c>
      <c r="H677" s="31" t="s">
        <v>41</v>
      </c>
      <c r="I677" s="31" t="n">
        <f aca="false">VLOOKUP(H677,Paramètres!$A$15:$B$19,2,FALSE())</f>
        <v>1</v>
      </c>
      <c r="J677" s="31" t="n">
        <v>1</v>
      </c>
      <c r="K677" s="50" t="str">
        <f aca="false">C677&amp;"|"&amp;J677</f>
        <v>MOB-Q|1</v>
      </c>
      <c r="L677" s="31" t="s">
        <v>2040</v>
      </c>
      <c r="M677" s="31" t="n">
        <v>4</v>
      </c>
      <c r="N677" s="51" t="s">
        <v>462</v>
      </c>
      <c r="O677" s="35" t="s">
        <v>78</v>
      </c>
      <c r="P677" s="52"/>
      <c r="Q677" s="52"/>
      <c r="R677" s="33" t="n">
        <f aca="false">INDEX(Épopées!$L$6:$L$59,MATCH(K677,Épopées!$A$6:$A$59,0))</f>
        <v>46456</v>
      </c>
      <c r="S677" s="33" t="n">
        <f aca="false">INDEX(Épopées!$M$6:$M$59,MATCH(K677,Épopées!$A$6:$A$59,0))</f>
        <v>46472</v>
      </c>
      <c r="T677" s="53" t="s">
        <v>463</v>
      </c>
    </row>
    <row r="678" customFormat="false" ht="15" hidden="false" customHeight="false" outlineLevel="0" collapsed="false">
      <c r="A678" s="31" t="s">
        <v>2045</v>
      </c>
      <c r="B678" s="31" t="s">
        <v>342</v>
      </c>
      <c r="C678" s="31" t="s">
        <v>367</v>
      </c>
      <c r="D678" s="31" t="s">
        <v>368</v>
      </c>
      <c r="E678" s="31" t="s">
        <v>2046</v>
      </c>
      <c r="F678" s="31" t="s">
        <v>1623</v>
      </c>
      <c r="G678" s="31" t="s">
        <v>461</v>
      </c>
      <c r="H678" s="31" t="s">
        <v>39</v>
      </c>
      <c r="I678" s="31" t="n">
        <f aca="false">VLOOKUP(H678,Paramètres!$A$15:$B$19,2,FALSE())</f>
        <v>0.5</v>
      </c>
      <c r="J678" s="31" t="n">
        <v>1</v>
      </c>
      <c r="K678" s="50" t="str">
        <f aca="false">C678&amp;"|"&amp;J678</f>
        <v>MOB-Q|1</v>
      </c>
      <c r="L678" s="31" t="s">
        <v>2043</v>
      </c>
      <c r="M678" s="31" t="n">
        <v>1</v>
      </c>
      <c r="N678" s="51" t="s">
        <v>462</v>
      </c>
      <c r="O678" s="35" t="s">
        <v>78</v>
      </c>
      <c r="P678" s="52"/>
      <c r="Q678" s="52"/>
      <c r="R678" s="33" t="n">
        <f aca="false">INDEX(Épopées!$L$6:$L$59,MATCH(K678,Épopées!$A$6:$A$59,0))</f>
        <v>46456</v>
      </c>
      <c r="S678" s="33" t="n">
        <f aca="false">INDEX(Épopées!$M$6:$M$59,MATCH(K678,Épopées!$A$6:$A$59,0))</f>
        <v>46472</v>
      </c>
      <c r="T678" s="53" t="s">
        <v>463</v>
      </c>
    </row>
    <row r="679" customFormat="false" ht="15" hidden="false" customHeight="false" outlineLevel="0" collapsed="false">
      <c r="A679" s="31" t="s">
        <v>2047</v>
      </c>
      <c r="B679" s="31" t="s">
        <v>342</v>
      </c>
      <c r="C679" s="31" t="s">
        <v>367</v>
      </c>
      <c r="D679" s="31" t="s">
        <v>368</v>
      </c>
      <c r="E679" s="31" t="s">
        <v>2048</v>
      </c>
      <c r="F679" s="31" t="s">
        <v>1623</v>
      </c>
      <c r="G679" s="31" t="s">
        <v>461</v>
      </c>
      <c r="H679" s="31" t="s">
        <v>39</v>
      </c>
      <c r="I679" s="31" t="n">
        <f aca="false">VLOOKUP(H679,Paramètres!$A$15:$B$19,2,FALSE())</f>
        <v>0.5</v>
      </c>
      <c r="J679" s="31" t="n">
        <v>1</v>
      </c>
      <c r="K679" s="50" t="str">
        <f aca="false">C679&amp;"|"&amp;J679</f>
        <v>MOB-Q|1</v>
      </c>
      <c r="L679" s="31" t="s">
        <v>2049</v>
      </c>
      <c r="M679" s="31" t="n">
        <v>1</v>
      </c>
      <c r="N679" s="51" t="s">
        <v>462</v>
      </c>
      <c r="O679" s="35" t="s">
        <v>78</v>
      </c>
      <c r="P679" s="52"/>
      <c r="Q679" s="52"/>
      <c r="R679" s="33" t="n">
        <f aca="false">INDEX(Épopées!$L$6:$L$59,MATCH(K679,Épopées!$A$6:$A$59,0))</f>
        <v>46456</v>
      </c>
      <c r="S679" s="33" t="n">
        <f aca="false">INDEX(Épopées!$M$6:$M$59,MATCH(K679,Épopées!$A$6:$A$59,0))</f>
        <v>46472</v>
      </c>
      <c r="T679" s="53" t="s">
        <v>463</v>
      </c>
    </row>
    <row r="680" customFormat="false" ht="15" hidden="false" customHeight="false" outlineLevel="0" collapsed="false">
      <c r="A680" s="31" t="s">
        <v>2050</v>
      </c>
      <c r="B680" s="31" t="s">
        <v>342</v>
      </c>
      <c r="C680" s="31" t="s">
        <v>367</v>
      </c>
      <c r="D680" s="31" t="s">
        <v>368</v>
      </c>
      <c r="E680" s="31" t="s">
        <v>2051</v>
      </c>
      <c r="F680" s="31" t="s">
        <v>1623</v>
      </c>
      <c r="G680" s="31" t="s">
        <v>466</v>
      </c>
      <c r="H680" s="31" t="s">
        <v>39</v>
      </c>
      <c r="I680" s="31" t="n">
        <f aca="false">VLOOKUP(H680,Paramètres!$A$15:$B$19,2,FALSE())</f>
        <v>0.5</v>
      </c>
      <c r="J680" s="31" t="n">
        <v>1</v>
      </c>
      <c r="K680" s="50" t="str">
        <f aca="false">C680&amp;"|"&amp;J680</f>
        <v>MOB-Q|1</v>
      </c>
      <c r="L680" s="31" t="s">
        <v>2002</v>
      </c>
      <c r="M680" s="31" t="n">
        <v>1</v>
      </c>
      <c r="N680" s="51" t="s">
        <v>462</v>
      </c>
      <c r="O680" s="35" t="s">
        <v>78</v>
      </c>
      <c r="P680" s="52"/>
      <c r="Q680" s="52"/>
      <c r="R680" s="33" t="n">
        <f aca="false">INDEX(Épopées!$L$6:$L$59,MATCH(K680,Épopées!$A$6:$A$59,0))</f>
        <v>46456</v>
      </c>
      <c r="S680" s="33" t="n">
        <f aca="false">INDEX(Épopées!$M$6:$M$59,MATCH(K680,Épopées!$A$6:$A$59,0))</f>
        <v>46472</v>
      </c>
      <c r="T680" s="53" t="s">
        <v>463</v>
      </c>
    </row>
    <row r="681" customFormat="false" ht="15" hidden="false" customHeight="false" outlineLevel="0" collapsed="false">
      <c r="A681" s="31" t="s">
        <v>2052</v>
      </c>
      <c r="B681" s="31" t="s">
        <v>342</v>
      </c>
      <c r="C681" s="31" t="s">
        <v>367</v>
      </c>
      <c r="D681" s="31" t="s">
        <v>368</v>
      </c>
      <c r="E681" s="31" t="s">
        <v>2053</v>
      </c>
      <c r="F681" s="31" t="s">
        <v>1623</v>
      </c>
      <c r="G681" s="31" t="s">
        <v>466</v>
      </c>
      <c r="H681" s="31" t="s">
        <v>41</v>
      </c>
      <c r="I681" s="31" t="n">
        <f aca="false">VLOOKUP(H681,Paramètres!$A$15:$B$19,2,FALSE())</f>
        <v>1</v>
      </c>
      <c r="J681" s="31" t="n">
        <v>1</v>
      </c>
      <c r="K681" s="50" t="str">
        <f aca="false">C681&amp;"|"&amp;J681</f>
        <v>MOB-Q|1</v>
      </c>
      <c r="L681" s="31" t="s">
        <v>2002</v>
      </c>
      <c r="M681" s="31" t="n">
        <v>1</v>
      </c>
      <c r="N681" s="51" t="s">
        <v>462</v>
      </c>
      <c r="O681" s="35" t="s">
        <v>78</v>
      </c>
      <c r="P681" s="52"/>
      <c r="Q681" s="52"/>
      <c r="R681" s="33" t="n">
        <f aca="false">INDEX(Épopées!$L$6:$L$59,MATCH(K681,Épopées!$A$6:$A$59,0))</f>
        <v>46456</v>
      </c>
      <c r="S681" s="33" t="n">
        <f aca="false">INDEX(Épopées!$M$6:$M$59,MATCH(K681,Épopées!$A$6:$A$59,0))</f>
        <v>46472</v>
      </c>
      <c r="T681" s="53" t="s">
        <v>463</v>
      </c>
    </row>
    <row r="682" customFormat="false" ht="15" hidden="false" customHeight="false" outlineLevel="0" collapsed="false">
      <c r="A682" s="31" t="s">
        <v>2054</v>
      </c>
      <c r="B682" s="31" t="s">
        <v>342</v>
      </c>
      <c r="C682" s="31" t="s">
        <v>367</v>
      </c>
      <c r="D682" s="31" t="s">
        <v>368</v>
      </c>
      <c r="E682" s="31" t="s">
        <v>2055</v>
      </c>
      <c r="F682" s="31" t="s">
        <v>469</v>
      </c>
      <c r="G682" s="31" t="s">
        <v>461</v>
      </c>
      <c r="H682" s="31" t="s">
        <v>41</v>
      </c>
      <c r="I682" s="31" t="n">
        <f aca="false">VLOOKUP(H682,Paramètres!$A$15:$B$19,2,FALSE())</f>
        <v>1</v>
      </c>
      <c r="J682" s="31" t="n">
        <v>1</v>
      </c>
      <c r="K682" s="50" t="str">
        <f aca="false">C682&amp;"|"&amp;J682</f>
        <v>MOB-Q|1</v>
      </c>
      <c r="L682" s="31" t="s">
        <v>1995</v>
      </c>
      <c r="M682" s="31" t="n">
        <v>6</v>
      </c>
      <c r="N682" s="51" t="s">
        <v>462</v>
      </c>
      <c r="O682" s="35" t="s">
        <v>78</v>
      </c>
      <c r="P682" s="52"/>
      <c r="Q682" s="52"/>
      <c r="R682" s="33" t="n">
        <f aca="false">INDEX(Épopées!$L$6:$L$59,MATCH(K682,Épopées!$A$6:$A$59,0))</f>
        <v>46456</v>
      </c>
      <c r="S682" s="33" t="n">
        <f aca="false">INDEX(Épopées!$M$6:$M$59,MATCH(K682,Épopées!$A$6:$A$59,0))</f>
        <v>46472</v>
      </c>
      <c r="T682" s="53" t="s">
        <v>463</v>
      </c>
    </row>
    <row r="683" customFormat="false" ht="15" hidden="false" customHeight="false" outlineLevel="0" collapsed="false">
      <c r="A683" s="31" t="s">
        <v>2056</v>
      </c>
      <c r="B683" s="31" t="s">
        <v>342</v>
      </c>
      <c r="C683" s="31" t="s">
        <v>367</v>
      </c>
      <c r="D683" s="31" t="s">
        <v>368</v>
      </c>
      <c r="E683" s="31" t="s">
        <v>2057</v>
      </c>
      <c r="F683" s="31" t="s">
        <v>1863</v>
      </c>
      <c r="G683" s="31" t="s">
        <v>466</v>
      </c>
      <c r="H683" s="31" t="s">
        <v>39</v>
      </c>
      <c r="I683" s="31" t="n">
        <f aca="false">VLOOKUP(H683,Paramètres!$A$15:$B$19,2,FALSE())</f>
        <v>0.5</v>
      </c>
      <c r="J683" s="31" t="n">
        <v>1</v>
      </c>
      <c r="K683" s="50" t="str">
        <f aca="false">C683&amp;"|"&amp;J683</f>
        <v>MOB-Q|1</v>
      </c>
      <c r="L683" s="31" t="s">
        <v>2058</v>
      </c>
      <c r="M683" s="31" t="n">
        <v>6</v>
      </c>
      <c r="N683" s="51" t="s">
        <v>462</v>
      </c>
      <c r="O683" s="35" t="s">
        <v>78</v>
      </c>
      <c r="P683" s="52"/>
      <c r="Q683" s="52"/>
      <c r="R683" s="33" t="n">
        <f aca="false">INDEX(Épopées!$L$6:$L$59,MATCH(K683,Épopées!$A$6:$A$59,0))</f>
        <v>46456</v>
      </c>
      <c r="S683" s="33" t="n">
        <f aca="false">INDEX(Épopées!$M$6:$M$59,MATCH(K683,Épopées!$A$6:$A$59,0))</f>
        <v>46472</v>
      </c>
      <c r="T683" s="53" t="s">
        <v>463</v>
      </c>
    </row>
    <row r="684" customFormat="false" ht="15" hidden="false" customHeight="false" outlineLevel="0" collapsed="false">
      <c r="A684" s="31" t="s">
        <v>2059</v>
      </c>
      <c r="B684" s="31" t="s">
        <v>342</v>
      </c>
      <c r="C684" s="31" t="s">
        <v>367</v>
      </c>
      <c r="D684" s="31" t="s">
        <v>368</v>
      </c>
      <c r="E684" s="31" t="s">
        <v>2060</v>
      </c>
      <c r="F684" s="31" t="s">
        <v>588</v>
      </c>
      <c r="G684" s="31" t="s">
        <v>466</v>
      </c>
      <c r="H684" s="31" t="s">
        <v>39</v>
      </c>
      <c r="I684" s="31" t="n">
        <f aca="false">VLOOKUP(H684,Paramètres!$A$15:$B$19,2,FALSE())</f>
        <v>0.5</v>
      </c>
      <c r="J684" s="31" t="n">
        <v>1</v>
      </c>
      <c r="K684" s="50" t="str">
        <f aca="false">C684&amp;"|"&amp;J684</f>
        <v>MOB-Q|1</v>
      </c>
      <c r="L684" s="31" t="s">
        <v>2002</v>
      </c>
      <c r="M684" s="31" t="n">
        <v>18</v>
      </c>
      <c r="N684" s="51" t="s">
        <v>462</v>
      </c>
      <c r="O684" s="35" t="s">
        <v>78</v>
      </c>
      <c r="P684" s="52"/>
      <c r="Q684" s="52"/>
      <c r="R684" s="33" t="n">
        <f aca="false">INDEX(Épopées!$L$6:$L$59,MATCH(K684,Épopées!$A$6:$A$59,0))</f>
        <v>46456</v>
      </c>
      <c r="S684" s="33" t="n">
        <f aca="false">INDEX(Épopées!$M$6:$M$59,MATCH(K684,Épopées!$A$6:$A$59,0))</f>
        <v>46472</v>
      </c>
      <c r="T684" s="53" t="s">
        <v>463</v>
      </c>
    </row>
    <row r="685" customFormat="false" ht="15" hidden="false" customHeight="false" outlineLevel="0" collapsed="false">
      <c r="A685" s="31" t="s">
        <v>2061</v>
      </c>
      <c r="B685" s="31" t="s">
        <v>342</v>
      </c>
      <c r="C685" s="31" t="s">
        <v>367</v>
      </c>
      <c r="D685" s="31" t="s">
        <v>368</v>
      </c>
      <c r="E685" s="31" t="s">
        <v>2062</v>
      </c>
      <c r="F685" s="31" t="s">
        <v>472</v>
      </c>
      <c r="G685" s="31" t="s">
        <v>466</v>
      </c>
      <c r="H685" s="31" t="s">
        <v>41</v>
      </c>
      <c r="I685" s="31" t="n">
        <f aca="false">VLOOKUP(H685,Paramètres!$A$15:$B$19,2,FALSE())</f>
        <v>1</v>
      </c>
      <c r="J685" s="31" t="n">
        <v>1</v>
      </c>
      <c r="K685" s="50" t="str">
        <f aca="false">C685&amp;"|"&amp;J685</f>
        <v>MOB-Q|1</v>
      </c>
      <c r="L685" s="31" t="s">
        <v>2063</v>
      </c>
      <c r="M685" s="31" t="n">
        <v>18</v>
      </c>
      <c r="N685" s="51" t="s">
        <v>462</v>
      </c>
      <c r="O685" s="35" t="s">
        <v>78</v>
      </c>
      <c r="P685" s="52"/>
      <c r="Q685" s="52"/>
      <c r="R685" s="33" t="n">
        <f aca="false">INDEX(Épopées!$L$6:$L$59,MATCH(K685,Épopées!$A$6:$A$59,0))</f>
        <v>46456</v>
      </c>
      <c r="S685" s="33" t="n">
        <f aca="false">INDEX(Épopées!$M$6:$M$59,MATCH(K685,Épopées!$A$6:$A$59,0))</f>
        <v>46472</v>
      </c>
      <c r="T685" s="53" t="s">
        <v>463</v>
      </c>
    </row>
    <row r="686" customFormat="false" ht="15" hidden="false" customHeight="false" outlineLevel="0" collapsed="false">
      <c r="A686" s="31" t="s">
        <v>2064</v>
      </c>
      <c r="B686" s="31" t="s">
        <v>342</v>
      </c>
      <c r="C686" s="31" t="s">
        <v>370</v>
      </c>
      <c r="D686" s="31" t="s">
        <v>371</v>
      </c>
      <c r="E686" s="31" t="s">
        <v>2065</v>
      </c>
      <c r="F686" s="31" t="s">
        <v>481</v>
      </c>
      <c r="G686" s="31" t="s">
        <v>461</v>
      </c>
      <c r="H686" s="31" t="s">
        <v>39</v>
      </c>
      <c r="I686" s="31" t="n">
        <f aca="false">VLOOKUP(H686,Paramètres!$A$15:$B$19,2,FALSE())</f>
        <v>0.5</v>
      </c>
      <c r="J686" s="31" t="n">
        <v>1</v>
      </c>
      <c r="K686" s="50" t="str">
        <f aca="false">C686&amp;"|"&amp;J686</f>
        <v>MOB-C|1</v>
      </c>
      <c r="L686" s="31"/>
      <c r="M686" s="31" t="n">
        <v>2</v>
      </c>
      <c r="N686" s="51" t="s">
        <v>462</v>
      </c>
      <c r="O686" s="35" t="s">
        <v>78</v>
      </c>
      <c r="P686" s="52"/>
      <c r="Q686" s="52"/>
      <c r="R686" s="33" t="n">
        <f aca="false">INDEX(Épopées!$L$6:$L$59,MATCH(K686,Épopées!$A$6:$A$59,0))</f>
        <v>46475</v>
      </c>
      <c r="S686" s="33" t="n">
        <f aca="false">INDEX(Épopées!$M$6:$M$59,MATCH(K686,Épopées!$A$6:$A$59,0))</f>
        <v>46490</v>
      </c>
      <c r="T686" s="53" t="s">
        <v>463</v>
      </c>
    </row>
    <row r="687" customFormat="false" ht="15" hidden="false" customHeight="false" outlineLevel="0" collapsed="false">
      <c r="A687" s="31" t="s">
        <v>2066</v>
      </c>
      <c r="B687" s="31" t="s">
        <v>342</v>
      </c>
      <c r="C687" s="31" t="s">
        <v>370</v>
      </c>
      <c r="D687" s="31" t="s">
        <v>371</v>
      </c>
      <c r="E687" s="31" t="s">
        <v>2067</v>
      </c>
      <c r="F687" s="31" t="s">
        <v>486</v>
      </c>
      <c r="G687" s="31" t="s">
        <v>461</v>
      </c>
      <c r="H687" s="31" t="s">
        <v>41</v>
      </c>
      <c r="I687" s="31" t="n">
        <f aca="false">VLOOKUP(H687,Paramètres!$A$15:$B$19,2,FALSE())</f>
        <v>1</v>
      </c>
      <c r="J687" s="31" t="n">
        <v>1</v>
      </c>
      <c r="K687" s="50" t="str">
        <f aca="false">C687&amp;"|"&amp;J687</f>
        <v>MOB-C|1</v>
      </c>
      <c r="L687" s="31" t="s">
        <v>2064</v>
      </c>
      <c r="M687" s="31" t="n">
        <v>5</v>
      </c>
      <c r="N687" s="51" t="s">
        <v>462</v>
      </c>
      <c r="O687" s="35" t="s">
        <v>78</v>
      </c>
      <c r="P687" s="52"/>
      <c r="Q687" s="52"/>
      <c r="R687" s="33" t="n">
        <f aca="false">INDEX(Épopées!$L$6:$L$59,MATCH(K687,Épopées!$A$6:$A$59,0))</f>
        <v>46475</v>
      </c>
      <c r="S687" s="33" t="n">
        <f aca="false">INDEX(Épopées!$M$6:$M$59,MATCH(K687,Épopées!$A$6:$A$59,0))</f>
        <v>46490</v>
      </c>
      <c r="T687" s="53" t="s">
        <v>463</v>
      </c>
    </row>
    <row r="688" customFormat="false" ht="15" hidden="false" customHeight="false" outlineLevel="0" collapsed="false">
      <c r="A688" s="31" t="s">
        <v>2068</v>
      </c>
      <c r="B688" s="31" t="s">
        <v>342</v>
      </c>
      <c r="C688" s="31" t="s">
        <v>370</v>
      </c>
      <c r="D688" s="31" t="s">
        <v>371</v>
      </c>
      <c r="E688" s="31" t="s">
        <v>2069</v>
      </c>
      <c r="F688" s="31" t="s">
        <v>460</v>
      </c>
      <c r="G688" s="31" t="s">
        <v>461</v>
      </c>
      <c r="H688" s="31" t="s">
        <v>41</v>
      </c>
      <c r="I688" s="31" t="n">
        <f aca="false">VLOOKUP(H688,Paramètres!$A$15:$B$19,2,FALSE())</f>
        <v>1</v>
      </c>
      <c r="J688" s="31" t="n">
        <v>1</v>
      </c>
      <c r="K688" s="50" t="str">
        <f aca="false">C688&amp;"|"&amp;J688</f>
        <v>MOB-C|1</v>
      </c>
      <c r="L688" s="31" t="s">
        <v>2066</v>
      </c>
      <c r="M688" s="31" t="n">
        <v>3</v>
      </c>
      <c r="N688" s="51" t="s">
        <v>462</v>
      </c>
      <c r="O688" s="35" t="s">
        <v>78</v>
      </c>
      <c r="P688" s="52"/>
      <c r="Q688" s="52"/>
      <c r="R688" s="33" t="n">
        <f aca="false">INDEX(Épopées!$L$6:$L$59,MATCH(K688,Épopées!$A$6:$A$59,0))</f>
        <v>46475</v>
      </c>
      <c r="S688" s="33" t="n">
        <f aca="false">INDEX(Épopées!$M$6:$M$59,MATCH(K688,Épopées!$A$6:$A$59,0))</f>
        <v>46490</v>
      </c>
      <c r="T688" s="53" t="s">
        <v>463</v>
      </c>
    </row>
    <row r="689" customFormat="false" ht="15" hidden="false" customHeight="false" outlineLevel="0" collapsed="false">
      <c r="A689" s="31" t="s">
        <v>2070</v>
      </c>
      <c r="B689" s="31" t="s">
        <v>342</v>
      </c>
      <c r="C689" s="31" t="s">
        <v>370</v>
      </c>
      <c r="D689" s="31" t="s">
        <v>371</v>
      </c>
      <c r="E689" s="31" t="s">
        <v>2071</v>
      </c>
      <c r="F689" s="31" t="s">
        <v>486</v>
      </c>
      <c r="G689" s="31" t="s">
        <v>461</v>
      </c>
      <c r="H689" s="31" t="s">
        <v>41</v>
      </c>
      <c r="I689" s="31" t="n">
        <f aca="false">VLOOKUP(H689,Paramètres!$A$15:$B$19,2,FALSE())</f>
        <v>1</v>
      </c>
      <c r="J689" s="31" t="n">
        <v>1</v>
      </c>
      <c r="K689" s="50" t="str">
        <f aca="false">C689&amp;"|"&amp;J689</f>
        <v>MOB-C|1</v>
      </c>
      <c r="L689" s="31" t="s">
        <v>2066</v>
      </c>
      <c r="M689" s="31" t="n">
        <v>2</v>
      </c>
      <c r="N689" s="51" t="s">
        <v>462</v>
      </c>
      <c r="O689" s="35" t="s">
        <v>78</v>
      </c>
      <c r="P689" s="52"/>
      <c r="Q689" s="52"/>
      <c r="R689" s="33" t="n">
        <f aca="false">INDEX(Épopées!$L$6:$L$59,MATCH(K689,Épopées!$A$6:$A$59,0))</f>
        <v>46475</v>
      </c>
      <c r="S689" s="33" t="n">
        <f aca="false">INDEX(Épopées!$M$6:$M$59,MATCH(K689,Épopées!$A$6:$A$59,0))</f>
        <v>46490</v>
      </c>
      <c r="T689" s="53" t="s">
        <v>463</v>
      </c>
    </row>
    <row r="690" customFormat="false" ht="15" hidden="false" customHeight="false" outlineLevel="0" collapsed="false">
      <c r="A690" s="31" t="s">
        <v>2072</v>
      </c>
      <c r="B690" s="31" t="s">
        <v>342</v>
      </c>
      <c r="C690" s="31" t="s">
        <v>370</v>
      </c>
      <c r="D690" s="31" t="s">
        <v>371</v>
      </c>
      <c r="E690" s="31" t="s">
        <v>2073</v>
      </c>
      <c r="F690" s="31" t="s">
        <v>491</v>
      </c>
      <c r="G690" s="31" t="s">
        <v>461</v>
      </c>
      <c r="H690" s="31" t="s">
        <v>41</v>
      </c>
      <c r="I690" s="31" t="n">
        <f aca="false">VLOOKUP(H690,Paramètres!$A$15:$B$19,2,FALSE())</f>
        <v>1</v>
      </c>
      <c r="J690" s="31" t="n">
        <v>1</v>
      </c>
      <c r="K690" s="50" t="str">
        <f aca="false">C690&amp;"|"&amp;J690</f>
        <v>MOB-C|1</v>
      </c>
      <c r="L690" s="31" t="s">
        <v>2074</v>
      </c>
      <c r="M690" s="31" t="n">
        <v>4</v>
      </c>
      <c r="N690" s="51" t="s">
        <v>462</v>
      </c>
      <c r="O690" s="35" t="s">
        <v>78</v>
      </c>
      <c r="P690" s="52"/>
      <c r="Q690" s="52"/>
      <c r="R690" s="33" t="n">
        <f aca="false">INDEX(Épopées!$L$6:$L$59,MATCH(K690,Épopées!$A$6:$A$59,0))</f>
        <v>46475</v>
      </c>
      <c r="S690" s="33" t="n">
        <f aca="false">INDEX(Épopées!$M$6:$M$59,MATCH(K690,Épopées!$A$6:$A$59,0))</f>
        <v>46490</v>
      </c>
      <c r="T690" s="53" t="s">
        <v>463</v>
      </c>
    </row>
    <row r="691" customFormat="false" ht="15" hidden="false" customHeight="false" outlineLevel="0" collapsed="false">
      <c r="A691" s="31" t="s">
        <v>2075</v>
      </c>
      <c r="B691" s="31" t="s">
        <v>342</v>
      </c>
      <c r="C691" s="31" t="s">
        <v>370</v>
      </c>
      <c r="D691" s="31" t="s">
        <v>371</v>
      </c>
      <c r="E691" s="31" t="s">
        <v>2076</v>
      </c>
      <c r="F691" s="31" t="s">
        <v>491</v>
      </c>
      <c r="G691" s="31" t="s">
        <v>461</v>
      </c>
      <c r="H691" s="31" t="s">
        <v>43</v>
      </c>
      <c r="I691" s="31" t="n">
        <f aca="false">VLOOKUP(H691,Paramètres!$A$15:$B$19,2,FALSE())</f>
        <v>2</v>
      </c>
      <c r="J691" s="31" t="n">
        <v>1</v>
      </c>
      <c r="K691" s="50" t="str">
        <f aca="false">C691&amp;"|"&amp;J691</f>
        <v>MOB-C|1</v>
      </c>
      <c r="L691" s="31" t="s">
        <v>2072</v>
      </c>
      <c r="M691" s="31" t="n">
        <v>5</v>
      </c>
      <c r="N691" s="51" t="s">
        <v>462</v>
      </c>
      <c r="O691" s="35" t="s">
        <v>78</v>
      </c>
      <c r="P691" s="52"/>
      <c r="Q691" s="52"/>
      <c r="R691" s="33" t="n">
        <f aca="false">INDEX(Épopées!$L$6:$L$59,MATCH(K691,Épopées!$A$6:$A$59,0))</f>
        <v>46475</v>
      </c>
      <c r="S691" s="33" t="n">
        <f aca="false">INDEX(Épopées!$M$6:$M$59,MATCH(K691,Épopées!$A$6:$A$59,0))</f>
        <v>46490</v>
      </c>
      <c r="T691" s="53" t="s">
        <v>463</v>
      </c>
    </row>
    <row r="692" customFormat="false" ht="15" hidden="false" customHeight="false" outlineLevel="0" collapsed="false">
      <c r="A692" s="31" t="s">
        <v>2077</v>
      </c>
      <c r="B692" s="31" t="s">
        <v>342</v>
      </c>
      <c r="C692" s="31" t="s">
        <v>370</v>
      </c>
      <c r="D692" s="31" t="s">
        <v>371</v>
      </c>
      <c r="E692" s="31" t="s">
        <v>2078</v>
      </c>
      <c r="F692" s="31" t="s">
        <v>1623</v>
      </c>
      <c r="G692" s="31" t="s">
        <v>461</v>
      </c>
      <c r="H692" s="31" t="s">
        <v>41</v>
      </c>
      <c r="I692" s="31" t="n">
        <f aca="false">VLOOKUP(H692,Paramètres!$A$15:$B$19,2,FALSE())</f>
        <v>1</v>
      </c>
      <c r="J692" s="31" t="n">
        <v>1</v>
      </c>
      <c r="K692" s="50" t="str">
        <f aca="false">C692&amp;"|"&amp;J692</f>
        <v>MOB-C|1</v>
      </c>
      <c r="L692" s="31" t="s">
        <v>2079</v>
      </c>
      <c r="M692" s="31" t="n">
        <v>2</v>
      </c>
      <c r="N692" s="51" t="s">
        <v>462</v>
      </c>
      <c r="O692" s="35" t="s">
        <v>78</v>
      </c>
      <c r="P692" s="52"/>
      <c r="Q692" s="52"/>
      <c r="R692" s="33" t="n">
        <f aca="false">INDEX(Épopées!$L$6:$L$59,MATCH(K692,Épopées!$A$6:$A$59,0))</f>
        <v>46475</v>
      </c>
      <c r="S692" s="33" t="n">
        <f aca="false">INDEX(Épopées!$M$6:$M$59,MATCH(K692,Épopées!$A$6:$A$59,0))</f>
        <v>46490</v>
      </c>
      <c r="T692" s="53" t="s">
        <v>463</v>
      </c>
    </row>
    <row r="693" customFormat="false" ht="15" hidden="false" customHeight="false" outlineLevel="0" collapsed="false">
      <c r="A693" s="31" t="s">
        <v>2080</v>
      </c>
      <c r="B693" s="31" t="s">
        <v>342</v>
      </c>
      <c r="C693" s="31" t="s">
        <v>370</v>
      </c>
      <c r="D693" s="31" t="s">
        <v>371</v>
      </c>
      <c r="E693" s="31" t="s">
        <v>2081</v>
      </c>
      <c r="F693" s="31" t="s">
        <v>1623</v>
      </c>
      <c r="G693" s="31" t="s">
        <v>461</v>
      </c>
      <c r="H693" s="31" t="s">
        <v>41</v>
      </c>
      <c r="I693" s="31" t="n">
        <f aca="false">VLOOKUP(H693,Paramètres!$A$15:$B$19,2,FALSE())</f>
        <v>1</v>
      </c>
      <c r="J693" s="31" t="n">
        <v>1</v>
      </c>
      <c r="K693" s="50" t="str">
        <f aca="false">C693&amp;"|"&amp;J693</f>
        <v>MOB-C|1</v>
      </c>
      <c r="L693" s="31" t="s">
        <v>2082</v>
      </c>
      <c r="M693" s="31" t="n">
        <v>6</v>
      </c>
      <c r="N693" s="51" t="s">
        <v>462</v>
      </c>
      <c r="O693" s="35" t="s">
        <v>78</v>
      </c>
      <c r="P693" s="52"/>
      <c r="Q693" s="52"/>
      <c r="R693" s="33" t="n">
        <f aca="false">INDEX(Épopées!$L$6:$L$59,MATCH(K693,Épopées!$A$6:$A$59,0))</f>
        <v>46475</v>
      </c>
      <c r="S693" s="33" t="n">
        <f aca="false">INDEX(Épopées!$M$6:$M$59,MATCH(K693,Épopées!$A$6:$A$59,0))</f>
        <v>46490</v>
      </c>
      <c r="T693" s="53" t="s">
        <v>463</v>
      </c>
    </row>
    <row r="694" customFormat="false" ht="15" hidden="false" customHeight="false" outlineLevel="0" collapsed="false">
      <c r="A694" s="31" t="s">
        <v>2083</v>
      </c>
      <c r="B694" s="31" t="s">
        <v>342</v>
      </c>
      <c r="C694" s="31" t="s">
        <v>370</v>
      </c>
      <c r="D694" s="31" t="s">
        <v>371</v>
      </c>
      <c r="E694" s="31" t="s">
        <v>2084</v>
      </c>
      <c r="F694" s="31" t="s">
        <v>491</v>
      </c>
      <c r="G694" s="31" t="s">
        <v>461</v>
      </c>
      <c r="H694" s="31" t="s">
        <v>39</v>
      </c>
      <c r="I694" s="31" t="n">
        <f aca="false">VLOOKUP(H694,Paramètres!$A$15:$B$19,2,FALSE())</f>
        <v>0.5</v>
      </c>
      <c r="J694" s="31" t="n">
        <v>1</v>
      </c>
      <c r="K694" s="50" t="str">
        <f aca="false">C694&amp;"|"&amp;J694</f>
        <v>MOB-C|1</v>
      </c>
      <c r="L694" s="31"/>
      <c r="M694" s="31" t="n">
        <v>3</v>
      </c>
      <c r="N694" s="51" t="s">
        <v>462</v>
      </c>
      <c r="O694" s="35" t="s">
        <v>78</v>
      </c>
      <c r="P694" s="52"/>
      <c r="Q694" s="52"/>
      <c r="R694" s="33" t="n">
        <f aca="false">INDEX(Épopées!$L$6:$L$59,MATCH(K694,Épopées!$A$6:$A$59,0))</f>
        <v>46475</v>
      </c>
      <c r="S694" s="33" t="n">
        <f aca="false">INDEX(Épopées!$M$6:$M$59,MATCH(K694,Épopées!$A$6:$A$59,0))</f>
        <v>46490</v>
      </c>
      <c r="T694" s="53" t="s">
        <v>463</v>
      </c>
    </row>
    <row r="695" customFormat="false" ht="15" hidden="false" customHeight="false" outlineLevel="0" collapsed="false">
      <c r="A695" s="31" t="s">
        <v>2085</v>
      </c>
      <c r="B695" s="31" t="s">
        <v>342</v>
      </c>
      <c r="C695" s="31" t="s">
        <v>370</v>
      </c>
      <c r="D695" s="31" t="s">
        <v>371</v>
      </c>
      <c r="E695" s="31" t="s">
        <v>2086</v>
      </c>
      <c r="F695" s="31" t="s">
        <v>1623</v>
      </c>
      <c r="G695" s="31" t="s">
        <v>461</v>
      </c>
      <c r="H695" s="31" t="s">
        <v>41</v>
      </c>
      <c r="I695" s="31" t="n">
        <f aca="false">VLOOKUP(H695,Paramètres!$A$15:$B$19,2,FALSE())</f>
        <v>1</v>
      </c>
      <c r="J695" s="31" t="n">
        <v>1</v>
      </c>
      <c r="K695" s="50" t="str">
        <f aca="false">C695&amp;"|"&amp;J695</f>
        <v>MOB-C|1</v>
      </c>
      <c r="L695" s="31" t="s">
        <v>2080</v>
      </c>
      <c r="M695" s="31" t="n">
        <v>1</v>
      </c>
      <c r="N695" s="51" t="s">
        <v>462</v>
      </c>
      <c r="O695" s="35" t="s">
        <v>78</v>
      </c>
      <c r="P695" s="52"/>
      <c r="Q695" s="52"/>
      <c r="R695" s="33" t="n">
        <f aca="false">INDEX(Épopées!$L$6:$L$59,MATCH(K695,Épopées!$A$6:$A$59,0))</f>
        <v>46475</v>
      </c>
      <c r="S695" s="33" t="n">
        <f aca="false">INDEX(Épopées!$M$6:$M$59,MATCH(K695,Épopées!$A$6:$A$59,0))</f>
        <v>46490</v>
      </c>
      <c r="T695" s="53" t="s">
        <v>463</v>
      </c>
    </row>
    <row r="696" customFormat="false" ht="15" hidden="false" customHeight="false" outlineLevel="0" collapsed="false">
      <c r="A696" s="31" t="s">
        <v>2087</v>
      </c>
      <c r="B696" s="31" t="s">
        <v>342</v>
      </c>
      <c r="C696" s="31" t="s">
        <v>370</v>
      </c>
      <c r="D696" s="31" t="s">
        <v>371</v>
      </c>
      <c r="E696" s="31" t="s">
        <v>2088</v>
      </c>
      <c r="F696" s="31" t="s">
        <v>1623</v>
      </c>
      <c r="G696" s="31" t="s">
        <v>466</v>
      </c>
      <c r="H696" s="31" t="s">
        <v>39</v>
      </c>
      <c r="I696" s="31" t="n">
        <f aca="false">VLOOKUP(H696,Paramètres!$A$15:$B$19,2,FALSE())</f>
        <v>0.5</v>
      </c>
      <c r="J696" s="31" t="n">
        <v>1</v>
      </c>
      <c r="K696" s="50" t="str">
        <f aca="false">C696&amp;"|"&amp;J696</f>
        <v>MOB-C|1</v>
      </c>
      <c r="L696" s="31" t="s">
        <v>2080</v>
      </c>
      <c r="M696" s="31" t="n">
        <v>1</v>
      </c>
      <c r="N696" s="51" t="s">
        <v>462</v>
      </c>
      <c r="O696" s="35" t="s">
        <v>78</v>
      </c>
      <c r="P696" s="52"/>
      <c r="Q696" s="52"/>
      <c r="R696" s="33" t="n">
        <f aca="false">INDEX(Épopées!$L$6:$L$59,MATCH(K696,Épopées!$A$6:$A$59,0))</f>
        <v>46475</v>
      </c>
      <c r="S696" s="33" t="n">
        <f aca="false">INDEX(Épopées!$M$6:$M$59,MATCH(K696,Épopées!$A$6:$A$59,0))</f>
        <v>46490</v>
      </c>
      <c r="T696" s="53" t="s">
        <v>463</v>
      </c>
    </row>
    <row r="697" customFormat="false" ht="15" hidden="false" customHeight="false" outlineLevel="0" collapsed="false">
      <c r="A697" s="31" t="s">
        <v>2089</v>
      </c>
      <c r="B697" s="31" t="s">
        <v>342</v>
      </c>
      <c r="C697" s="31" t="s">
        <v>370</v>
      </c>
      <c r="D697" s="31" t="s">
        <v>371</v>
      </c>
      <c r="E697" s="31" t="s">
        <v>2090</v>
      </c>
      <c r="F697" s="31" t="s">
        <v>1623</v>
      </c>
      <c r="G697" s="31" t="s">
        <v>461</v>
      </c>
      <c r="H697" s="31" t="s">
        <v>43</v>
      </c>
      <c r="I697" s="31" t="n">
        <f aca="false">VLOOKUP(H697,Paramètres!$A$15:$B$19,2,FALSE())</f>
        <v>2</v>
      </c>
      <c r="J697" s="31" t="n">
        <v>1</v>
      </c>
      <c r="K697" s="50" t="str">
        <f aca="false">C697&amp;"|"&amp;J697</f>
        <v>MOB-C|1</v>
      </c>
      <c r="L697" s="31" t="s">
        <v>2077</v>
      </c>
      <c r="M697" s="31" t="n">
        <v>4</v>
      </c>
      <c r="N697" s="51" t="s">
        <v>462</v>
      </c>
      <c r="O697" s="35" t="s">
        <v>78</v>
      </c>
      <c r="P697" s="52"/>
      <c r="Q697" s="52"/>
      <c r="R697" s="33" t="n">
        <f aca="false">INDEX(Épopées!$L$6:$L$59,MATCH(K697,Épopées!$A$6:$A$59,0))</f>
        <v>46475</v>
      </c>
      <c r="S697" s="33" t="n">
        <f aca="false">INDEX(Épopées!$M$6:$M$59,MATCH(K697,Épopées!$A$6:$A$59,0))</f>
        <v>46490</v>
      </c>
      <c r="T697" s="53" t="s">
        <v>463</v>
      </c>
    </row>
    <row r="698" customFormat="false" ht="15" hidden="false" customHeight="false" outlineLevel="0" collapsed="false">
      <c r="A698" s="31" t="s">
        <v>2091</v>
      </c>
      <c r="B698" s="31" t="s">
        <v>342</v>
      </c>
      <c r="C698" s="31" t="s">
        <v>370</v>
      </c>
      <c r="D698" s="31" t="s">
        <v>371</v>
      </c>
      <c r="E698" s="31" t="s">
        <v>2092</v>
      </c>
      <c r="F698" s="31" t="s">
        <v>1623</v>
      </c>
      <c r="G698" s="31" t="s">
        <v>466</v>
      </c>
      <c r="H698" s="31" t="s">
        <v>39</v>
      </c>
      <c r="I698" s="31" t="n">
        <f aca="false">VLOOKUP(H698,Paramètres!$A$15:$B$19,2,FALSE())</f>
        <v>0.5</v>
      </c>
      <c r="J698" s="31" t="n">
        <v>1</v>
      </c>
      <c r="K698" s="50" t="str">
        <f aca="false">C698&amp;"|"&amp;J698</f>
        <v>MOB-C|1</v>
      </c>
      <c r="L698" s="31" t="s">
        <v>2077</v>
      </c>
      <c r="M698" s="31" t="n">
        <v>3</v>
      </c>
      <c r="N698" s="51" t="s">
        <v>462</v>
      </c>
      <c r="O698" s="35" t="s">
        <v>78</v>
      </c>
      <c r="P698" s="52"/>
      <c r="Q698" s="52"/>
      <c r="R698" s="33" t="n">
        <f aca="false">INDEX(Épopées!$L$6:$L$59,MATCH(K698,Épopées!$A$6:$A$59,0))</f>
        <v>46475</v>
      </c>
      <c r="S698" s="33" t="n">
        <f aca="false">INDEX(Épopées!$M$6:$M$59,MATCH(K698,Épopées!$A$6:$A$59,0))</f>
        <v>46490</v>
      </c>
      <c r="T698" s="53" t="s">
        <v>463</v>
      </c>
    </row>
    <row r="699" customFormat="false" ht="15" hidden="false" customHeight="false" outlineLevel="0" collapsed="false">
      <c r="A699" s="31" t="s">
        <v>2093</v>
      </c>
      <c r="B699" s="31" t="s">
        <v>342</v>
      </c>
      <c r="C699" s="31" t="s">
        <v>370</v>
      </c>
      <c r="D699" s="31" t="s">
        <v>371</v>
      </c>
      <c r="E699" s="31" t="s">
        <v>2094</v>
      </c>
      <c r="F699" s="31" t="s">
        <v>1623</v>
      </c>
      <c r="G699" s="31" t="s">
        <v>461</v>
      </c>
      <c r="H699" s="31" t="s">
        <v>41</v>
      </c>
      <c r="I699" s="31" t="n">
        <f aca="false">VLOOKUP(H699,Paramètres!$A$15:$B$19,2,FALSE())</f>
        <v>1</v>
      </c>
      <c r="J699" s="31" t="n">
        <v>1</v>
      </c>
      <c r="K699" s="50" t="str">
        <f aca="false">C699&amp;"|"&amp;J699</f>
        <v>MOB-C|1</v>
      </c>
      <c r="L699" s="31" t="s">
        <v>2077</v>
      </c>
      <c r="M699" s="31" t="n">
        <v>4</v>
      </c>
      <c r="N699" s="51" t="s">
        <v>462</v>
      </c>
      <c r="O699" s="35" t="s">
        <v>78</v>
      </c>
      <c r="P699" s="52"/>
      <c r="Q699" s="52"/>
      <c r="R699" s="33" t="n">
        <f aca="false">INDEX(Épopées!$L$6:$L$59,MATCH(K699,Épopées!$A$6:$A$59,0))</f>
        <v>46475</v>
      </c>
      <c r="S699" s="33" t="n">
        <f aca="false">INDEX(Épopées!$M$6:$M$59,MATCH(K699,Épopées!$A$6:$A$59,0))</f>
        <v>46490</v>
      </c>
      <c r="T699" s="53" t="s">
        <v>463</v>
      </c>
    </row>
    <row r="700" customFormat="false" ht="15" hidden="false" customHeight="false" outlineLevel="0" collapsed="false">
      <c r="A700" s="31" t="s">
        <v>2095</v>
      </c>
      <c r="B700" s="31" t="s">
        <v>342</v>
      </c>
      <c r="C700" s="31" t="s">
        <v>370</v>
      </c>
      <c r="D700" s="31" t="s">
        <v>371</v>
      </c>
      <c r="E700" s="31" t="s">
        <v>2096</v>
      </c>
      <c r="F700" s="31" t="s">
        <v>1623</v>
      </c>
      <c r="G700" s="31" t="s">
        <v>461</v>
      </c>
      <c r="H700" s="31" t="s">
        <v>41</v>
      </c>
      <c r="I700" s="31" t="n">
        <f aca="false">VLOOKUP(H700,Paramètres!$A$15:$B$19,2,FALSE())</f>
        <v>1</v>
      </c>
      <c r="J700" s="31" t="n">
        <v>1</v>
      </c>
      <c r="K700" s="50" t="str">
        <f aca="false">C700&amp;"|"&amp;J700</f>
        <v>MOB-C|1</v>
      </c>
      <c r="L700" s="31" t="s">
        <v>2097</v>
      </c>
      <c r="M700" s="31" t="n">
        <v>1</v>
      </c>
      <c r="N700" s="51" t="s">
        <v>462</v>
      </c>
      <c r="O700" s="35" t="s">
        <v>78</v>
      </c>
      <c r="P700" s="52"/>
      <c r="Q700" s="52"/>
      <c r="R700" s="33" t="n">
        <f aca="false">INDEX(Épopées!$L$6:$L$59,MATCH(K700,Épopées!$A$6:$A$59,0))</f>
        <v>46475</v>
      </c>
      <c r="S700" s="33" t="n">
        <f aca="false">INDEX(Épopées!$M$6:$M$59,MATCH(K700,Épopées!$A$6:$A$59,0))</f>
        <v>46490</v>
      </c>
      <c r="T700" s="53" t="s">
        <v>463</v>
      </c>
    </row>
    <row r="701" customFormat="false" ht="15" hidden="false" customHeight="false" outlineLevel="0" collapsed="false">
      <c r="A701" s="31" t="s">
        <v>2098</v>
      </c>
      <c r="B701" s="31" t="s">
        <v>342</v>
      </c>
      <c r="C701" s="31" t="s">
        <v>370</v>
      </c>
      <c r="D701" s="31" t="s">
        <v>371</v>
      </c>
      <c r="E701" s="31" t="s">
        <v>2099</v>
      </c>
      <c r="F701" s="31" t="s">
        <v>1623</v>
      </c>
      <c r="G701" s="31" t="s">
        <v>466</v>
      </c>
      <c r="H701" s="31" t="s">
        <v>41</v>
      </c>
      <c r="I701" s="31" t="n">
        <f aca="false">VLOOKUP(H701,Paramètres!$A$15:$B$19,2,FALSE())</f>
        <v>1</v>
      </c>
      <c r="J701" s="31" t="n">
        <v>1</v>
      </c>
      <c r="K701" s="50" t="str">
        <f aca="false">C701&amp;"|"&amp;J701</f>
        <v>MOB-C|1</v>
      </c>
      <c r="L701" s="31" t="s">
        <v>2077</v>
      </c>
      <c r="M701" s="31" t="n">
        <v>4</v>
      </c>
      <c r="N701" s="51" t="s">
        <v>462</v>
      </c>
      <c r="O701" s="35" t="s">
        <v>78</v>
      </c>
      <c r="P701" s="52"/>
      <c r="Q701" s="52"/>
      <c r="R701" s="33" t="n">
        <f aca="false">INDEX(Épopées!$L$6:$L$59,MATCH(K701,Épopées!$A$6:$A$59,0))</f>
        <v>46475</v>
      </c>
      <c r="S701" s="33" t="n">
        <f aca="false">INDEX(Épopées!$M$6:$M$59,MATCH(K701,Épopées!$A$6:$A$59,0))</f>
        <v>46490</v>
      </c>
      <c r="T701" s="53" t="s">
        <v>463</v>
      </c>
    </row>
    <row r="702" customFormat="false" ht="15" hidden="false" customHeight="false" outlineLevel="0" collapsed="false">
      <c r="A702" s="31" t="s">
        <v>2100</v>
      </c>
      <c r="B702" s="31" t="s">
        <v>342</v>
      </c>
      <c r="C702" s="31" t="s">
        <v>370</v>
      </c>
      <c r="D702" s="31" t="s">
        <v>371</v>
      </c>
      <c r="E702" s="31" t="s">
        <v>2101</v>
      </c>
      <c r="F702" s="31" t="s">
        <v>1623</v>
      </c>
      <c r="G702" s="31" t="s">
        <v>461</v>
      </c>
      <c r="H702" s="31" t="s">
        <v>39</v>
      </c>
      <c r="I702" s="31" t="n">
        <f aca="false">VLOOKUP(H702,Paramètres!$A$15:$B$19,2,FALSE())</f>
        <v>0.5</v>
      </c>
      <c r="J702" s="31" t="n">
        <v>1</v>
      </c>
      <c r="K702" s="50" t="str">
        <f aca="false">C702&amp;"|"&amp;J702</f>
        <v>MOB-C|1</v>
      </c>
      <c r="L702" s="31" t="s">
        <v>2075</v>
      </c>
      <c r="M702" s="31" t="n">
        <v>1</v>
      </c>
      <c r="N702" s="51" t="s">
        <v>462</v>
      </c>
      <c r="O702" s="35" t="s">
        <v>78</v>
      </c>
      <c r="P702" s="52"/>
      <c r="Q702" s="52"/>
      <c r="R702" s="33" t="n">
        <f aca="false">INDEX(Épopées!$L$6:$L$59,MATCH(K702,Épopées!$A$6:$A$59,0))</f>
        <v>46475</v>
      </c>
      <c r="S702" s="33" t="n">
        <f aca="false">INDEX(Épopées!$M$6:$M$59,MATCH(K702,Épopées!$A$6:$A$59,0))</f>
        <v>46490</v>
      </c>
      <c r="T702" s="53" t="s">
        <v>463</v>
      </c>
    </row>
    <row r="703" customFormat="false" ht="15" hidden="false" customHeight="false" outlineLevel="0" collapsed="false">
      <c r="A703" s="31" t="s">
        <v>2102</v>
      </c>
      <c r="B703" s="31" t="s">
        <v>342</v>
      </c>
      <c r="C703" s="31" t="s">
        <v>370</v>
      </c>
      <c r="D703" s="31" t="s">
        <v>371</v>
      </c>
      <c r="E703" s="31" t="s">
        <v>2103</v>
      </c>
      <c r="F703" s="31" t="s">
        <v>1623</v>
      </c>
      <c r="G703" s="31" t="s">
        <v>461</v>
      </c>
      <c r="H703" s="31" t="s">
        <v>39</v>
      </c>
      <c r="I703" s="31" t="n">
        <f aca="false">VLOOKUP(H703,Paramètres!$A$15:$B$19,2,FALSE())</f>
        <v>0.5</v>
      </c>
      <c r="J703" s="31" t="n">
        <v>1</v>
      </c>
      <c r="K703" s="50" t="str">
        <f aca="false">C703&amp;"|"&amp;J703</f>
        <v>MOB-C|1</v>
      </c>
      <c r="L703" s="31" t="s">
        <v>2104</v>
      </c>
      <c r="M703" s="31" t="n">
        <v>1</v>
      </c>
      <c r="N703" s="51" t="s">
        <v>462</v>
      </c>
      <c r="O703" s="35" t="s">
        <v>78</v>
      </c>
      <c r="P703" s="52"/>
      <c r="Q703" s="52"/>
      <c r="R703" s="33" t="n">
        <f aca="false">INDEX(Épopées!$L$6:$L$59,MATCH(K703,Épopées!$A$6:$A$59,0))</f>
        <v>46475</v>
      </c>
      <c r="S703" s="33" t="n">
        <f aca="false">INDEX(Épopées!$M$6:$M$59,MATCH(K703,Épopées!$A$6:$A$59,0))</f>
        <v>46490</v>
      </c>
      <c r="T703" s="53" t="s">
        <v>463</v>
      </c>
    </row>
    <row r="704" customFormat="false" ht="15" hidden="false" customHeight="false" outlineLevel="0" collapsed="false">
      <c r="A704" s="31" t="s">
        <v>2105</v>
      </c>
      <c r="B704" s="31" t="s">
        <v>342</v>
      </c>
      <c r="C704" s="31" t="s">
        <v>370</v>
      </c>
      <c r="D704" s="31" t="s">
        <v>371</v>
      </c>
      <c r="E704" s="31" t="s">
        <v>2106</v>
      </c>
      <c r="F704" s="31" t="s">
        <v>1623</v>
      </c>
      <c r="G704" s="31" t="s">
        <v>461</v>
      </c>
      <c r="H704" s="31" t="s">
        <v>39</v>
      </c>
      <c r="I704" s="31" t="n">
        <f aca="false">VLOOKUP(H704,Paramètres!$A$15:$B$19,2,FALSE())</f>
        <v>0.5</v>
      </c>
      <c r="J704" s="31" t="n">
        <v>1</v>
      </c>
      <c r="K704" s="50" t="str">
        <f aca="false">C704&amp;"|"&amp;J704</f>
        <v>MOB-C|1</v>
      </c>
      <c r="L704" s="31" t="s">
        <v>2075</v>
      </c>
      <c r="M704" s="31" t="n">
        <v>1</v>
      </c>
      <c r="N704" s="51" t="s">
        <v>462</v>
      </c>
      <c r="O704" s="35" t="s">
        <v>78</v>
      </c>
      <c r="P704" s="52"/>
      <c r="Q704" s="52"/>
      <c r="R704" s="33" t="n">
        <f aca="false">INDEX(Épopées!$L$6:$L$59,MATCH(K704,Épopées!$A$6:$A$59,0))</f>
        <v>46475</v>
      </c>
      <c r="S704" s="33" t="n">
        <f aca="false">INDEX(Épopées!$M$6:$M$59,MATCH(K704,Épopées!$A$6:$A$59,0))</f>
        <v>46490</v>
      </c>
      <c r="T704" s="53" t="s">
        <v>463</v>
      </c>
    </row>
    <row r="705" customFormat="false" ht="15" hidden="false" customHeight="false" outlineLevel="0" collapsed="false">
      <c r="A705" s="31" t="s">
        <v>2107</v>
      </c>
      <c r="B705" s="31" t="s">
        <v>342</v>
      </c>
      <c r="C705" s="31" t="s">
        <v>370</v>
      </c>
      <c r="D705" s="31" t="s">
        <v>371</v>
      </c>
      <c r="E705" s="31" t="s">
        <v>2108</v>
      </c>
      <c r="F705" s="31" t="s">
        <v>1623</v>
      </c>
      <c r="G705" s="31" t="s">
        <v>466</v>
      </c>
      <c r="H705" s="31" t="s">
        <v>39</v>
      </c>
      <c r="I705" s="31" t="n">
        <f aca="false">VLOOKUP(H705,Paramètres!$A$15:$B$19,2,FALSE())</f>
        <v>0.5</v>
      </c>
      <c r="J705" s="31" t="n">
        <v>1</v>
      </c>
      <c r="K705" s="50" t="str">
        <f aca="false">C705&amp;"|"&amp;J705</f>
        <v>MOB-C|1</v>
      </c>
      <c r="L705" s="31" t="s">
        <v>2109</v>
      </c>
      <c r="M705" s="31" t="n">
        <v>1</v>
      </c>
      <c r="N705" s="51" t="s">
        <v>462</v>
      </c>
      <c r="O705" s="35" t="s">
        <v>78</v>
      </c>
      <c r="P705" s="52"/>
      <c r="Q705" s="52"/>
      <c r="R705" s="33" t="n">
        <f aca="false">INDEX(Épopées!$L$6:$L$59,MATCH(K705,Épopées!$A$6:$A$59,0))</f>
        <v>46475</v>
      </c>
      <c r="S705" s="33" t="n">
        <f aca="false">INDEX(Épopées!$M$6:$M$59,MATCH(K705,Épopées!$A$6:$A$59,0))</f>
        <v>46490</v>
      </c>
      <c r="T705" s="53" t="s">
        <v>463</v>
      </c>
    </row>
    <row r="706" customFormat="false" ht="15" hidden="false" customHeight="false" outlineLevel="0" collapsed="false">
      <c r="A706" s="31" t="s">
        <v>2110</v>
      </c>
      <c r="B706" s="31" t="s">
        <v>342</v>
      </c>
      <c r="C706" s="31" t="s">
        <v>370</v>
      </c>
      <c r="D706" s="31" t="s">
        <v>371</v>
      </c>
      <c r="E706" s="31" t="s">
        <v>2111</v>
      </c>
      <c r="F706" s="31" t="s">
        <v>1623</v>
      </c>
      <c r="G706" s="31" t="s">
        <v>466</v>
      </c>
      <c r="H706" s="31" t="s">
        <v>43</v>
      </c>
      <c r="I706" s="31" t="n">
        <f aca="false">VLOOKUP(H706,Paramètres!$A$15:$B$19,2,FALSE())</f>
        <v>2</v>
      </c>
      <c r="J706" s="31" t="n">
        <v>1</v>
      </c>
      <c r="K706" s="50" t="str">
        <f aca="false">C706&amp;"|"&amp;J706</f>
        <v>MOB-C|1</v>
      </c>
      <c r="L706" s="31" t="s">
        <v>2112</v>
      </c>
      <c r="M706" s="31" t="n">
        <v>2</v>
      </c>
      <c r="N706" s="51" t="s">
        <v>462</v>
      </c>
      <c r="O706" s="35" t="s">
        <v>78</v>
      </c>
      <c r="P706" s="52"/>
      <c r="Q706" s="52"/>
      <c r="R706" s="33" t="n">
        <f aca="false">INDEX(Épopées!$L$6:$L$59,MATCH(K706,Épopées!$A$6:$A$59,0))</f>
        <v>46475</v>
      </c>
      <c r="S706" s="33" t="n">
        <f aca="false">INDEX(Épopées!$M$6:$M$59,MATCH(K706,Épopées!$A$6:$A$59,0))</f>
        <v>46490</v>
      </c>
      <c r="T706" s="53" t="s">
        <v>463</v>
      </c>
    </row>
    <row r="707" customFormat="false" ht="15" hidden="false" customHeight="false" outlineLevel="0" collapsed="false">
      <c r="A707" s="31" t="s">
        <v>2113</v>
      </c>
      <c r="B707" s="31" t="s">
        <v>342</v>
      </c>
      <c r="C707" s="31" t="s">
        <v>370</v>
      </c>
      <c r="D707" s="31" t="s">
        <v>371</v>
      </c>
      <c r="E707" s="31" t="s">
        <v>2114</v>
      </c>
      <c r="F707" s="31" t="s">
        <v>491</v>
      </c>
      <c r="G707" s="31" t="s">
        <v>466</v>
      </c>
      <c r="H707" s="31" t="s">
        <v>41</v>
      </c>
      <c r="I707" s="31" t="n">
        <f aca="false">VLOOKUP(H707,Paramètres!$A$15:$B$19,2,FALSE())</f>
        <v>1</v>
      </c>
      <c r="J707" s="31" t="n">
        <v>1</v>
      </c>
      <c r="K707" s="50" t="str">
        <f aca="false">C707&amp;"|"&amp;J707</f>
        <v>MOB-C|1</v>
      </c>
      <c r="L707" s="31" t="s">
        <v>2110</v>
      </c>
      <c r="M707" s="31" t="n">
        <v>2</v>
      </c>
      <c r="N707" s="51" t="s">
        <v>462</v>
      </c>
      <c r="O707" s="35" t="s">
        <v>78</v>
      </c>
      <c r="P707" s="52"/>
      <c r="Q707" s="52"/>
      <c r="R707" s="33" t="n">
        <f aca="false">INDEX(Épopées!$L$6:$L$59,MATCH(K707,Épopées!$A$6:$A$59,0))</f>
        <v>46475</v>
      </c>
      <c r="S707" s="33" t="n">
        <f aca="false">INDEX(Épopées!$M$6:$M$59,MATCH(K707,Épopées!$A$6:$A$59,0))</f>
        <v>46490</v>
      </c>
      <c r="T707" s="53" t="s">
        <v>463</v>
      </c>
    </row>
    <row r="708" customFormat="false" ht="15" hidden="false" customHeight="false" outlineLevel="0" collapsed="false">
      <c r="A708" s="31" t="s">
        <v>2115</v>
      </c>
      <c r="B708" s="31" t="s">
        <v>342</v>
      </c>
      <c r="C708" s="31" t="s">
        <v>370</v>
      </c>
      <c r="D708" s="31" t="s">
        <v>371</v>
      </c>
      <c r="E708" s="31" t="s">
        <v>2116</v>
      </c>
      <c r="F708" s="31" t="s">
        <v>1623</v>
      </c>
      <c r="G708" s="31" t="s">
        <v>466</v>
      </c>
      <c r="H708" s="31" t="s">
        <v>41</v>
      </c>
      <c r="I708" s="31" t="n">
        <f aca="false">VLOOKUP(H708,Paramètres!$A$15:$B$19,2,FALSE())</f>
        <v>1</v>
      </c>
      <c r="J708" s="31" t="n">
        <v>1</v>
      </c>
      <c r="K708" s="50" t="str">
        <f aca="false">C708&amp;"|"&amp;J708</f>
        <v>MOB-C|1</v>
      </c>
      <c r="L708" s="31" t="s">
        <v>2091</v>
      </c>
      <c r="M708" s="31" t="n">
        <v>1</v>
      </c>
      <c r="N708" s="51" t="s">
        <v>462</v>
      </c>
      <c r="O708" s="35" t="s">
        <v>78</v>
      </c>
      <c r="P708" s="52"/>
      <c r="Q708" s="52"/>
      <c r="R708" s="33" t="n">
        <f aca="false">INDEX(Épopées!$L$6:$L$59,MATCH(K708,Épopées!$A$6:$A$59,0))</f>
        <v>46475</v>
      </c>
      <c r="S708" s="33" t="n">
        <f aca="false">INDEX(Épopées!$M$6:$M$59,MATCH(K708,Épopées!$A$6:$A$59,0))</f>
        <v>46490</v>
      </c>
      <c r="T708" s="53" t="s">
        <v>463</v>
      </c>
    </row>
    <row r="709" customFormat="false" ht="15" hidden="false" customHeight="false" outlineLevel="0" collapsed="false">
      <c r="A709" s="31" t="s">
        <v>2117</v>
      </c>
      <c r="B709" s="31" t="s">
        <v>342</v>
      </c>
      <c r="C709" s="31" t="s">
        <v>370</v>
      </c>
      <c r="D709" s="31" t="s">
        <v>371</v>
      </c>
      <c r="E709" s="31" t="s">
        <v>2118</v>
      </c>
      <c r="F709" s="31" t="s">
        <v>548</v>
      </c>
      <c r="G709" s="31" t="s">
        <v>466</v>
      </c>
      <c r="H709" s="31" t="s">
        <v>39</v>
      </c>
      <c r="I709" s="31" t="n">
        <f aca="false">VLOOKUP(H709,Paramètres!$A$15:$B$19,2,FALSE())</f>
        <v>0.5</v>
      </c>
      <c r="J709" s="31" t="n">
        <v>1</v>
      </c>
      <c r="K709" s="50" t="str">
        <f aca="false">C709&amp;"|"&amp;J709</f>
        <v>MOB-C|1</v>
      </c>
      <c r="L709" s="31" t="s">
        <v>2075</v>
      </c>
      <c r="M709" s="31" t="n">
        <v>3</v>
      </c>
      <c r="N709" s="51" t="s">
        <v>462</v>
      </c>
      <c r="O709" s="35" t="s">
        <v>78</v>
      </c>
      <c r="P709" s="52"/>
      <c r="Q709" s="52"/>
      <c r="R709" s="33" t="n">
        <f aca="false">INDEX(Épopées!$L$6:$L$59,MATCH(K709,Épopées!$A$6:$A$59,0))</f>
        <v>46475</v>
      </c>
      <c r="S709" s="33" t="n">
        <f aca="false">INDEX(Épopées!$M$6:$M$59,MATCH(K709,Épopées!$A$6:$A$59,0))</f>
        <v>46490</v>
      </c>
      <c r="T709" s="53" t="s">
        <v>463</v>
      </c>
    </row>
    <row r="710" customFormat="false" ht="15" hidden="false" customHeight="false" outlineLevel="0" collapsed="false">
      <c r="A710" s="31" t="s">
        <v>2119</v>
      </c>
      <c r="B710" s="31" t="s">
        <v>342</v>
      </c>
      <c r="C710" s="31" t="s">
        <v>370</v>
      </c>
      <c r="D710" s="31" t="s">
        <v>371</v>
      </c>
      <c r="E710" s="31" t="s">
        <v>2120</v>
      </c>
      <c r="F710" s="31" t="s">
        <v>588</v>
      </c>
      <c r="G710" s="31" t="s">
        <v>466</v>
      </c>
      <c r="H710" s="31" t="s">
        <v>39</v>
      </c>
      <c r="I710" s="31" t="n">
        <f aca="false">VLOOKUP(H710,Paramètres!$A$15:$B$19,2,FALSE())</f>
        <v>0.5</v>
      </c>
      <c r="J710" s="31" t="n">
        <v>1</v>
      </c>
      <c r="K710" s="50" t="str">
        <f aca="false">C710&amp;"|"&amp;J710</f>
        <v>MOB-C|1</v>
      </c>
      <c r="L710" s="31" t="s">
        <v>2077</v>
      </c>
      <c r="M710" s="31" t="n">
        <v>12</v>
      </c>
      <c r="N710" s="51" t="s">
        <v>462</v>
      </c>
      <c r="O710" s="35" t="s">
        <v>78</v>
      </c>
      <c r="P710" s="52"/>
      <c r="Q710" s="52"/>
      <c r="R710" s="33" t="n">
        <f aca="false">INDEX(Épopées!$L$6:$L$59,MATCH(K710,Épopées!$A$6:$A$59,0))</f>
        <v>46475</v>
      </c>
      <c r="S710" s="33" t="n">
        <f aca="false">INDEX(Épopées!$M$6:$M$59,MATCH(K710,Épopées!$A$6:$A$59,0))</f>
        <v>46490</v>
      </c>
      <c r="T710" s="53" t="s">
        <v>463</v>
      </c>
    </row>
    <row r="711" customFormat="false" ht="15" hidden="false" customHeight="false" outlineLevel="0" collapsed="false">
      <c r="A711" s="31" t="s">
        <v>2121</v>
      </c>
      <c r="B711" s="31" t="s">
        <v>342</v>
      </c>
      <c r="C711" s="31" t="s">
        <v>370</v>
      </c>
      <c r="D711" s="31" t="s">
        <v>371</v>
      </c>
      <c r="E711" s="31" t="s">
        <v>2122</v>
      </c>
      <c r="F711" s="31" t="s">
        <v>1863</v>
      </c>
      <c r="G711" s="31" t="s">
        <v>466</v>
      </c>
      <c r="H711" s="31" t="s">
        <v>39</v>
      </c>
      <c r="I711" s="31" t="n">
        <f aca="false">VLOOKUP(H711,Paramètres!$A$15:$B$19,2,FALSE())</f>
        <v>0.5</v>
      </c>
      <c r="J711" s="31" t="n">
        <v>1</v>
      </c>
      <c r="K711" s="50" t="str">
        <f aca="false">C711&amp;"|"&amp;J711</f>
        <v>MOB-C|1</v>
      </c>
      <c r="L711" s="31" t="s">
        <v>2123</v>
      </c>
      <c r="M711" s="31" t="n">
        <v>12</v>
      </c>
      <c r="N711" s="51" t="s">
        <v>462</v>
      </c>
      <c r="O711" s="35" t="s">
        <v>78</v>
      </c>
      <c r="P711" s="52"/>
      <c r="Q711" s="52"/>
      <c r="R711" s="33" t="n">
        <f aca="false">INDEX(Épopées!$L$6:$L$59,MATCH(K711,Épopées!$A$6:$A$59,0))</f>
        <v>46475</v>
      </c>
      <c r="S711" s="33" t="n">
        <f aca="false">INDEX(Épopées!$M$6:$M$59,MATCH(K711,Épopées!$A$6:$A$59,0))</f>
        <v>46490</v>
      </c>
      <c r="T711" s="53" t="s">
        <v>463</v>
      </c>
    </row>
    <row r="712" customFormat="false" ht="15" hidden="false" customHeight="false" outlineLevel="0" collapsed="false">
      <c r="A712" s="31" t="s">
        <v>2124</v>
      </c>
      <c r="B712" s="31" t="s">
        <v>342</v>
      </c>
      <c r="C712" s="31" t="s">
        <v>370</v>
      </c>
      <c r="D712" s="31" t="s">
        <v>371</v>
      </c>
      <c r="E712" s="31" t="s">
        <v>2125</v>
      </c>
      <c r="F712" s="31" t="s">
        <v>472</v>
      </c>
      <c r="G712" s="31" t="s">
        <v>466</v>
      </c>
      <c r="H712" s="31" t="s">
        <v>41</v>
      </c>
      <c r="I712" s="31" t="n">
        <f aca="false">VLOOKUP(H712,Paramètres!$A$15:$B$19,2,FALSE())</f>
        <v>1</v>
      </c>
      <c r="J712" s="31" t="n">
        <v>1</v>
      </c>
      <c r="K712" s="50" t="str">
        <f aca="false">C712&amp;"|"&amp;J712</f>
        <v>MOB-C|1</v>
      </c>
      <c r="L712" s="31" t="s">
        <v>2126</v>
      </c>
      <c r="M712" s="31" t="n">
        <v>12</v>
      </c>
      <c r="N712" s="51" t="s">
        <v>462</v>
      </c>
      <c r="O712" s="35" t="s">
        <v>78</v>
      </c>
      <c r="P712" s="52"/>
      <c r="Q712" s="52"/>
      <c r="R712" s="33" t="n">
        <f aca="false">INDEX(Épopées!$L$6:$L$59,MATCH(K712,Épopées!$A$6:$A$59,0))</f>
        <v>46475</v>
      </c>
      <c r="S712" s="33" t="n">
        <f aca="false">INDEX(Épopées!$M$6:$M$59,MATCH(K712,Épopées!$A$6:$A$59,0))</f>
        <v>46490</v>
      </c>
      <c r="T712" s="53" t="s">
        <v>463</v>
      </c>
    </row>
    <row r="713" customFormat="false" ht="15" hidden="false" customHeight="false" outlineLevel="0" collapsed="false">
      <c r="A713" s="31" t="s">
        <v>2127</v>
      </c>
      <c r="B713" s="31" t="s">
        <v>342</v>
      </c>
      <c r="C713" s="31" t="s">
        <v>373</v>
      </c>
      <c r="D713" s="31" t="s">
        <v>374</v>
      </c>
      <c r="E713" s="31" t="s">
        <v>2128</v>
      </c>
      <c r="F713" s="31" t="s">
        <v>486</v>
      </c>
      <c r="G713" s="31" t="s">
        <v>461</v>
      </c>
      <c r="H713" s="31" t="s">
        <v>41</v>
      </c>
      <c r="I713" s="31" t="n">
        <f aca="false">VLOOKUP(H713,Paramètres!$A$15:$B$19,2,FALSE())</f>
        <v>1</v>
      </c>
      <c r="J713" s="31" t="n">
        <v>1</v>
      </c>
      <c r="K713" s="50" t="str">
        <f aca="false">C713&amp;"|"&amp;J713</f>
        <v>MOB-F|1</v>
      </c>
      <c r="L713" s="31"/>
      <c r="M713" s="31" t="n">
        <v>6</v>
      </c>
      <c r="N713" s="51" t="s">
        <v>462</v>
      </c>
      <c r="O713" s="35" t="s">
        <v>78</v>
      </c>
      <c r="P713" s="52"/>
      <c r="Q713" s="52"/>
      <c r="R713" s="33" t="n">
        <f aca="false">INDEX(Épopées!$L$6:$L$59,MATCH(K713,Épopées!$A$6:$A$59,0))</f>
        <v>46491</v>
      </c>
      <c r="S713" s="33" t="n">
        <f aca="false">INDEX(Épopées!$M$6:$M$59,MATCH(K713,Épopées!$A$6:$A$59,0))</f>
        <v>46510</v>
      </c>
      <c r="T713" s="53" t="s">
        <v>463</v>
      </c>
    </row>
    <row r="714" customFormat="false" ht="15" hidden="false" customHeight="false" outlineLevel="0" collapsed="false">
      <c r="A714" s="31" t="s">
        <v>2129</v>
      </c>
      <c r="B714" s="31" t="s">
        <v>342</v>
      </c>
      <c r="C714" s="31" t="s">
        <v>373</v>
      </c>
      <c r="D714" s="31" t="s">
        <v>374</v>
      </c>
      <c r="E714" s="31" t="s">
        <v>2130</v>
      </c>
      <c r="F714" s="31" t="s">
        <v>460</v>
      </c>
      <c r="G714" s="31" t="s">
        <v>461</v>
      </c>
      <c r="H714" s="31" t="s">
        <v>41</v>
      </c>
      <c r="I714" s="31" t="n">
        <f aca="false">VLOOKUP(H714,Paramètres!$A$15:$B$19,2,FALSE())</f>
        <v>1</v>
      </c>
      <c r="J714" s="31" t="n">
        <v>1</v>
      </c>
      <c r="K714" s="50" t="str">
        <f aca="false">C714&amp;"|"&amp;J714</f>
        <v>MOB-F|1</v>
      </c>
      <c r="L714" s="31" t="s">
        <v>2127</v>
      </c>
      <c r="M714" s="31" t="n">
        <v>5</v>
      </c>
      <c r="N714" s="51" t="s">
        <v>462</v>
      </c>
      <c r="O714" s="35" t="s">
        <v>78</v>
      </c>
      <c r="P714" s="52"/>
      <c r="Q714" s="52"/>
      <c r="R714" s="33" t="n">
        <f aca="false">INDEX(Épopées!$L$6:$L$59,MATCH(K714,Épopées!$A$6:$A$59,0))</f>
        <v>46491</v>
      </c>
      <c r="S714" s="33" t="n">
        <f aca="false">INDEX(Épopées!$M$6:$M$59,MATCH(K714,Épopées!$A$6:$A$59,0))</f>
        <v>46510</v>
      </c>
      <c r="T714" s="53" t="s">
        <v>463</v>
      </c>
    </row>
    <row r="715" customFormat="false" ht="15" hidden="false" customHeight="false" outlineLevel="0" collapsed="false">
      <c r="A715" s="31" t="s">
        <v>2131</v>
      </c>
      <c r="B715" s="31" t="s">
        <v>342</v>
      </c>
      <c r="C715" s="31" t="s">
        <v>373</v>
      </c>
      <c r="D715" s="31" t="s">
        <v>374</v>
      </c>
      <c r="E715" s="31" t="s">
        <v>2132</v>
      </c>
      <c r="F715" s="31" t="s">
        <v>491</v>
      </c>
      <c r="G715" s="31" t="s">
        <v>461</v>
      </c>
      <c r="H715" s="31" t="s">
        <v>41</v>
      </c>
      <c r="I715" s="31" t="n">
        <f aca="false">VLOOKUP(H715,Paramètres!$A$15:$B$19,2,FALSE())</f>
        <v>1</v>
      </c>
      <c r="J715" s="31" t="n">
        <v>1</v>
      </c>
      <c r="K715" s="50" t="str">
        <f aca="false">C715&amp;"|"&amp;J715</f>
        <v>MOB-F|1</v>
      </c>
      <c r="L715" s="31" t="s">
        <v>2129</v>
      </c>
      <c r="M715" s="31" t="n">
        <v>4</v>
      </c>
      <c r="N715" s="51" t="s">
        <v>462</v>
      </c>
      <c r="O715" s="35" t="s">
        <v>78</v>
      </c>
      <c r="P715" s="52"/>
      <c r="Q715" s="52"/>
      <c r="R715" s="33" t="n">
        <f aca="false">INDEX(Épopées!$L$6:$L$59,MATCH(K715,Épopées!$A$6:$A$59,0))</f>
        <v>46491</v>
      </c>
      <c r="S715" s="33" t="n">
        <f aca="false">INDEX(Épopées!$M$6:$M$59,MATCH(K715,Épopées!$A$6:$A$59,0))</f>
        <v>46510</v>
      </c>
      <c r="T715" s="53" t="s">
        <v>463</v>
      </c>
    </row>
    <row r="716" customFormat="false" ht="15" hidden="false" customHeight="false" outlineLevel="0" collapsed="false">
      <c r="A716" s="31" t="s">
        <v>2133</v>
      </c>
      <c r="B716" s="31" t="s">
        <v>342</v>
      </c>
      <c r="C716" s="31" t="s">
        <v>373</v>
      </c>
      <c r="D716" s="31" t="s">
        <v>374</v>
      </c>
      <c r="E716" s="31" t="s">
        <v>2134</v>
      </c>
      <c r="F716" s="31" t="s">
        <v>481</v>
      </c>
      <c r="G716" s="31" t="s">
        <v>466</v>
      </c>
      <c r="H716" s="31" t="s">
        <v>41</v>
      </c>
      <c r="I716" s="31" t="n">
        <f aca="false">VLOOKUP(H716,Paramètres!$A$15:$B$19,2,FALSE())</f>
        <v>1</v>
      </c>
      <c r="J716" s="31" t="n">
        <v>1</v>
      </c>
      <c r="K716" s="50" t="str">
        <f aca="false">C716&amp;"|"&amp;J716</f>
        <v>MOB-F|1</v>
      </c>
      <c r="L716" s="31" t="s">
        <v>2127</v>
      </c>
      <c r="M716" s="31" t="n">
        <v>3</v>
      </c>
      <c r="N716" s="51" t="s">
        <v>462</v>
      </c>
      <c r="O716" s="35" t="s">
        <v>78</v>
      </c>
      <c r="P716" s="52"/>
      <c r="Q716" s="52"/>
      <c r="R716" s="33" t="n">
        <f aca="false">INDEX(Épopées!$L$6:$L$59,MATCH(K716,Épopées!$A$6:$A$59,0))</f>
        <v>46491</v>
      </c>
      <c r="S716" s="33" t="n">
        <f aca="false">INDEX(Épopées!$M$6:$M$59,MATCH(K716,Épopées!$A$6:$A$59,0))</f>
        <v>46510</v>
      </c>
      <c r="T716" s="53" t="s">
        <v>463</v>
      </c>
    </row>
    <row r="717" customFormat="false" ht="15" hidden="false" customHeight="false" outlineLevel="0" collapsed="false">
      <c r="A717" s="31" t="s">
        <v>2135</v>
      </c>
      <c r="B717" s="31" t="s">
        <v>342</v>
      </c>
      <c r="C717" s="31" t="s">
        <v>373</v>
      </c>
      <c r="D717" s="31" t="s">
        <v>374</v>
      </c>
      <c r="E717" s="31" t="s">
        <v>2136</v>
      </c>
      <c r="F717" s="31" t="s">
        <v>491</v>
      </c>
      <c r="G717" s="31" t="s">
        <v>461</v>
      </c>
      <c r="H717" s="31" t="s">
        <v>43</v>
      </c>
      <c r="I717" s="31" t="n">
        <f aca="false">VLOOKUP(H717,Paramètres!$A$15:$B$19,2,FALSE())</f>
        <v>2</v>
      </c>
      <c r="J717" s="31" t="n">
        <v>1</v>
      </c>
      <c r="K717" s="50" t="str">
        <f aca="false">C717&amp;"|"&amp;J717</f>
        <v>MOB-F|1</v>
      </c>
      <c r="L717" s="31" t="s">
        <v>2131</v>
      </c>
      <c r="M717" s="31" t="n">
        <v>6</v>
      </c>
      <c r="N717" s="51" t="s">
        <v>462</v>
      </c>
      <c r="O717" s="35" t="s">
        <v>78</v>
      </c>
      <c r="P717" s="52"/>
      <c r="Q717" s="52"/>
      <c r="R717" s="33" t="n">
        <f aca="false">INDEX(Épopées!$L$6:$L$59,MATCH(K717,Épopées!$A$6:$A$59,0))</f>
        <v>46491</v>
      </c>
      <c r="S717" s="33" t="n">
        <f aca="false">INDEX(Épopées!$M$6:$M$59,MATCH(K717,Épopées!$A$6:$A$59,0))</f>
        <v>46510</v>
      </c>
      <c r="T717" s="53" t="s">
        <v>463</v>
      </c>
    </row>
    <row r="718" customFormat="false" ht="15" hidden="false" customHeight="false" outlineLevel="0" collapsed="false">
      <c r="A718" s="31" t="s">
        <v>2137</v>
      </c>
      <c r="B718" s="31" t="s">
        <v>342</v>
      </c>
      <c r="C718" s="31" t="s">
        <v>373</v>
      </c>
      <c r="D718" s="31" t="s">
        <v>374</v>
      </c>
      <c r="E718" s="31" t="s">
        <v>2138</v>
      </c>
      <c r="F718" s="31" t="s">
        <v>1623</v>
      </c>
      <c r="G718" s="31" t="s">
        <v>461</v>
      </c>
      <c r="H718" s="31" t="s">
        <v>43</v>
      </c>
      <c r="I718" s="31" t="n">
        <f aca="false">VLOOKUP(H718,Paramètres!$A$15:$B$19,2,FALSE())</f>
        <v>2</v>
      </c>
      <c r="J718" s="31" t="n">
        <v>1</v>
      </c>
      <c r="K718" s="50" t="str">
        <f aca="false">C718&amp;"|"&amp;J718</f>
        <v>MOB-F|1</v>
      </c>
      <c r="L718" s="31" t="s">
        <v>2135</v>
      </c>
      <c r="M718" s="31" t="n">
        <v>1</v>
      </c>
      <c r="N718" s="51" t="s">
        <v>462</v>
      </c>
      <c r="O718" s="35" t="s">
        <v>78</v>
      </c>
      <c r="P718" s="52"/>
      <c r="Q718" s="52"/>
      <c r="R718" s="33" t="n">
        <f aca="false">INDEX(Épopées!$L$6:$L$59,MATCH(K718,Épopées!$A$6:$A$59,0))</f>
        <v>46491</v>
      </c>
      <c r="S718" s="33" t="n">
        <f aca="false">INDEX(Épopées!$M$6:$M$59,MATCH(K718,Épopées!$A$6:$A$59,0))</f>
        <v>46510</v>
      </c>
      <c r="T718" s="53" t="s">
        <v>463</v>
      </c>
    </row>
    <row r="719" customFormat="false" ht="15" hidden="false" customHeight="false" outlineLevel="0" collapsed="false">
      <c r="A719" s="31" t="s">
        <v>2139</v>
      </c>
      <c r="B719" s="31" t="s">
        <v>342</v>
      </c>
      <c r="C719" s="31" t="s">
        <v>373</v>
      </c>
      <c r="D719" s="31" t="s">
        <v>374</v>
      </c>
      <c r="E719" s="31" t="s">
        <v>2140</v>
      </c>
      <c r="F719" s="31" t="s">
        <v>1863</v>
      </c>
      <c r="G719" s="31" t="s">
        <v>461</v>
      </c>
      <c r="H719" s="31" t="s">
        <v>41</v>
      </c>
      <c r="I719" s="31" t="n">
        <f aca="false">VLOOKUP(H719,Paramètres!$A$15:$B$19,2,FALSE())</f>
        <v>1</v>
      </c>
      <c r="J719" s="31" t="n">
        <v>1</v>
      </c>
      <c r="K719" s="50" t="str">
        <f aca="false">C719&amp;"|"&amp;J719</f>
        <v>MOB-F|1</v>
      </c>
      <c r="L719" s="31" t="s">
        <v>2137</v>
      </c>
      <c r="M719" s="31" t="n">
        <v>1</v>
      </c>
      <c r="N719" s="51" t="s">
        <v>462</v>
      </c>
      <c r="O719" s="35" t="s">
        <v>78</v>
      </c>
      <c r="P719" s="52"/>
      <c r="Q719" s="52"/>
      <c r="R719" s="33" t="n">
        <f aca="false">INDEX(Épopées!$L$6:$L$59,MATCH(K719,Épopées!$A$6:$A$59,0))</f>
        <v>46491</v>
      </c>
      <c r="S719" s="33" t="n">
        <f aca="false">INDEX(Épopées!$M$6:$M$59,MATCH(K719,Épopées!$A$6:$A$59,0))</f>
        <v>46510</v>
      </c>
      <c r="T719" s="53" t="s">
        <v>463</v>
      </c>
    </row>
    <row r="720" customFormat="false" ht="15" hidden="false" customHeight="false" outlineLevel="0" collapsed="false">
      <c r="A720" s="31" t="s">
        <v>2141</v>
      </c>
      <c r="B720" s="31" t="s">
        <v>342</v>
      </c>
      <c r="C720" s="31" t="s">
        <v>373</v>
      </c>
      <c r="D720" s="31" t="s">
        <v>374</v>
      </c>
      <c r="E720" s="31" t="s">
        <v>2142</v>
      </c>
      <c r="F720" s="31" t="s">
        <v>1623</v>
      </c>
      <c r="G720" s="31" t="s">
        <v>466</v>
      </c>
      <c r="H720" s="31" t="s">
        <v>43</v>
      </c>
      <c r="I720" s="31" t="n">
        <f aca="false">VLOOKUP(H720,Paramètres!$A$15:$B$19,2,FALSE())</f>
        <v>2</v>
      </c>
      <c r="J720" s="31" t="n">
        <v>1</v>
      </c>
      <c r="K720" s="50" t="str">
        <f aca="false">C720&amp;"|"&amp;J720</f>
        <v>MOB-F|1</v>
      </c>
      <c r="L720" s="31" t="s">
        <v>2143</v>
      </c>
      <c r="M720" s="31" t="n">
        <v>1</v>
      </c>
      <c r="N720" s="51" t="s">
        <v>462</v>
      </c>
      <c r="O720" s="35" t="s">
        <v>78</v>
      </c>
      <c r="P720" s="52"/>
      <c r="Q720" s="52"/>
      <c r="R720" s="33" t="n">
        <f aca="false">INDEX(Épopées!$L$6:$L$59,MATCH(K720,Épopées!$A$6:$A$59,0))</f>
        <v>46491</v>
      </c>
      <c r="S720" s="33" t="n">
        <f aca="false">INDEX(Épopées!$M$6:$M$59,MATCH(K720,Épopées!$A$6:$A$59,0))</f>
        <v>46510</v>
      </c>
      <c r="T720" s="53" t="s">
        <v>463</v>
      </c>
    </row>
    <row r="721" customFormat="false" ht="15" hidden="false" customHeight="false" outlineLevel="0" collapsed="false">
      <c r="A721" s="31" t="s">
        <v>2144</v>
      </c>
      <c r="B721" s="31" t="s">
        <v>342</v>
      </c>
      <c r="C721" s="31" t="s">
        <v>373</v>
      </c>
      <c r="D721" s="31" t="s">
        <v>374</v>
      </c>
      <c r="E721" s="31" t="s">
        <v>2145</v>
      </c>
      <c r="F721" s="31" t="s">
        <v>491</v>
      </c>
      <c r="G721" s="31" t="s">
        <v>466</v>
      </c>
      <c r="H721" s="31" t="s">
        <v>39</v>
      </c>
      <c r="I721" s="31" t="n">
        <f aca="false">VLOOKUP(H721,Paramètres!$A$15:$B$19,2,FALSE())</f>
        <v>0.5</v>
      </c>
      <c r="J721" s="31" t="n">
        <v>1</v>
      </c>
      <c r="K721" s="50" t="str">
        <f aca="false">C721&amp;"|"&amp;J721</f>
        <v>MOB-F|1</v>
      </c>
      <c r="L721" s="31" t="s">
        <v>2127</v>
      </c>
      <c r="M721" s="31" t="n">
        <v>3</v>
      </c>
      <c r="N721" s="51" t="s">
        <v>462</v>
      </c>
      <c r="O721" s="35" t="s">
        <v>78</v>
      </c>
      <c r="P721" s="52"/>
      <c r="Q721" s="52"/>
      <c r="R721" s="33" t="n">
        <f aca="false">INDEX(Épopées!$L$6:$L$59,MATCH(K721,Épopées!$A$6:$A$59,0))</f>
        <v>46491</v>
      </c>
      <c r="S721" s="33" t="n">
        <f aca="false">INDEX(Épopées!$M$6:$M$59,MATCH(K721,Épopées!$A$6:$A$59,0))</f>
        <v>46510</v>
      </c>
      <c r="T721" s="53" t="s">
        <v>463</v>
      </c>
    </row>
    <row r="722" customFormat="false" ht="15" hidden="false" customHeight="false" outlineLevel="0" collapsed="false">
      <c r="A722" s="31" t="s">
        <v>2146</v>
      </c>
      <c r="B722" s="31" t="s">
        <v>342</v>
      </c>
      <c r="C722" s="31" t="s">
        <v>373</v>
      </c>
      <c r="D722" s="31" t="s">
        <v>374</v>
      </c>
      <c r="E722" s="31" t="s">
        <v>2147</v>
      </c>
      <c r="F722" s="31" t="s">
        <v>1623</v>
      </c>
      <c r="G722" s="31" t="s">
        <v>466</v>
      </c>
      <c r="H722" s="31" t="s">
        <v>41</v>
      </c>
      <c r="I722" s="31" t="n">
        <f aca="false">VLOOKUP(H722,Paramètres!$A$15:$B$19,2,FALSE())</f>
        <v>1</v>
      </c>
      <c r="J722" s="31" t="n">
        <v>1</v>
      </c>
      <c r="K722" s="50" t="str">
        <f aca="false">C722&amp;"|"&amp;J722</f>
        <v>MOB-F|1</v>
      </c>
      <c r="L722" s="31" t="s">
        <v>2143</v>
      </c>
      <c r="M722" s="31" t="n">
        <v>1</v>
      </c>
      <c r="N722" s="51" t="s">
        <v>462</v>
      </c>
      <c r="O722" s="35" t="s">
        <v>78</v>
      </c>
      <c r="P722" s="52"/>
      <c r="Q722" s="52"/>
      <c r="R722" s="33" t="n">
        <f aca="false">INDEX(Épopées!$L$6:$L$59,MATCH(K722,Épopées!$A$6:$A$59,0))</f>
        <v>46491</v>
      </c>
      <c r="S722" s="33" t="n">
        <f aca="false">INDEX(Épopées!$M$6:$M$59,MATCH(K722,Épopées!$A$6:$A$59,0))</f>
        <v>46510</v>
      </c>
      <c r="T722" s="53" t="s">
        <v>463</v>
      </c>
    </row>
    <row r="723" customFormat="false" ht="15" hidden="false" customHeight="false" outlineLevel="0" collapsed="false">
      <c r="A723" s="31" t="s">
        <v>2148</v>
      </c>
      <c r="B723" s="31" t="s">
        <v>342</v>
      </c>
      <c r="C723" s="31" t="s">
        <v>373</v>
      </c>
      <c r="D723" s="31" t="s">
        <v>374</v>
      </c>
      <c r="E723" s="31" t="s">
        <v>2149</v>
      </c>
      <c r="F723" s="31" t="s">
        <v>1623</v>
      </c>
      <c r="G723" s="31" t="s">
        <v>466</v>
      </c>
      <c r="H723" s="31" t="s">
        <v>39</v>
      </c>
      <c r="I723" s="31" t="n">
        <f aca="false">VLOOKUP(H723,Paramètres!$A$15:$B$19,2,FALSE())</f>
        <v>0.5</v>
      </c>
      <c r="J723" s="31" t="n">
        <v>1</v>
      </c>
      <c r="K723" s="50" t="str">
        <f aca="false">C723&amp;"|"&amp;J723</f>
        <v>MOB-F|1</v>
      </c>
      <c r="L723" s="31" t="s">
        <v>2137</v>
      </c>
      <c r="M723" s="31" t="n">
        <v>1</v>
      </c>
      <c r="N723" s="51" t="s">
        <v>462</v>
      </c>
      <c r="O723" s="35" t="s">
        <v>78</v>
      </c>
      <c r="P723" s="52"/>
      <c r="Q723" s="52"/>
      <c r="R723" s="33" t="n">
        <f aca="false">INDEX(Épopées!$L$6:$L$59,MATCH(K723,Épopées!$A$6:$A$59,0))</f>
        <v>46491</v>
      </c>
      <c r="S723" s="33" t="n">
        <f aca="false">INDEX(Épopées!$M$6:$M$59,MATCH(K723,Épopées!$A$6:$A$59,0))</f>
        <v>46510</v>
      </c>
      <c r="T723" s="53" t="s">
        <v>463</v>
      </c>
    </row>
    <row r="724" customFormat="false" ht="15" hidden="false" customHeight="false" outlineLevel="0" collapsed="false">
      <c r="A724" s="31" t="s">
        <v>2150</v>
      </c>
      <c r="B724" s="31" t="s">
        <v>342</v>
      </c>
      <c r="C724" s="31" t="s">
        <v>373</v>
      </c>
      <c r="D724" s="31" t="s">
        <v>374</v>
      </c>
      <c r="E724" s="31" t="s">
        <v>2151</v>
      </c>
      <c r="F724" s="31" t="s">
        <v>1623</v>
      </c>
      <c r="G724" s="31" t="s">
        <v>466</v>
      </c>
      <c r="H724" s="31" t="s">
        <v>39</v>
      </c>
      <c r="I724" s="31" t="n">
        <f aca="false">VLOOKUP(H724,Paramètres!$A$15:$B$19,2,FALSE())</f>
        <v>0.5</v>
      </c>
      <c r="J724" s="31" t="n">
        <v>1</v>
      </c>
      <c r="K724" s="50" t="str">
        <f aca="false">C724&amp;"|"&amp;J724</f>
        <v>MOB-F|1</v>
      </c>
      <c r="L724" s="31" t="s">
        <v>2135</v>
      </c>
      <c r="M724" s="31" t="n">
        <v>1</v>
      </c>
      <c r="N724" s="51" t="s">
        <v>462</v>
      </c>
      <c r="O724" s="35" t="s">
        <v>78</v>
      </c>
      <c r="P724" s="52"/>
      <c r="Q724" s="52"/>
      <c r="R724" s="33" t="n">
        <f aca="false">INDEX(Épopées!$L$6:$L$59,MATCH(K724,Épopées!$A$6:$A$59,0))</f>
        <v>46491</v>
      </c>
      <c r="S724" s="33" t="n">
        <f aca="false">INDEX(Épopées!$M$6:$M$59,MATCH(K724,Épopées!$A$6:$A$59,0))</f>
        <v>46510</v>
      </c>
      <c r="T724" s="53" t="s">
        <v>463</v>
      </c>
    </row>
    <row r="725" customFormat="false" ht="15" hidden="false" customHeight="false" outlineLevel="0" collapsed="false">
      <c r="A725" s="31" t="s">
        <v>2152</v>
      </c>
      <c r="B725" s="31" t="s">
        <v>342</v>
      </c>
      <c r="C725" s="31" t="s">
        <v>373</v>
      </c>
      <c r="D725" s="31" t="s">
        <v>374</v>
      </c>
      <c r="E725" s="31" t="s">
        <v>2153</v>
      </c>
      <c r="F725" s="31" t="s">
        <v>491</v>
      </c>
      <c r="G725" s="31" t="s">
        <v>461</v>
      </c>
      <c r="H725" s="31" t="s">
        <v>41</v>
      </c>
      <c r="I725" s="31" t="n">
        <f aca="false">VLOOKUP(H725,Paramètres!$A$15:$B$19,2,FALSE())</f>
        <v>1</v>
      </c>
      <c r="J725" s="31" t="n">
        <v>1</v>
      </c>
      <c r="K725" s="50" t="str">
        <f aca="false">C725&amp;"|"&amp;J725</f>
        <v>MOB-F|1</v>
      </c>
      <c r="L725" s="31" t="s">
        <v>2131</v>
      </c>
      <c r="M725" s="31" t="n">
        <v>5</v>
      </c>
      <c r="N725" s="51" t="s">
        <v>462</v>
      </c>
      <c r="O725" s="35" t="s">
        <v>78</v>
      </c>
      <c r="P725" s="52"/>
      <c r="Q725" s="52"/>
      <c r="R725" s="33" t="n">
        <f aca="false">INDEX(Épopées!$L$6:$L$59,MATCH(K725,Épopées!$A$6:$A$59,0))</f>
        <v>46491</v>
      </c>
      <c r="S725" s="33" t="n">
        <f aca="false">INDEX(Épopées!$M$6:$M$59,MATCH(K725,Épopées!$A$6:$A$59,0))</f>
        <v>46510</v>
      </c>
      <c r="T725" s="53" t="s">
        <v>463</v>
      </c>
    </row>
    <row r="726" customFormat="false" ht="15" hidden="false" customHeight="false" outlineLevel="0" collapsed="false">
      <c r="A726" s="31" t="s">
        <v>2154</v>
      </c>
      <c r="B726" s="31" t="s">
        <v>342</v>
      </c>
      <c r="C726" s="31" t="s">
        <v>373</v>
      </c>
      <c r="D726" s="31" t="s">
        <v>374</v>
      </c>
      <c r="E726" s="31" t="s">
        <v>2155</v>
      </c>
      <c r="F726" s="31" t="s">
        <v>1623</v>
      </c>
      <c r="G726" s="31" t="s">
        <v>461</v>
      </c>
      <c r="H726" s="31" t="s">
        <v>43</v>
      </c>
      <c r="I726" s="31" t="n">
        <f aca="false">VLOOKUP(H726,Paramètres!$A$15:$B$19,2,FALSE())</f>
        <v>2</v>
      </c>
      <c r="J726" s="31" t="n">
        <v>1</v>
      </c>
      <c r="K726" s="50" t="str">
        <f aca="false">C726&amp;"|"&amp;J726</f>
        <v>MOB-F|1</v>
      </c>
      <c r="L726" s="31" t="s">
        <v>2152</v>
      </c>
      <c r="M726" s="31" t="n">
        <v>1</v>
      </c>
      <c r="N726" s="51" t="s">
        <v>462</v>
      </c>
      <c r="O726" s="35" t="s">
        <v>78</v>
      </c>
      <c r="P726" s="52"/>
      <c r="Q726" s="52"/>
      <c r="R726" s="33" t="n">
        <f aca="false">INDEX(Épopées!$L$6:$L$59,MATCH(K726,Épopées!$A$6:$A$59,0))</f>
        <v>46491</v>
      </c>
      <c r="S726" s="33" t="n">
        <f aca="false">INDEX(Épopées!$M$6:$M$59,MATCH(K726,Épopées!$A$6:$A$59,0))</f>
        <v>46510</v>
      </c>
      <c r="T726" s="53" t="s">
        <v>463</v>
      </c>
    </row>
    <row r="727" customFormat="false" ht="15" hidden="false" customHeight="false" outlineLevel="0" collapsed="false">
      <c r="A727" s="31" t="s">
        <v>2156</v>
      </c>
      <c r="B727" s="31" t="s">
        <v>342</v>
      </c>
      <c r="C727" s="31" t="s">
        <v>373</v>
      </c>
      <c r="D727" s="31" t="s">
        <v>374</v>
      </c>
      <c r="E727" s="31" t="s">
        <v>2157</v>
      </c>
      <c r="F727" s="31" t="s">
        <v>1623</v>
      </c>
      <c r="G727" s="31" t="s">
        <v>466</v>
      </c>
      <c r="H727" s="31" t="s">
        <v>41</v>
      </c>
      <c r="I727" s="31" t="n">
        <f aca="false">VLOOKUP(H727,Paramètres!$A$15:$B$19,2,FALSE())</f>
        <v>1</v>
      </c>
      <c r="J727" s="31" t="n">
        <v>1</v>
      </c>
      <c r="K727" s="50" t="str">
        <f aca="false">C727&amp;"|"&amp;J727</f>
        <v>MOB-F|1</v>
      </c>
      <c r="L727" s="31" t="s">
        <v>2154</v>
      </c>
      <c r="M727" s="31" t="n">
        <v>1</v>
      </c>
      <c r="N727" s="51" t="s">
        <v>462</v>
      </c>
      <c r="O727" s="35" t="s">
        <v>78</v>
      </c>
      <c r="P727" s="52"/>
      <c r="Q727" s="52"/>
      <c r="R727" s="33" t="n">
        <f aca="false">INDEX(Épopées!$L$6:$L$59,MATCH(K727,Épopées!$A$6:$A$59,0))</f>
        <v>46491</v>
      </c>
      <c r="S727" s="33" t="n">
        <f aca="false">INDEX(Épopées!$M$6:$M$59,MATCH(K727,Épopées!$A$6:$A$59,0))</f>
        <v>46510</v>
      </c>
      <c r="T727" s="53" t="s">
        <v>463</v>
      </c>
    </row>
    <row r="728" customFormat="false" ht="15" hidden="false" customHeight="false" outlineLevel="0" collapsed="false">
      <c r="A728" s="31" t="s">
        <v>2158</v>
      </c>
      <c r="B728" s="31" t="s">
        <v>342</v>
      </c>
      <c r="C728" s="31" t="s">
        <v>373</v>
      </c>
      <c r="D728" s="31" t="s">
        <v>374</v>
      </c>
      <c r="E728" s="31" t="s">
        <v>2159</v>
      </c>
      <c r="F728" s="31" t="s">
        <v>1623</v>
      </c>
      <c r="G728" s="31" t="s">
        <v>466</v>
      </c>
      <c r="H728" s="31" t="s">
        <v>41</v>
      </c>
      <c r="I728" s="31" t="n">
        <f aca="false">VLOOKUP(H728,Paramètres!$A$15:$B$19,2,FALSE())</f>
        <v>1</v>
      </c>
      <c r="J728" s="31" t="n">
        <v>1</v>
      </c>
      <c r="K728" s="50" t="str">
        <f aca="false">C728&amp;"|"&amp;J728</f>
        <v>MOB-F|1</v>
      </c>
      <c r="L728" s="31" t="s">
        <v>2154</v>
      </c>
      <c r="M728" s="31" t="n">
        <v>1</v>
      </c>
      <c r="N728" s="51" t="s">
        <v>462</v>
      </c>
      <c r="O728" s="35" t="s">
        <v>78</v>
      </c>
      <c r="P728" s="52"/>
      <c r="Q728" s="52"/>
      <c r="R728" s="33" t="n">
        <f aca="false">INDEX(Épopées!$L$6:$L$59,MATCH(K728,Épopées!$A$6:$A$59,0))</f>
        <v>46491</v>
      </c>
      <c r="S728" s="33" t="n">
        <f aca="false">INDEX(Épopées!$M$6:$M$59,MATCH(K728,Épopées!$A$6:$A$59,0))</f>
        <v>46510</v>
      </c>
      <c r="T728" s="53" t="s">
        <v>463</v>
      </c>
    </row>
    <row r="729" customFormat="false" ht="15" hidden="false" customHeight="false" outlineLevel="0" collapsed="false">
      <c r="A729" s="31" t="s">
        <v>2160</v>
      </c>
      <c r="B729" s="31" t="s">
        <v>342</v>
      </c>
      <c r="C729" s="31" t="s">
        <v>373</v>
      </c>
      <c r="D729" s="31" t="s">
        <v>374</v>
      </c>
      <c r="E729" s="31" t="s">
        <v>2161</v>
      </c>
      <c r="F729" s="31" t="s">
        <v>1623</v>
      </c>
      <c r="G729" s="31" t="s">
        <v>466</v>
      </c>
      <c r="H729" s="31" t="s">
        <v>39</v>
      </c>
      <c r="I729" s="31" t="n">
        <f aca="false">VLOOKUP(H729,Paramètres!$A$15:$B$19,2,FALSE())</f>
        <v>0.5</v>
      </c>
      <c r="J729" s="31" t="n">
        <v>1</v>
      </c>
      <c r="K729" s="50" t="str">
        <f aca="false">C729&amp;"|"&amp;J729</f>
        <v>MOB-F|1</v>
      </c>
      <c r="L729" s="31" t="s">
        <v>2154</v>
      </c>
      <c r="M729" s="31" t="n">
        <v>1</v>
      </c>
      <c r="N729" s="51" t="s">
        <v>462</v>
      </c>
      <c r="O729" s="35" t="s">
        <v>78</v>
      </c>
      <c r="P729" s="52"/>
      <c r="Q729" s="52"/>
      <c r="R729" s="33" t="n">
        <f aca="false">INDEX(Épopées!$L$6:$L$59,MATCH(K729,Épopées!$A$6:$A$59,0))</f>
        <v>46491</v>
      </c>
      <c r="S729" s="33" t="n">
        <f aca="false">INDEX(Épopées!$M$6:$M$59,MATCH(K729,Épopées!$A$6:$A$59,0))</f>
        <v>46510</v>
      </c>
      <c r="T729" s="53" t="s">
        <v>463</v>
      </c>
    </row>
    <row r="730" customFormat="false" ht="15" hidden="false" customHeight="false" outlineLevel="0" collapsed="false">
      <c r="A730" s="31" t="s">
        <v>2162</v>
      </c>
      <c r="B730" s="31" t="s">
        <v>342</v>
      </c>
      <c r="C730" s="31" t="s">
        <v>373</v>
      </c>
      <c r="D730" s="31" t="s">
        <v>374</v>
      </c>
      <c r="E730" s="31" t="s">
        <v>2163</v>
      </c>
      <c r="F730" s="31" t="s">
        <v>1623</v>
      </c>
      <c r="G730" s="31" t="s">
        <v>466</v>
      </c>
      <c r="H730" s="31" t="s">
        <v>39</v>
      </c>
      <c r="I730" s="31" t="n">
        <f aca="false">VLOOKUP(H730,Paramètres!$A$15:$B$19,2,FALSE())</f>
        <v>0.5</v>
      </c>
      <c r="J730" s="31" t="n">
        <v>1</v>
      </c>
      <c r="K730" s="50" t="str">
        <f aca="false">C730&amp;"|"&amp;J730</f>
        <v>MOB-F|1</v>
      </c>
      <c r="L730" s="31" t="s">
        <v>2152</v>
      </c>
      <c r="M730" s="31" t="n">
        <v>1</v>
      </c>
      <c r="N730" s="51" t="s">
        <v>462</v>
      </c>
      <c r="O730" s="35" t="s">
        <v>78</v>
      </c>
      <c r="P730" s="52"/>
      <c r="Q730" s="52"/>
      <c r="R730" s="33" t="n">
        <f aca="false">INDEX(Épopées!$L$6:$L$59,MATCH(K730,Épopées!$A$6:$A$59,0))</f>
        <v>46491</v>
      </c>
      <c r="S730" s="33" t="n">
        <f aca="false">INDEX(Épopées!$M$6:$M$59,MATCH(K730,Épopées!$A$6:$A$59,0))</f>
        <v>46510</v>
      </c>
      <c r="T730" s="53" t="s">
        <v>463</v>
      </c>
    </row>
    <row r="731" customFormat="false" ht="15" hidden="false" customHeight="false" outlineLevel="0" collapsed="false">
      <c r="A731" s="31" t="s">
        <v>2164</v>
      </c>
      <c r="B731" s="31" t="s">
        <v>342</v>
      </c>
      <c r="C731" s="31" t="s">
        <v>373</v>
      </c>
      <c r="D731" s="31" t="s">
        <v>374</v>
      </c>
      <c r="E731" s="31" t="s">
        <v>2165</v>
      </c>
      <c r="F731" s="31" t="s">
        <v>491</v>
      </c>
      <c r="G731" s="31" t="s">
        <v>612</v>
      </c>
      <c r="H731" s="31" t="s">
        <v>39</v>
      </c>
      <c r="I731" s="31" t="n">
        <f aca="false">VLOOKUP(H731,Paramètres!$A$15:$B$19,2,FALSE())</f>
        <v>0.5</v>
      </c>
      <c r="J731" s="31" t="n">
        <v>1</v>
      </c>
      <c r="K731" s="50" t="str">
        <f aca="false">C731&amp;"|"&amp;J731</f>
        <v>MOB-F|1</v>
      </c>
      <c r="L731" s="31" t="s">
        <v>2166</v>
      </c>
      <c r="M731" s="31" t="n">
        <v>1</v>
      </c>
      <c r="N731" s="51" t="s">
        <v>462</v>
      </c>
      <c r="O731" s="35" t="s">
        <v>78</v>
      </c>
      <c r="P731" s="52"/>
      <c r="Q731" s="52"/>
      <c r="R731" s="33" t="n">
        <f aca="false">INDEX(Épopées!$L$6:$L$59,MATCH(K731,Épopées!$A$6:$A$59,0))</f>
        <v>46491</v>
      </c>
      <c r="S731" s="33" t="n">
        <f aca="false">INDEX(Épopées!$M$6:$M$59,MATCH(K731,Épopées!$A$6:$A$59,0))</f>
        <v>46510</v>
      </c>
      <c r="T731" s="53" t="s">
        <v>463</v>
      </c>
    </row>
    <row r="732" customFormat="false" ht="15" hidden="false" customHeight="false" outlineLevel="0" collapsed="false">
      <c r="A732" s="31" t="s">
        <v>2167</v>
      </c>
      <c r="B732" s="31" t="s">
        <v>342</v>
      </c>
      <c r="C732" s="31" t="s">
        <v>373</v>
      </c>
      <c r="D732" s="31" t="s">
        <v>374</v>
      </c>
      <c r="E732" s="31" t="s">
        <v>2168</v>
      </c>
      <c r="F732" s="31" t="s">
        <v>491</v>
      </c>
      <c r="G732" s="31" t="s">
        <v>461</v>
      </c>
      <c r="H732" s="31" t="s">
        <v>41</v>
      </c>
      <c r="I732" s="31" t="n">
        <f aca="false">VLOOKUP(H732,Paramètres!$A$15:$B$19,2,FALSE())</f>
        <v>1</v>
      </c>
      <c r="J732" s="31" t="n">
        <v>1</v>
      </c>
      <c r="K732" s="50" t="str">
        <f aca="false">C732&amp;"|"&amp;J732</f>
        <v>MOB-F|1</v>
      </c>
      <c r="L732" s="31" t="s">
        <v>2131</v>
      </c>
      <c r="M732" s="31" t="n">
        <v>3</v>
      </c>
      <c r="N732" s="51" t="s">
        <v>462</v>
      </c>
      <c r="O732" s="35" t="s">
        <v>78</v>
      </c>
      <c r="P732" s="52"/>
      <c r="Q732" s="52"/>
      <c r="R732" s="33" t="n">
        <f aca="false">INDEX(Épopées!$L$6:$L$59,MATCH(K732,Épopées!$A$6:$A$59,0))</f>
        <v>46491</v>
      </c>
      <c r="S732" s="33" t="n">
        <f aca="false">INDEX(Épopées!$M$6:$M$59,MATCH(K732,Épopées!$A$6:$A$59,0))</f>
        <v>46510</v>
      </c>
      <c r="T732" s="53" t="s">
        <v>463</v>
      </c>
    </row>
    <row r="733" customFormat="false" ht="15" hidden="false" customHeight="false" outlineLevel="0" collapsed="false">
      <c r="A733" s="31" t="s">
        <v>2169</v>
      </c>
      <c r="B733" s="31" t="s">
        <v>342</v>
      </c>
      <c r="C733" s="31" t="s">
        <v>373</v>
      </c>
      <c r="D733" s="31" t="s">
        <v>374</v>
      </c>
      <c r="E733" s="31" t="s">
        <v>2170</v>
      </c>
      <c r="F733" s="31" t="s">
        <v>1623</v>
      </c>
      <c r="G733" s="31" t="s">
        <v>461</v>
      </c>
      <c r="H733" s="31" t="s">
        <v>43</v>
      </c>
      <c r="I733" s="31" t="n">
        <f aca="false">VLOOKUP(H733,Paramètres!$A$15:$B$19,2,FALSE())</f>
        <v>2</v>
      </c>
      <c r="J733" s="31" t="n">
        <v>1</v>
      </c>
      <c r="K733" s="50" t="str">
        <f aca="false">C733&amp;"|"&amp;J733</f>
        <v>MOB-F|1</v>
      </c>
      <c r="L733" s="31" t="s">
        <v>2167</v>
      </c>
      <c r="M733" s="31" t="n">
        <v>1</v>
      </c>
      <c r="N733" s="51" t="s">
        <v>462</v>
      </c>
      <c r="O733" s="35" t="s">
        <v>78</v>
      </c>
      <c r="P733" s="52"/>
      <c r="Q733" s="52"/>
      <c r="R733" s="33" t="n">
        <f aca="false">INDEX(Épopées!$L$6:$L$59,MATCH(K733,Épopées!$A$6:$A$59,0))</f>
        <v>46491</v>
      </c>
      <c r="S733" s="33" t="n">
        <f aca="false">INDEX(Épopées!$M$6:$M$59,MATCH(K733,Épopées!$A$6:$A$59,0))</f>
        <v>46510</v>
      </c>
      <c r="T733" s="53" t="s">
        <v>463</v>
      </c>
    </row>
    <row r="734" customFormat="false" ht="15" hidden="false" customHeight="false" outlineLevel="0" collapsed="false">
      <c r="A734" s="31" t="s">
        <v>2171</v>
      </c>
      <c r="B734" s="31" t="s">
        <v>342</v>
      </c>
      <c r="C734" s="31" t="s">
        <v>373</v>
      </c>
      <c r="D734" s="31" t="s">
        <v>374</v>
      </c>
      <c r="E734" s="31" t="s">
        <v>2172</v>
      </c>
      <c r="F734" s="31" t="s">
        <v>1623</v>
      </c>
      <c r="G734" s="31" t="s">
        <v>466</v>
      </c>
      <c r="H734" s="31" t="s">
        <v>41</v>
      </c>
      <c r="I734" s="31" t="n">
        <f aca="false">VLOOKUP(H734,Paramètres!$A$15:$B$19,2,FALSE())</f>
        <v>1</v>
      </c>
      <c r="J734" s="31" t="n">
        <v>1</v>
      </c>
      <c r="K734" s="50" t="str">
        <f aca="false">C734&amp;"|"&amp;J734</f>
        <v>MOB-F|1</v>
      </c>
      <c r="L734" s="31" t="s">
        <v>2169</v>
      </c>
      <c r="M734" s="31" t="n">
        <v>1</v>
      </c>
      <c r="N734" s="51" t="s">
        <v>462</v>
      </c>
      <c r="O734" s="35" t="s">
        <v>78</v>
      </c>
      <c r="P734" s="52"/>
      <c r="Q734" s="52"/>
      <c r="R734" s="33" t="n">
        <f aca="false">INDEX(Épopées!$L$6:$L$59,MATCH(K734,Épopées!$A$6:$A$59,0))</f>
        <v>46491</v>
      </c>
      <c r="S734" s="33" t="n">
        <f aca="false">INDEX(Épopées!$M$6:$M$59,MATCH(K734,Épopées!$A$6:$A$59,0))</f>
        <v>46510</v>
      </c>
      <c r="T734" s="53" t="s">
        <v>463</v>
      </c>
    </row>
    <row r="735" customFormat="false" ht="15" hidden="false" customHeight="false" outlineLevel="0" collapsed="false">
      <c r="A735" s="31" t="s">
        <v>2173</v>
      </c>
      <c r="B735" s="31" t="s">
        <v>342</v>
      </c>
      <c r="C735" s="31" t="s">
        <v>373</v>
      </c>
      <c r="D735" s="31" t="s">
        <v>374</v>
      </c>
      <c r="E735" s="31" t="s">
        <v>2174</v>
      </c>
      <c r="F735" s="31" t="s">
        <v>1623</v>
      </c>
      <c r="G735" s="31" t="s">
        <v>466</v>
      </c>
      <c r="H735" s="31" t="s">
        <v>39</v>
      </c>
      <c r="I735" s="31" t="n">
        <f aca="false">VLOOKUP(H735,Paramètres!$A$15:$B$19,2,FALSE())</f>
        <v>0.5</v>
      </c>
      <c r="J735" s="31" t="n">
        <v>1</v>
      </c>
      <c r="K735" s="50" t="str">
        <f aca="false">C735&amp;"|"&amp;J735</f>
        <v>MOB-F|1</v>
      </c>
      <c r="L735" s="31" t="s">
        <v>2169</v>
      </c>
      <c r="M735" s="31" t="n">
        <v>1</v>
      </c>
      <c r="N735" s="51" t="s">
        <v>462</v>
      </c>
      <c r="O735" s="35" t="s">
        <v>78</v>
      </c>
      <c r="P735" s="52"/>
      <c r="Q735" s="52"/>
      <c r="R735" s="33" t="n">
        <f aca="false">INDEX(Épopées!$L$6:$L$59,MATCH(K735,Épopées!$A$6:$A$59,0))</f>
        <v>46491</v>
      </c>
      <c r="S735" s="33" t="n">
        <f aca="false">INDEX(Épopées!$M$6:$M$59,MATCH(K735,Épopées!$A$6:$A$59,0))</f>
        <v>46510</v>
      </c>
      <c r="T735" s="53" t="s">
        <v>463</v>
      </c>
    </row>
    <row r="736" customFormat="false" ht="15" hidden="false" customHeight="false" outlineLevel="0" collapsed="false">
      <c r="A736" s="31" t="s">
        <v>2175</v>
      </c>
      <c r="B736" s="31" t="s">
        <v>342</v>
      </c>
      <c r="C736" s="31" t="s">
        <v>373</v>
      </c>
      <c r="D736" s="31" t="s">
        <v>374</v>
      </c>
      <c r="E736" s="31" t="s">
        <v>2176</v>
      </c>
      <c r="F736" s="31" t="s">
        <v>481</v>
      </c>
      <c r="G736" s="31" t="s">
        <v>466</v>
      </c>
      <c r="H736" s="31" t="s">
        <v>41</v>
      </c>
      <c r="I736" s="31" t="n">
        <f aca="false">VLOOKUP(H736,Paramètres!$A$15:$B$19,2,FALSE())</f>
        <v>1</v>
      </c>
      <c r="J736" s="31" t="n">
        <v>1</v>
      </c>
      <c r="K736" s="50" t="str">
        <f aca="false">C736&amp;"|"&amp;J736</f>
        <v>MOB-F|1</v>
      </c>
      <c r="L736" s="31" t="s">
        <v>2177</v>
      </c>
      <c r="M736" s="31" t="n">
        <v>4</v>
      </c>
      <c r="N736" s="51" t="s">
        <v>462</v>
      </c>
      <c r="O736" s="35" t="s">
        <v>78</v>
      </c>
      <c r="P736" s="52"/>
      <c r="Q736" s="52"/>
      <c r="R736" s="33" t="n">
        <f aca="false">INDEX(Épopées!$L$6:$L$59,MATCH(K736,Épopées!$A$6:$A$59,0))</f>
        <v>46491</v>
      </c>
      <c r="S736" s="33" t="n">
        <f aca="false">INDEX(Épopées!$M$6:$M$59,MATCH(K736,Épopées!$A$6:$A$59,0))</f>
        <v>46510</v>
      </c>
      <c r="T736" s="53" t="s">
        <v>463</v>
      </c>
    </row>
    <row r="737" customFormat="false" ht="15" hidden="false" customHeight="false" outlineLevel="0" collapsed="false">
      <c r="A737" s="31" t="s">
        <v>2178</v>
      </c>
      <c r="B737" s="31" t="s">
        <v>342</v>
      </c>
      <c r="C737" s="31" t="s">
        <v>373</v>
      </c>
      <c r="D737" s="31" t="s">
        <v>374</v>
      </c>
      <c r="E737" s="31" t="s">
        <v>2179</v>
      </c>
      <c r="F737" s="31" t="s">
        <v>588</v>
      </c>
      <c r="G737" s="31" t="s">
        <v>466</v>
      </c>
      <c r="H737" s="31" t="s">
        <v>39</v>
      </c>
      <c r="I737" s="31" t="n">
        <f aca="false">VLOOKUP(H737,Paramètres!$A$15:$B$19,2,FALSE())</f>
        <v>0.5</v>
      </c>
      <c r="J737" s="31" t="n">
        <v>1</v>
      </c>
      <c r="K737" s="50" t="str">
        <f aca="false">C737&amp;"|"&amp;J737</f>
        <v>MOB-F|1</v>
      </c>
      <c r="L737" s="31" t="s">
        <v>2137</v>
      </c>
      <c r="M737" s="31" t="n">
        <v>7</v>
      </c>
      <c r="N737" s="51" t="s">
        <v>462</v>
      </c>
      <c r="O737" s="35" t="s">
        <v>78</v>
      </c>
      <c r="P737" s="52"/>
      <c r="Q737" s="52"/>
      <c r="R737" s="33" t="n">
        <f aca="false">INDEX(Épopées!$L$6:$L$59,MATCH(K737,Épopées!$A$6:$A$59,0))</f>
        <v>46491</v>
      </c>
      <c r="S737" s="33" t="n">
        <f aca="false">INDEX(Épopées!$M$6:$M$59,MATCH(K737,Épopées!$A$6:$A$59,0))</f>
        <v>46510</v>
      </c>
      <c r="T737" s="53" t="s">
        <v>463</v>
      </c>
    </row>
    <row r="738" customFormat="false" ht="15" hidden="false" customHeight="false" outlineLevel="0" collapsed="false">
      <c r="A738" s="31" t="s">
        <v>2180</v>
      </c>
      <c r="B738" s="31" t="s">
        <v>342</v>
      </c>
      <c r="C738" s="31" t="s">
        <v>373</v>
      </c>
      <c r="D738" s="31" t="s">
        <v>374</v>
      </c>
      <c r="E738" s="31" t="s">
        <v>2181</v>
      </c>
      <c r="F738" s="31" t="s">
        <v>1863</v>
      </c>
      <c r="G738" s="31" t="s">
        <v>466</v>
      </c>
      <c r="H738" s="31" t="s">
        <v>39</v>
      </c>
      <c r="I738" s="31" t="n">
        <f aca="false">VLOOKUP(H738,Paramètres!$A$15:$B$19,2,FALSE())</f>
        <v>0.5</v>
      </c>
      <c r="J738" s="31" t="n">
        <v>1</v>
      </c>
      <c r="K738" s="50" t="str">
        <f aca="false">C738&amp;"|"&amp;J738</f>
        <v>MOB-F|1</v>
      </c>
      <c r="L738" s="31" t="s">
        <v>2182</v>
      </c>
      <c r="M738" s="31" t="n">
        <v>5</v>
      </c>
      <c r="N738" s="51" t="s">
        <v>462</v>
      </c>
      <c r="O738" s="35" t="s">
        <v>78</v>
      </c>
      <c r="P738" s="52"/>
      <c r="Q738" s="52"/>
      <c r="R738" s="33" t="n">
        <f aca="false">INDEX(Épopées!$L$6:$L$59,MATCH(K738,Épopées!$A$6:$A$59,0))</f>
        <v>46491</v>
      </c>
      <c r="S738" s="33" t="n">
        <f aca="false">INDEX(Épopées!$M$6:$M$59,MATCH(K738,Épopées!$A$6:$A$59,0))</f>
        <v>46510</v>
      </c>
      <c r="T738" s="53" t="s">
        <v>463</v>
      </c>
    </row>
    <row r="739" customFormat="false" ht="15" hidden="false" customHeight="false" outlineLevel="0" collapsed="false">
      <c r="A739" s="31" t="s">
        <v>2183</v>
      </c>
      <c r="B739" s="31" t="s">
        <v>342</v>
      </c>
      <c r="C739" s="31" t="s">
        <v>373</v>
      </c>
      <c r="D739" s="31" t="s">
        <v>374</v>
      </c>
      <c r="E739" s="31" t="s">
        <v>2184</v>
      </c>
      <c r="F739" s="31" t="s">
        <v>472</v>
      </c>
      <c r="G739" s="31" t="s">
        <v>466</v>
      </c>
      <c r="H739" s="31" t="s">
        <v>41</v>
      </c>
      <c r="I739" s="31" t="n">
        <f aca="false">VLOOKUP(H739,Paramètres!$A$15:$B$19,2,FALSE())</f>
        <v>1</v>
      </c>
      <c r="J739" s="31" t="n">
        <v>1</v>
      </c>
      <c r="K739" s="50" t="str">
        <f aca="false">C739&amp;"|"&amp;J739</f>
        <v>MOB-F|1</v>
      </c>
      <c r="L739" s="31" t="s">
        <v>2185</v>
      </c>
      <c r="M739" s="31" t="n">
        <v>13</v>
      </c>
      <c r="N739" s="51" t="s">
        <v>462</v>
      </c>
      <c r="O739" s="35" t="s">
        <v>78</v>
      </c>
      <c r="P739" s="52"/>
      <c r="Q739" s="52"/>
      <c r="R739" s="33" t="n">
        <f aca="false">INDEX(Épopées!$L$6:$L$59,MATCH(K739,Épopées!$A$6:$A$59,0))</f>
        <v>46491</v>
      </c>
      <c r="S739" s="33" t="n">
        <f aca="false">INDEX(Épopées!$M$6:$M$59,MATCH(K739,Épopées!$A$6:$A$59,0))</f>
        <v>46510</v>
      </c>
      <c r="T739" s="53" t="s">
        <v>463</v>
      </c>
    </row>
    <row r="740" customFormat="false" ht="15" hidden="false" customHeight="false" outlineLevel="0" collapsed="false">
      <c r="A740" s="31" t="s">
        <v>2186</v>
      </c>
      <c r="B740" s="31" t="s">
        <v>342</v>
      </c>
      <c r="C740" s="31" t="s">
        <v>376</v>
      </c>
      <c r="D740" s="31" t="s">
        <v>313</v>
      </c>
      <c r="E740" s="31" t="s">
        <v>2187</v>
      </c>
      <c r="F740" s="31" t="s">
        <v>486</v>
      </c>
      <c r="G740" s="31" t="s">
        <v>461</v>
      </c>
      <c r="H740" s="31" t="s">
        <v>41</v>
      </c>
      <c r="I740" s="31" t="n">
        <f aca="false">VLOOKUP(H740,Paramètres!$A$15:$B$19,2,FALSE())</f>
        <v>1</v>
      </c>
      <c r="J740" s="31" t="n">
        <v>1</v>
      </c>
      <c r="K740" s="50" t="str">
        <f aca="false">C740&amp;"|"&amp;J740</f>
        <v>MOB-L|1</v>
      </c>
      <c r="L740" s="31"/>
      <c r="M740" s="31" t="n">
        <v>6</v>
      </c>
      <c r="N740" s="51" t="s">
        <v>462</v>
      </c>
      <c r="O740" s="35" t="s">
        <v>78</v>
      </c>
      <c r="P740" s="52"/>
      <c r="Q740" s="52"/>
      <c r="R740" s="33" t="n">
        <f aca="false">INDEX(Épopées!$L$6:$L$59,MATCH(K740,Épopées!$A$6:$A$59,0))</f>
        <v>46511</v>
      </c>
      <c r="S740" s="33" t="n">
        <f aca="false">INDEX(Épopées!$M$6:$M$59,MATCH(K740,Épopées!$A$6:$A$59,0))</f>
        <v>46533</v>
      </c>
      <c r="T740" s="53" t="s">
        <v>463</v>
      </c>
    </row>
    <row r="741" customFormat="false" ht="15" hidden="false" customHeight="false" outlineLevel="0" collapsed="false">
      <c r="A741" s="31" t="s">
        <v>2188</v>
      </c>
      <c r="B741" s="31" t="s">
        <v>342</v>
      </c>
      <c r="C741" s="31" t="s">
        <v>376</v>
      </c>
      <c r="D741" s="31" t="s">
        <v>313</v>
      </c>
      <c r="E741" s="31" t="s">
        <v>2189</v>
      </c>
      <c r="F741" s="31" t="s">
        <v>460</v>
      </c>
      <c r="G741" s="31" t="s">
        <v>461</v>
      </c>
      <c r="H741" s="31" t="s">
        <v>41</v>
      </c>
      <c r="I741" s="31" t="n">
        <f aca="false">VLOOKUP(H741,Paramètres!$A$15:$B$19,2,FALSE())</f>
        <v>1</v>
      </c>
      <c r="J741" s="31" t="n">
        <v>1</v>
      </c>
      <c r="K741" s="50" t="str">
        <f aca="false">C741&amp;"|"&amp;J741</f>
        <v>MOB-L|1</v>
      </c>
      <c r="L741" s="31" t="s">
        <v>2186</v>
      </c>
      <c r="M741" s="31" t="n">
        <v>4</v>
      </c>
      <c r="N741" s="51" t="s">
        <v>462</v>
      </c>
      <c r="O741" s="35" t="s">
        <v>78</v>
      </c>
      <c r="P741" s="52"/>
      <c r="Q741" s="52"/>
      <c r="R741" s="33" t="n">
        <f aca="false">INDEX(Épopées!$L$6:$L$59,MATCH(K741,Épopées!$A$6:$A$59,0))</f>
        <v>46511</v>
      </c>
      <c r="S741" s="33" t="n">
        <f aca="false">INDEX(Épopées!$M$6:$M$59,MATCH(K741,Épopées!$A$6:$A$59,0))</f>
        <v>46533</v>
      </c>
      <c r="T741" s="53" t="s">
        <v>463</v>
      </c>
    </row>
    <row r="742" customFormat="false" ht="15" hidden="false" customHeight="false" outlineLevel="0" collapsed="false">
      <c r="A742" s="31" t="s">
        <v>2190</v>
      </c>
      <c r="B742" s="31" t="s">
        <v>342</v>
      </c>
      <c r="C742" s="31" t="s">
        <v>376</v>
      </c>
      <c r="D742" s="31" t="s">
        <v>313</v>
      </c>
      <c r="E742" s="31" t="s">
        <v>2191</v>
      </c>
      <c r="F742" s="31" t="s">
        <v>491</v>
      </c>
      <c r="G742" s="31" t="s">
        <v>461</v>
      </c>
      <c r="H742" s="31" t="s">
        <v>41</v>
      </c>
      <c r="I742" s="31" t="n">
        <f aca="false">VLOOKUP(H742,Paramètres!$A$15:$B$19,2,FALSE())</f>
        <v>1</v>
      </c>
      <c r="J742" s="31" t="n">
        <v>1</v>
      </c>
      <c r="K742" s="50" t="str">
        <f aca="false">C742&amp;"|"&amp;J742</f>
        <v>MOB-L|1</v>
      </c>
      <c r="L742" s="31" t="s">
        <v>2192</v>
      </c>
      <c r="M742" s="31" t="n">
        <v>5</v>
      </c>
      <c r="N742" s="51" t="s">
        <v>462</v>
      </c>
      <c r="O742" s="35" t="s">
        <v>78</v>
      </c>
      <c r="P742" s="52"/>
      <c r="Q742" s="52"/>
      <c r="R742" s="33" t="n">
        <f aca="false">INDEX(Épopées!$L$6:$L$59,MATCH(K742,Épopées!$A$6:$A$59,0))</f>
        <v>46511</v>
      </c>
      <c r="S742" s="33" t="n">
        <f aca="false">INDEX(Épopées!$M$6:$M$59,MATCH(K742,Épopées!$A$6:$A$59,0))</f>
        <v>46533</v>
      </c>
      <c r="T742" s="53" t="s">
        <v>463</v>
      </c>
    </row>
    <row r="743" customFormat="false" ht="15" hidden="false" customHeight="false" outlineLevel="0" collapsed="false">
      <c r="A743" s="31" t="s">
        <v>2193</v>
      </c>
      <c r="B743" s="31" t="s">
        <v>342</v>
      </c>
      <c r="C743" s="31" t="s">
        <v>376</v>
      </c>
      <c r="D743" s="31" t="s">
        <v>313</v>
      </c>
      <c r="E743" s="31" t="s">
        <v>2194</v>
      </c>
      <c r="F743" s="31" t="s">
        <v>481</v>
      </c>
      <c r="G743" s="31" t="s">
        <v>466</v>
      </c>
      <c r="H743" s="31" t="s">
        <v>39</v>
      </c>
      <c r="I743" s="31" t="n">
        <f aca="false">VLOOKUP(H743,Paramètres!$A$15:$B$19,2,FALSE())</f>
        <v>0.5</v>
      </c>
      <c r="J743" s="31" t="n">
        <v>1</v>
      </c>
      <c r="K743" s="50" t="str">
        <f aca="false">C743&amp;"|"&amp;J743</f>
        <v>MOB-L|1</v>
      </c>
      <c r="L743" s="31" t="s">
        <v>2186</v>
      </c>
      <c r="M743" s="31" t="n">
        <v>3</v>
      </c>
      <c r="N743" s="51" t="s">
        <v>462</v>
      </c>
      <c r="O743" s="35" t="s">
        <v>78</v>
      </c>
      <c r="P743" s="52"/>
      <c r="Q743" s="52"/>
      <c r="R743" s="33" t="n">
        <f aca="false">INDEX(Épopées!$L$6:$L$59,MATCH(K743,Épopées!$A$6:$A$59,0))</f>
        <v>46511</v>
      </c>
      <c r="S743" s="33" t="n">
        <f aca="false">INDEX(Épopées!$M$6:$M$59,MATCH(K743,Épopées!$A$6:$A$59,0))</f>
        <v>46533</v>
      </c>
      <c r="T743" s="53" t="s">
        <v>463</v>
      </c>
    </row>
    <row r="744" customFormat="false" ht="15" hidden="false" customHeight="false" outlineLevel="0" collapsed="false">
      <c r="A744" s="31" t="s">
        <v>2195</v>
      </c>
      <c r="B744" s="31" t="s">
        <v>342</v>
      </c>
      <c r="C744" s="31" t="s">
        <v>376</v>
      </c>
      <c r="D744" s="31" t="s">
        <v>313</v>
      </c>
      <c r="E744" s="31" t="s">
        <v>2196</v>
      </c>
      <c r="F744" s="31" t="s">
        <v>491</v>
      </c>
      <c r="G744" s="31" t="s">
        <v>461</v>
      </c>
      <c r="H744" s="31" t="s">
        <v>43</v>
      </c>
      <c r="I744" s="31" t="n">
        <f aca="false">VLOOKUP(H744,Paramètres!$A$15:$B$19,2,FALSE())</f>
        <v>2</v>
      </c>
      <c r="J744" s="31" t="n">
        <v>1</v>
      </c>
      <c r="K744" s="50" t="str">
        <f aca="false">C744&amp;"|"&amp;J744</f>
        <v>MOB-L|1</v>
      </c>
      <c r="L744" s="31" t="s">
        <v>2190</v>
      </c>
      <c r="M744" s="31" t="n">
        <v>6</v>
      </c>
      <c r="N744" s="51" t="s">
        <v>462</v>
      </c>
      <c r="O744" s="35" t="s">
        <v>78</v>
      </c>
      <c r="P744" s="52"/>
      <c r="Q744" s="52"/>
      <c r="R744" s="33" t="n">
        <f aca="false">INDEX(Épopées!$L$6:$L$59,MATCH(K744,Épopées!$A$6:$A$59,0))</f>
        <v>46511</v>
      </c>
      <c r="S744" s="33" t="n">
        <f aca="false">INDEX(Épopées!$M$6:$M$59,MATCH(K744,Épopées!$A$6:$A$59,0))</f>
        <v>46533</v>
      </c>
      <c r="T744" s="53" t="s">
        <v>463</v>
      </c>
    </row>
    <row r="745" customFormat="false" ht="15" hidden="false" customHeight="false" outlineLevel="0" collapsed="false">
      <c r="A745" s="31" t="s">
        <v>2197</v>
      </c>
      <c r="B745" s="31" t="s">
        <v>342</v>
      </c>
      <c r="C745" s="31" t="s">
        <v>376</v>
      </c>
      <c r="D745" s="31" t="s">
        <v>313</v>
      </c>
      <c r="E745" s="31" t="s">
        <v>2198</v>
      </c>
      <c r="F745" s="31" t="s">
        <v>1623</v>
      </c>
      <c r="G745" s="31" t="s">
        <v>461</v>
      </c>
      <c r="H745" s="31" t="s">
        <v>43</v>
      </c>
      <c r="I745" s="31" t="n">
        <f aca="false">VLOOKUP(H745,Paramètres!$A$15:$B$19,2,FALSE())</f>
        <v>2</v>
      </c>
      <c r="J745" s="31" t="n">
        <v>1</v>
      </c>
      <c r="K745" s="50" t="str">
        <f aca="false">C745&amp;"|"&amp;J745</f>
        <v>MOB-L|1</v>
      </c>
      <c r="L745" s="31" t="s">
        <v>2199</v>
      </c>
      <c r="M745" s="31" t="n">
        <v>1</v>
      </c>
      <c r="N745" s="51" t="s">
        <v>462</v>
      </c>
      <c r="O745" s="35" t="s">
        <v>78</v>
      </c>
      <c r="P745" s="52"/>
      <c r="Q745" s="52"/>
      <c r="R745" s="33" t="n">
        <f aca="false">INDEX(Épopées!$L$6:$L$59,MATCH(K745,Épopées!$A$6:$A$59,0))</f>
        <v>46511</v>
      </c>
      <c r="S745" s="33" t="n">
        <f aca="false">INDEX(Épopées!$M$6:$M$59,MATCH(K745,Épopées!$A$6:$A$59,0))</f>
        <v>46533</v>
      </c>
      <c r="T745" s="53" t="s">
        <v>463</v>
      </c>
    </row>
    <row r="746" customFormat="false" ht="15" hidden="false" customHeight="false" outlineLevel="0" collapsed="false">
      <c r="A746" s="31" t="s">
        <v>2200</v>
      </c>
      <c r="B746" s="31" t="s">
        <v>342</v>
      </c>
      <c r="C746" s="31" t="s">
        <v>376</v>
      </c>
      <c r="D746" s="31" t="s">
        <v>313</v>
      </c>
      <c r="E746" s="31" t="s">
        <v>2201</v>
      </c>
      <c r="F746" s="31" t="s">
        <v>491</v>
      </c>
      <c r="G746" s="31" t="s">
        <v>466</v>
      </c>
      <c r="H746" s="31" t="s">
        <v>39</v>
      </c>
      <c r="I746" s="31" t="n">
        <f aca="false">VLOOKUP(H746,Paramètres!$A$15:$B$19,2,FALSE())</f>
        <v>0.5</v>
      </c>
      <c r="J746" s="31" t="n">
        <v>1</v>
      </c>
      <c r="K746" s="50" t="str">
        <f aca="false">C746&amp;"|"&amp;J746</f>
        <v>MOB-L|1</v>
      </c>
      <c r="L746" s="31" t="s">
        <v>2202</v>
      </c>
      <c r="M746" s="31" t="n">
        <v>2</v>
      </c>
      <c r="N746" s="51" t="s">
        <v>462</v>
      </c>
      <c r="O746" s="35" t="s">
        <v>78</v>
      </c>
      <c r="P746" s="52"/>
      <c r="Q746" s="52"/>
      <c r="R746" s="33" t="n">
        <f aca="false">INDEX(Épopées!$L$6:$L$59,MATCH(K746,Épopées!$A$6:$A$59,0))</f>
        <v>46511</v>
      </c>
      <c r="S746" s="33" t="n">
        <f aca="false">INDEX(Épopées!$M$6:$M$59,MATCH(K746,Épopées!$A$6:$A$59,0))</f>
        <v>46533</v>
      </c>
      <c r="T746" s="53" t="s">
        <v>463</v>
      </c>
    </row>
    <row r="747" customFormat="false" ht="15" hidden="false" customHeight="false" outlineLevel="0" collapsed="false">
      <c r="A747" s="31" t="s">
        <v>2203</v>
      </c>
      <c r="B747" s="31" t="s">
        <v>342</v>
      </c>
      <c r="C747" s="31" t="s">
        <v>376</v>
      </c>
      <c r="D747" s="31" t="s">
        <v>313</v>
      </c>
      <c r="E747" s="31" t="s">
        <v>2204</v>
      </c>
      <c r="F747" s="31" t="s">
        <v>1623</v>
      </c>
      <c r="G747" s="31" t="s">
        <v>466</v>
      </c>
      <c r="H747" s="31" t="s">
        <v>43</v>
      </c>
      <c r="I747" s="31" t="n">
        <f aca="false">VLOOKUP(H747,Paramètres!$A$15:$B$19,2,FALSE())</f>
        <v>2</v>
      </c>
      <c r="J747" s="31" t="n">
        <v>1</v>
      </c>
      <c r="K747" s="50" t="str">
        <f aca="false">C747&amp;"|"&amp;J747</f>
        <v>MOB-L|1</v>
      </c>
      <c r="L747" s="31" t="s">
        <v>2205</v>
      </c>
      <c r="M747" s="31" t="n">
        <v>1</v>
      </c>
      <c r="N747" s="51" t="s">
        <v>462</v>
      </c>
      <c r="O747" s="35" t="s">
        <v>78</v>
      </c>
      <c r="P747" s="52"/>
      <c r="Q747" s="52"/>
      <c r="R747" s="33" t="n">
        <f aca="false">INDEX(Épopées!$L$6:$L$59,MATCH(K747,Épopées!$A$6:$A$59,0))</f>
        <v>46511</v>
      </c>
      <c r="S747" s="33" t="n">
        <f aca="false">INDEX(Épopées!$M$6:$M$59,MATCH(K747,Épopées!$A$6:$A$59,0))</f>
        <v>46533</v>
      </c>
      <c r="T747" s="53" t="s">
        <v>463</v>
      </c>
    </row>
    <row r="748" customFormat="false" ht="15" hidden="false" customHeight="false" outlineLevel="0" collapsed="false">
      <c r="A748" s="31" t="s">
        <v>2206</v>
      </c>
      <c r="B748" s="31" t="s">
        <v>342</v>
      </c>
      <c r="C748" s="31" t="s">
        <v>376</v>
      </c>
      <c r="D748" s="31" t="s">
        <v>313</v>
      </c>
      <c r="E748" s="31" t="s">
        <v>2207</v>
      </c>
      <c r="F748" s="31" t="s">
        <v>1623</v>
      </c>
      <c r="G748" s="31" t="s">
        <v>466</v>
      </c>
      <c r="H748" s="31" t="s">
        <v>39</v>
      </c>
      <c r="I748" s="31" t="n">
        <f aca="false">VLOOKUP(H748,Paramètres!$A$15:$B$19,2,FALSE())</f>
        <v>0.5</v>
      </c>
      <c r="J748" s="31" t="n">
        <v>1</v>
      </c>
      <c r="K748" s="50" t="str">
        <f aca="false">C748&amp;"|"&amp;J748</f>
        <v>MOB-L|1</v>
      </c>
      <c r="L748" s="31" t="s">
        <v>2197</v>
      </c>
      <c r="M748" s="31" t="n">
        <v>1</v>
      </c>
      <c r="N748" s="51" t="s">
        <v>462</v>
      </c>
      <c r="O748" s="35" t="s">
        <v>78</v>
      </c>
      <c r="P748" s="52"/>
      <c r="Q748" s="52"/>
      <c r="R748" s="33" t="n">
        <f aca="false">INDEX(Épopées!$L$6:$L$59,MATCH(K748,Épopées!$A$6:$A$59,0))</f>
        <v>46511</v>
      </c>
      <c r="S748" s="33" t="n">
        <f aca="false">INDEX(Épopées!$M$6:$M$59,MATCH(K748,Épopées!$A$6:$A$59,0))</f>
        <v>46533</v>
      </c>
      <c r="T748" s="53" t="s">
        <v>463</v>
      </c>
    </row>
    <row r="749" customFormat="false" ht="15" hidden="false" customHeight="false" outlineLevel="0" collapsed="false">
      <c r="A749" s="31" t="s">
        <v>2208</v>
      </c>
      <c r="B749" s="31" t="s">
        <v>342</v>
      </c>
      <c r="C749" s="31" t="s">
        <v>376</v>
      </c>
      <c r="D749" s="31" t="s">
        <v>313</v>
      </c>
      <c r="E749" s="31" t="s">
        <v>2209</v>
      </c>
      <c r="F749" s="31" t="s">
        <v>1623</v>
      </c>
      <c r="G749" s="31" t="s">
        <v>466</v>
      </c>
      <c r="H749" s="31" t="s">
        <v>39</v>
      </c>
      <c r="I749" s="31" t="n">
        <f aca="false">VLOOKUP(H749,Paramètres!$A$15:$B$19,2,FALSE())</f>
        <v>0.5</v>
      </c>
      <c r="J749" s="31" t="n">
        <v>1</v>
      </c>
      <c r="K749" s="50" t="str">
        <f aca="false">C749&amp;"|"&amp;J749</f>
        <v>MOB-L|1</v>
      </c>
      <c r="L749" s="31" t="s">
        <v>2197</v>
      </c>
      <c r="M749" s="31" t="n">
        <v>1</v>
      </c>
      <c r="N749" s="51" t="s">
        <v>462</v>
      </c>
      <c r="O749" s="35" t="s">
        <v>78</v>
      </c>
      <c r="P749" s="52"/>
      <c r="Q749" s="52"/>
      <c r="R749" s="33" t="n">
        <f aca="false">INDEX(Épopées!$L$6:$L$59,MATCH(K749,Épopées!$A$6:$A$59,0))</f>
        <v>46511</v>
      </c>
      <c r="S749" s="33" t="n">
        <f aca="false">INDEX(Épopées!$M$6:$M$59,MATCH(K749,Épopées!$A$6:$A$59,0))</f>
        <v>46533</v>
      </c>
      <c r="T749" s="53" t="s">
        <v>463</v>
      </c>
    </row>
    <row r="750" customFormat="false" ht="15" hidden="false" customHeight="false" outlineLevel="0" collapsed="false">
      <c r="A750" s="31" t="s">
        <v>2210</v>
      </c>
      <c r="B750" s="31" t="s">
        <v>342</v>
      </c>
      <c r="C750" s="31" t="s">
        <v>376</v>
      </c>
      <c r="D750" s="31" t="s">
        <v>313</v>
      </c>
      <c r="E750" s="31" t="s">
        <v>2211</v>
      </c>
      <c r="F750" s="31" t="s">
        <v>491</v>
      </c>
      <c r="G750" s="31" t="s">
        <v>461</v>
      </c>
      <c r="H750" s="31" t="s">
        <v>41</v>
      </c>
      <c r="I750" s="31" t="n">
        <f aca="false">VLOOKUP(H750,Paramètres!$A$15:$B$19,2,FALSE())</f>
        <v>1</v>
      </c>
      <c r="J750" s="31" t="n">
        <v>1</v>
      </c>
      <c r="K750" s="50" t="str">
        <f aca="false">C750&amp;"|"&amp;J750</f>
        <v>MOB-L|1</v>
      </c>
      <c r="L750" s="31" t="s">
        <v>2186</v>
      </c>
      <c r="M750" s="31" t="n">
        <v>4</v>
      </c>
      <c r="N750" s="51" t="s">
        <v>462</v>
      </c>
      <c r="O750" s="35" t="s">
        <v>78</v>
      </c>
      <c r="P750" s="52"/>
      <c r="Q750" s="52"/>
      <c r="R750" s="33" t="n">
        <f aca="false">INDEX(Épopées!$L$6:$L$59,MATCH(K750,Épopées!$A$6:$A$59,0))</f>
        <v>46511</v>
      </c>
      <c r="S750" s="33" t="n">
        <f aca="false">INDEX(Épopées!$M$6:$M$59,MATCH(K750,Épopées!$A$6:$A$59,0))</f>
        <v>46533</v>
      </c>
      <c r="T750" s="53" t="s">
        <v>463</v>
      </c>
    </row>
    <row r="751" customFormat="false" ht="15" hidden="false" customHeight="false" outlineLevel="0" collapsed="false">
      <c r="A751" s="31" t="s">
        <v>2212</v>
      </c>
      <c r="B751" s="31" t="s">
        <v>342</v>
      </c>
      <c r="C751" s="31" t="s">
        <v>376</v>
      </c>
      <c r="D751" s="31" t="s">
        <v>313</v>
      </c>
      <c r="E751" s="31" t="s">
        <v>2213</v>
      </c>
      <c r="F751" s="31" t="s">
        <v>1623</v>
      </c>
      <c r="G751" s="31" t="s">
        <v>461</v>
      </c>
      <c r="H751" s="31" t="s">
        <v>43</v>
      </c>
      <c r="I751" s="31" t="n">
        <f aca="false">VLOOKUP(H751,Paramètres!$A$15:$B$19,2,FALSE())</f>
        <v>2</v>
      </c>
      <c r="J751" s="31" t="n">
        <v>1</v>
      </c>
      <c r="K751" s="50" t="str">
        <f aca="false">C751&amp;"|"&amp;J751</f>
        <v>MOB-L|1</v>
      </c>
      <c r="L751" s="31" t="s">
        <v>2214</v>
      </c>
      <c r="M751" s="31" t="n">
        <v>1</v>
      </c>
      <c r="N751" s="51" t="s">
        <v>462</v>
      </c>
      <c r="O751" s="35" t="s">
        <v>78</v>
      </c>
      <c r="P751" s="52"/>
      <c r="Q751" s="52"/>
      <c r="R751" s="33" t="n">
        <f aca="false">INDEX(Épopées!$L$6:$L$59,MATCH(K751,Épopées!$A$6:$A$59,0))</f>
        <v>46511</v>
      </c>
      <c r="S751" s="33" t="n">
        <f aca="false">INDEX(Épopées!$M$6:$M$59,MATCH(K751,Épopées!$A$6:$A$59,0))</f>
        <v>46533</v>
      </c>
      <c r="T751" s="53" t="s">
        <v>463</v>
      </c>
    </row>
    <row r="752" customFormat="false" ht="15" hidden="false" customHeight="false" outlineLevel="0" collapsed="false">
      <c r="A752" s="31" t="s">
        <v>2215</v>
      </c>
      <c r="B752" s="31" t="s">
        <v>342</v>
      </c>
      <c r="C752" s="31" t="s">
        <v>376</v>
      </c>
      <c r="D752" s="31" t="s">
        <v>313</v>
      </c>
      <c r="E752" s="31" t="s">
        <v>2216</v>
      </c>
      <c r="F752" s="31" t="s">
        <v>1623</v>
      </c>
      <c r="G752" s="31" t="s">
        <v>466</v>
      </c>
      <c r="H752" s="31" t="s">
        <v>41</v>
      </c>
      <c r="I752" s="31" t="n">
        <f aca="false">VLOOKUP(H752,Paramètres!$A$15:$B$19,2,FALSE())</f>
        <v>1</v>
      </c>
      <c r="J752" s="31" t="n">
        <v>1</v>
      </c>
      <c r="K752" s="50" t="str">
        <f aca="false">C752&amp;"|"&amp;J752</f>
        <v>MOB-L|1</v>
      </c>
      <c r="L752" s="31" t="s">
        <v>2212</v>
      </c>
      <c r="M752" s="31" t="n">
        <v>1</v>
      </c>
      <c r="N752" s="51" t="s">
        <v>462</v>
      </c>
      <c r="O752" s="35" t="s">
        <v>78</v>
      </c>
      <c r="P752" s="52"/>
      <c r="Q752" s="52"/>
      <c r="R752" s="33" t="n">
        <f aca="false">INDEX(Épopées!$L$6:$L$59,MATCH(K752,Épopées!$A$6:$A$59,0))</f>
        <v>46511</v>
      </c>
      <c r="S752" s="33" t="n">
        <f aca="false">INDEX(Épopées!$M$6:$M$59,MATCH(K752,Épopées!$A$6:$A$59,0))</f>
        <v>46533</v>
      </c>
      <c r="T752" s="53" t="s">
        <v>463</v>
      </c>
    </row>
    <row r="753" customFormat="false" ht="15" hidden="false" customHeight="false" outlineLevel="0" collapsed="false">
      <c r="A753" s="31" t="s">
        <v>2217</v>
      </c>
      <c r="B753" s="31" t="s">
        <v>342</v>
      </c>
      <c r="C753" s="31" t="s">
        <v>376</v>
      </c>
      <c r="D753" s="31" t="s">
        <v>313</v>
      </c>
      <c r="E753" s="31" t="s">
        <v>2218</v>
      </c>
      <c r="F753" s="31" t="s">
        <v>491</v>
      </c>
      <c r="G753" s="31" t="s">
        <v>466</v>
      </c>
      <c r="H753" s="31" t="s">
        <v>39</v>
      </c>
      <c r="I753" s="31" t="n">
        <f aca="false">VLOOKUP(H753,Paramètres!$A$15:$B$19,2,FALSE())</f>
        <v>0.5</v>
      </c>
      <c r="J753" s="31" t="n">
        <v>1</v>
      </c>
      <c r="K753" s="50" t="str">
        <f aca="false">C753&amp;"|"&amp;J753</f>
        <v>MOB-L|1</v>
      </c>
      <c r="L753" s="31" t="s">
        <v>2186</v>
      </c>
      <c r="M753" s="31" t="n">
        <v>3</v>
      </c>
      <c r="N753" s="51" t="s">
        <v>462</v>
      </c>
      <c r="O753" s="35" t="s">
        <v>78</v>
      </c>
      <c r="P753" s="52"/>
      <c r="Q753" s="52"/>
      <c r="R753" s="33" t="n">
        <f aca="false">INDEX(Épopées!$L$6:$L$59,MATCH(K753,Épopées!$A$6:$A$59,0))</f>
        <v>46511</v>
      </c>
      <c r="S753" s="33" t="n">
        <f aca="false">INDEX(Épopées!$M$6:$M$59,MATCH(K753,Épopées!$A$6:$A$59,0))</f>
        <v>46533</v>
      </c>
      <c r="T753" s="53" t="s">
        <v>463</v>
      </c>
    </row>
    <row r="754" customFormat="false" ht="15" hidden="false" customHeight="false" outlineLevel="0" collapsed="false">
      <c r="A754" s="31" t="s">
        <v>2219</v>
      </c>
      <c r="B754" s="31" t="s">
        <v>342</v>
      </c>
      <c r="C754" s="31" t="s">
        <v>376</v>
      </c>
      <c r="D754" s="31" t="s">
        <v>313</v>
      </c>
      <c r="E754" s="31" t="s">
        <v>2220</v>
      </c>
      <c r="F754" s="31" t="s">
        <v>1623</v>
      </c>
      <c r="G754" s="31" t="s">
        <v>461</v>
      </c>
      <c r="H754" s="31" t="s">
        <v>43</v>
      </c>
      <c r="I754" s="31" t="n">
        <f aca="false">VLOOKUP(H754,Paramètres!$A$15:$B$19,2,FALSE())</f>
        <v>2</v>
      </c>
      <c r="J754" s="31" t="n">
        <v>1</v>
      </c>
      <c r="K754" s="50" t="str">
        <f aca="false">C754&amp;"|"&amp;J754</f>
        <v>MOB-L|1</v>
      </c>
      <c r="L754" s="31" t="s">
        <v>2217</v>
      </c>
      <c r="M754" s="31" t="n">
        <v>1</v>
      </c>
      <c r="N754" s="51" t="s">
        <v>462</v>
      </c>
      <c r="O754" s="35" t="s">
        <v>78</v>
      </c>
      <c r="P754" s="52"/>
      <c r="Q754" s="52"/>
      <c r="R754" s="33" t="n">
        <f aca="false">INDEX(Épopées!$L$6:$L$59,MATCH(K754,Épopées!$A$6:$A$59,0))</f>
        <v>46511</v>
      </c>
      <c r="S754" s="33" t="n">
        <f aca="false">INDEX(Épopées!$M$6:$M$59,MATCH(K754,Épopées!$A$6:$A$59,0))</f>
        <v>46533</v>
      </c>
      <c r="T754" s="53" t="s">
        <v>463</v>
      </c>
    </row>
    <row r="755" customFormat="false" ht="15" hidden="false" customHeight="false" outlineLevel="0" collapsed="false">
      <c r="A755" s="31" t="s">
        <v>2221</v>
      </c>
      <c r="B755" s="31" t="s">
        <v>342</v>
      </c>
      <c r="C755" s="31" t="s">
        <v>376</v>
      </c>
      <c r="D755" s="31" t="s">
        <v>313</v>
      </c>
      <c r="E755" s="31" t="s">
        <v>2222</v>
      </c>
      <c r="F755" s="31" t="s">
        <v>1623</v>
      </c>
      <c r="G755" s="31" t="s">
        <v>461</v>
      </c>
      <c r="H755" s="31" t="s">
        <v>41</v>
      </c>
      <c r="I755" s="31" t="n">
        <f aca="false">VLOOKUP(H755,Paramètres!$A$15:$B$19,2,FALSE())</f>
        <v>1</v>
      </c>
      <c r="J755" s="31" t="n">
        <v>1</v>
      </c>
      <c r="K755" s="50" t="str">
        <f aca="false">C755&amp;"|"&amp;J755</f>
        <v>MOB-L|1</v>
      </c>
      <c r="L755" s="31" t="s">
        <v>2219</v>
      </c>
      <c r="M755" s="31" t="n">
        <v>1</v>
      </c>
      <c r="N755" s="51" t="s">
        <v>462</v>
      </c>
      <c r="O755" s="35" t="s">
        <v>78</v>
      </c>
      <c r="P755" s="52"/>
      <c r="Q755" s="52"/>
      <c r="R755" s="33" t="n">
        <f aca="false">INDEX(Épopées!$L$6:$L$59,MATCH(K755,Épopées!$A$6:$A$59,0))</f>
        <v>46511</v>
      </c>
      <c r="S755" s="33" t="n">
        <f aca="false">INDEX(Épopées!$M$6:$M$59,MATCH(K755,Épopées!$A$6:$A$59,0))</f>
        <v>46533</v>
      </c>
      <c r="T755" s="53" t="s">
        <v>463</v>
      </c>
    </row>
    <row r="756" customFormat="false" ht="15" hidden="false" customHeight="false" outlineLevel="0" collapsed="false">
      <c r="A756" s="31" t="s">
        <v>2223</v>
      </c>
      <c r="B756" s="31" t="s">
        <v>342</v>
      </c>
      <c r="C756" s="31" t="s">
        <v>376</v>
      </c>
      <c r="D756" s="31" t="s">
        <v>313</v>
      </c>
      <c r="E756" s="31" t="s">
        <v>2224</v>
      </c>
      <c r="F756" s="31" t="s">
        <v>1623</v>
      </c>
      <c r="G756" s="31" t="s">
        <v>461</v>
      </c>
      <c r="H756" s="31" t="s">
        <v>43</v>
      </c>
      <c r="I756" s="31" t="n">
        <f aca="false">VLOOKUP(H756,Paramètres!$A$15:$B$19,2,FALSE())</f>
        <v>2</v>
      </c>
      <c r="J756" s="31" t="n">
        <v>1</v>
      </c>
      <c r="K756" s="50" t="str">
        <f aca="false">C756&amp;"|"&amp;J756</f>
        <v>MOB-L|1</v>
      </c>
      <c r="L756" s="31" t="s">
        <v>2219</v>
      </c>
      <c r="M756" s="31" t="n">
        <v>1</v>
      </c>
      <c r="N756" s="51" t="s">
        <v>462</v>
      </c>
      <c r="O756" s="35" t="s">
        <v>78</v>
      </c>
      <c r="P756" s="52"/>
      <c r="Q756" s="52"/>
      <c r="R756" s="33" t="n">
        <f aca="false">INDEX(Épopées!$L$6:$L$59,MATCH(K756,Épopées!$A$6:$A$59,0))</f>
        <v>46511</v>
      </c>
      <c r="S756" s="33" t="n">
        <f aca="false">INDEX(Épopées!$M$6:$M$59,MATCH(K756,Épopées!$A$6:$A$59,0))</f>
        <v>46533</v>
      </c>
      <c r="T756" s="53" t="s">
        <v>463</v>
      </c>
    </row>
    <row r="757" customFormat="false" ht="15" hidden="false" customHeight="false" outlineLevel="0" collapsed="false">
      <c r="A757" s="31" t="s">
        <v>2225</v>
      </c>
      <c r="B757" s="31" t="s">
        <v>342</v>
      </c>
      <c r="C757" s="31" t="s">
        <v>376</v>
      </c>
      <c r="D757" s="31" t="s">
        <v>313</v>
      </c>
      <c r="E757" s="31" t="s">
        <v>2226</v>
      </c>
      <c r="F757" s="31" t="s">
        <v>1623</v>
      </c>
      <c r="G757" s="31" t="s">
        <v>466</v>
      </c>
      <c r="H757" s="31" t="s">
        <v>41</v>
      </c>
      <c r="I757" s="31" t="n">
        <f aca="false">VLOOKUP(H757,Paramètres!$A$15:$B$19,2,FALSE())</f>
        <v>1</v>
      </c>
      <c r="J757" s="31" t="n">
        <v>1</v>
      </c>
      <c r="K757" s="50" t="str">
        <f aca="false">C757&amp;"|"&amp;J757</f>
        <v>MOB-L|1</v>
      </c>
      <c r="L757" s="31" t="s">
        <v>2223</v>
      </c>
      <c r="M757" s="31" t="n">
        <v>1</v>
      </c>
      <c r="N757" s="51" t="s">
        <v>462</v>
      </c>
      <c r="O757" s="35" t="s">
        <v>78</v>
      </c>
      <c r="P757" s="52"/>
      <c r="Q757" s="52"/>
      <c r="R757" s="33" t="n">
        <f aca="false">INDEX(Épopées!$L$6:$L$59,MATCH(K757,Épopées!$A$6:$A$59,0))</f>
        <v>46511</v>
      </c>
      <c r="S757" s="33" t="n">
        <f aca="false">INDEX(Épopées!$M$6:$M$59,MATCH(K757,Épopées!$A$6:$A$59,0))</f>
        <v>46533</v>
      </c>
      <c r="T757" s="53" t="s">
        <v>463</v>
      </c>
    </row>
    <row r="758" customFormat="false" ht="15" hidden="false" customHeight="false" outlineLevel="0" collapsed="false">
      <c r="A758" s="31" t="s">
        <v>2227</v>
      </c>
      <c r="B758" s="31" t="s">
        <v>342</v>
      </c>
      <c r="C758" s="31" t="s">
        <v>376</v>
      </c>
      <c r="D758" s="31" t="s">
        <v>313</v>
      </c>
      <c r="E758" s="31" t="s">
        <v>2228</v>
      </c>
      <c r="F758" s="31" t="s">
        <v>1623</v>
      </c>
      <c r="G758" s="31" t="s">
        <v>461</v>
      </c>
      <c r="H758" s="31" t="s">
        <v>43</v>
      </c>
      <c r="I758" s="31" t="n">
        <f aca="false">VLOOKUP(H758,Paramètres!$A$15:$B$19,2,FALSE())</f>
        <v>2</v>
      </c>
      <c r="J758" s="31" t="n">
        <v>1</v>
      </c>
      <c r="K758" s="50" t="str">
        <f aca="false">C758&amp;"|"&amp;J758</f>
        <v>MOB-L|1</v>
      </c>
      <c r="L758" s="31" t="s">
        <v>2219</v>
      </c>
      <c r="M758" s="31" t="n">
        <v>1</v>
      </c>
      <c r="N758" s="51" t="s">
        <v>462</v>
      </c>
      <c r="O758" s="35" t="s">
        <v>78</v>
      </c>
      <c r="P758" s="52"/>
      <c r="Q758" s="52"/>
      <c r="R758" s="33" t="n">
        <f aca="false">INDEX(Épopées!$L$6:$L$59,MATCH(K758,Épopées!$A$6:$A$59,0))</f>
        <v>46511</v>
      </c>
      <c r="S758" s="33" t="n">
        <f aca="false">INDEX(Épopées!$M$6:$M$59,MATCH(K758,Épopées!$A$6:$A$59,0))</f>
        <v>46533</v>
      </c>
      <c r="T758" s="53" t="s">
        <v>463</v>
      </c>
    </row>
    <row r="759" customFormat="false" ht="15" hidden="false" customHeight="false" outlineLevel="0" collapsed="false">
      <c r="A759" s="31" t="s">
        <v>2229</v>
      </c>
      <c r="B759" s="31" t="s">
        <v>342</v>
      </c>
      <c r="C759" s="31" t="s">
        <v>376</v>
      </c>
      <c r="D759" s="31" t="s">
        <v>313</v>
      </c>
      <c r="E759" s="31" t="s">
        <v>2230</v>
      </c>
      <c r="F759" s="31" t="s">
        <v>1623</v>
      </c>
      <c r="G759" s="31" t="s">
        <v>461</v>
      </c>
      <c r="H759" s="31" t="s">
        <v>41</v>
      </c>
      <c r="I759" s="31" t="n">
        <f aca="false">VLOOKUP(H759,Paramètres!$A$15:$B$19,2,FALSE())</f>
        <v>1</v>
      </c>
      <c r="J759" s="31" t="n">
        <v>1</v>
      </c>
      <c r="K759" s="50" t="str">
        <f aca="false">C759&amp;"|"&amp;J759</f>
        <v>MOB-L|1</v>
      </c>
      <c r="L759" s="31" t="s">
        <v>2212</v>
      </c>
      <c r="M759" s="31" t="n">
        <v>1</v>
      </c>
      <c r="N759" s="51" t="s">
        <v>462</v>
      </c>
      <c r="O759" s="35" t="s">
        <v>78</v>
      </c>
      <c r="P759" s="52"/>
      <c r="Q759" s="52"/>
      <c r="R759" s="33" t="n">
        <f aca="false">INDEX(Épopées!$L$6:$L$59,MATCH(K759,Épopées!$A$6:$A$59,0))</f>
        <v>46511</v>
      </c>
      <c r="S759" s="33" t="n">
        <f aca="false">INDEX(Épopées!$M$6:$M$59,MATCH(K759,Épopées!$A$6:$A$59,0))</f>
        <v>46533</v>
      </c>
      <c r="T759" s="53" t="s">
        <v>463</v>
      </c>
    </row>
    <row r="760" customFormat="false" ht="15" hidden="false" customHeight="false" outlineLevel="0" collapsed="false">
      <c r="A760" s="31" t="s">
        <v>2231</v>
      </c>
      <c r="B760" s="31" t="s">
        <v>342</v>
      </c>
      <c r="C760" s="31" t="s">
        <v>376</v>
      </c>
      <c r="D760" s="31" t="s">
        <v>313</v>
      </c>
      <c r="E760" s="31" t="s">
        <v>2232</v>
      </c>
      <c r="F760" s="31" t="s">
        <v>1623</v>
      </c>
      <c r="G760" s="31" t="s">
        <v>461</v>
      </c>
      <c r="H760" s="31" t="s">
        <v>41</v>
      </c>
      <c r="I760" s="31" t="n">
        <f aca="false">VLOOKUP(H760,Paramètres!$A$15:$B$19,2,FALSE())</f>
        <v>1</v>
      </c>
      <c r="J760" s="31" t="n">
        <v>1</v>
      </c>
      <c r="K760" s="50" t="str">
        <f aca="false">C760&amp;"|"&amp;J760</f>
        <v>MOB-L|1</v>
      </c>
      <c r="L760" s="31" t="s">
        <v>2233</v>
      </c>
      <c r="M760" s="31" t="n">
        <v>1</v>
      </c>
      <c r="N760" s="51" t="s">
        <v>462</v>
      </c>
      <c r="O760" s="35" t="s">
        <v>78</v>
      </c>
      <c r="P760" s="52"/>
      <c r="Q760" s="52"/>
      <c r="R760" s="33" t="n">
        <f aca="false">INDEX(Épopées!$L$6:$L$59,MATCH(K760,Épopées!$A$6:$A$59,0))</f>
        <v>46511</v>
      </c>
      <c r="S760" s="33" t="n">
        <f aca="false">INDEX(Épopées!$M$6:$M$59,MATCH(K760,Épopées!$A$6:$A$59,0))</f>
        <v>46533</v>
      </c>
      <c r="T760" s="53" t="s">
        <v>463</v>
      </c>
    </row>
    <row r="761" customFormat="false" ht="15" hidden="false" customHeight="false" outlineLevel="0" collapsed="false">
      <c r="A761" s="31" t="s">
        <v>2234</v>
      </c>
      <c r="B761" s="31" t="s">
        <v>342</v>
      </c>
      <c r="C761" s="31" t="s">
        <v>376</v>
      </c>
      <c r="D761" s="31" t="s">
        <v>313</v>
      </c>
      <c r="E761" s="31" t="s">
        <v>2235</v>
      </c>
      <c r="F761" s="31" t="s">
        <v>491</v>
      </c>
      <c r="G761" s="31" t="s">
        <v>461</v>
      </c>
      <c r="H761" s="31" t="s">
        <v>43</v>
      </c>
      <c r="I761" s="31" t="n">
        <f aca="false">VLOOKUP(H761,Paramètres!$A$15:$B$19,2,FALSE())</f>
        <v>2</v>
      </c>
      <c r="J761" s="31" t="n">
        <v>1</v>
      </c>
      <c r="K761" s="50" t="str">
        <f aca="false">C761&amp;"|"&amp;J761</f>
        <v>MOB-L|1</v>
      </c>
      <c r="L761" s="31" t="s">
        <v>2236</v>
      </c>
      <c r="M761" s="31" t="n">
        <v>4</v>
      </c>
      <c r="N761" s="51" t="s">
        <v>462</v>
      </c>
      <c r="O761" s="35" t="s">
        <v>78</v>
      </c>
      <c r="P761" s="52"/>
      <c r="Q761" s="52"/>
      <c r="R761" s="33" t="n">
        <f aca="false">INDEX(Épopées!$L$6:$L$59,MATCH(K761,Épopées!$A$6:$A$59,0))</f>
        <v>46511</v>
      </c>
      <c r="S761" s="33" t="n">
        <f aca="false">INDEX(Épopées!$M$6:$M$59,MATCH(K761,Épopées!$A$6:$A$59,0))</f>
        <v>46533</v>
      </c>
      <c r="T761" s="53" t="s">
        <v>463</v>
      </c>
    </row>
    <row r="762" customFormat="false" ht="15" hidden="false" customHeight="false" outlineLevel="0" collapsed="false">
      <c r="A762" s="31" t="s">
        <v>2237</v>
      </c>
      <c r="B762" s="31" t="s">
        <v>342</v>
      </c>
      <c r="C762" s="31" t="s">
        <v>376</v>
      </c>
      <c r="D762" s="31" t="s">
        <v>313</v>
      </c>
      <c r="E762" s="31" t="s">
        <v>2238</v>
      </c>
      <c r="F762" s="31" t="s">
        <v>1623</v>
      </c>
      <c r="G762" s="31" t="s">
        <v>461</v>
      </c>
      <c r="H762" s="31" t="s">
        <v>41</v>
      </c>
      <c r="I762" s="31" t="n">
        <f aca="false">VLOOKUP(H762,Paramètres!$A$15:$B$19,2,FALSE())</f>
        <v>1</v>
      </c>
      <c r="J762" s="31" t="n">
        <v>1</v>
      </c>
      <c r="K762" s="50" t="str">
        <f aca="false">C762&amp;"|"&amp;J762</f>
        <v>MOB-L|1</v>
      </c>
      <c r="L762" s="31" t="s">
        <v>2239</v>
      </c>
      <c r="M762" s="31" t="n">
        <v>1</v>
      </c>
      <c r="N762" s="51" t="s">
        <v>462</v>
      </c>
      <c r="O762" s="35" t="s">
        <v>78</v>
      </c>
      <c r="P762" s="52"/>
      <c r="Q762" s="52"/>
      <c r="R762" s="33" t="n">
        <f aca="false">INDEX(Épopées!$L$6:$L$59,MATCH(K762,Épopées!$A$6:$A$59,0))</f>
        <v>46511</v>
      </c>
      <c r="S762" s="33" t="n">
        <f aca="false">INDEX(Épopées!$M$6:$M$59,MATCH(K762,Épopées!$A$6:$A$59,0))</f>
        <v>46533</v>
      </c>
      <c r="T762" s="53" t="s">
        <v>463</v>
      </c>
    </row>
    <row r="763" customFormat="false" ht="15" hidden="false" customHeight="false" outlineLevel="0" collapsed="false">
      <c r="A763" s="31" t="s">
        <v>2240</v>
      </c>
      <c r="B763" s="31" t="s">
        <v>342</v>
      </c>
      <c r="C763" s="31" t="s">
        <v>376</v>
      </c>
      <c r="D763" s="31" t="s">
        <v>313</v>
      </c>
      <c r="E763" s="31" t="s">
        <v>2241</v>
      </c>
      <c r="F763" s="31" t="s">
        <v>1623</v>
      </c>
      <c r="G763" s="31" t="s">
        <v>466</v>
      </c>
      <c r="H763" s="31" t="s">
        <v>41</v>
      </c>
      <c r="I763" s="31" t="n">
        <f aca="false">VLOOKUP(H763,Paramètres!$A$15:$B$19,2,FALSE())</f>
        <v>1</v>
      </c>
      <c r="J763" s="31" t="n">
        <v>1</v>
      </c>
      <c r="K763" s="50" t="str">
        <f aca="false">C763&amp;"|"&amp;J763</f>
        <v>MOB-L|1</v>
      </c>
      <c r="L763" s="31" t="s">
        <v>2242</v>
      </c>
      <c r="M763" s="31" t="n">
        <v>1</v>
      </c>
      <c r="N763" s="51" t="s">
        <v>462</v>
      </c>
      <c r="O763" s="35" t="s">
        <v>78</v>
      </c>
      <c r="P763" s="52"/>
      <c r="Q763" s="52"/>
      <c r="R763" s="33" t="n">
        <f aca="false">INDEX(Épopées!$L$6:$L$59,MATCH(K763,Épopées!$A$6:$A$59,0))</f>
        <v>46511</v>
      </c>
      <c r="S763" s="33" t="n">
        <f aca="false">INDEX(Épopées!$M$6:$M$59,MATCH(K763,Épopées!$A$6:$A$59,0))</f>
        <v>46533</v>
      </c>
      <c r="T763" s="53" t="s">
        <v>463</v>
      </c>
    </row>
    <row r="764" customFormat="false" ht="15" hidden="false" customHeight="false" outlineLevel="0" collapsed="false">
      <c r="A764" s="31" t="s">
        <v>2243</v>
      </c>
      <c r="B764" s="31" t="s">
        <v>342</v>
      </c>
      <c r="C764" s="31" t="s">
        <v>376</v>
      </c>
      <c r="D764" s="31" t="s">
        <v>313</v>
      </c>
      <c r="E764" s="31" t="s">
        <v>2244</v>
      </c>
      <c r="F764" s="31" t="s">
        <v>481</v>
      </c>
      <c r="G764" s="31" t="s">
        <v>461</v>
      </c>
      <c r="H764" s="31" t="s">
        <v>39</v>
      </c>
      <c r="I764" s="31" t="n">
        <f aca="false">VLOOKUP(H764,Paramètres!$A$15:$B$19,2,FALSE())</f>
        <v>0.5</v>
      </c>
      <c r="J764" s="31" t="n">
        <v>1</v>
      </c>
      <c r="K764" s="50" t="str">
        <f aca="false">C764&amp;"|"&amp;J764</f>
        <v>MOB-L|1</v>
      </c>
      <c r="L764" s="31" t="s">
        <v>2229</v>
      </c>
      <c r="M764" s="31" t="n">
        <v>4</v>
      </c>
      <c r="N764" s="51" t="s">
        <v>462</v>
      </c>
      <c r="O764" s="35" t="s">
        <v>78</v>
      </c>
      <c r="P764" s="52"/>
      <c r="Q764" s="52"/>
      <c r="R764" s="33" t="n">
        <f aca="false">INDEX(Épopées!$L$6:$L$59,MATCH(K764,Épopées!$A$6:$A$59,0))</f>
        <v>46511</v>
      </c>
      <c r="S764" s="33" t="n">
        <f aca="false">INDEX(Épopées!$M$6:$M$59,MATCH(K764,Épopées!$A$6:$A$59,0))</f>
        <v>46533</v>
      </c>
      <c r="T764" s="53" t="s">
        <v>463</v>
      </c>
    </row>
    <row r="765" customFormat="false" ht="15" hidden="false" customHeight="false" outlineLevel="0" collapsed="false">
      <c r="A765" s="31" t="s">
        <v>2245</v>
      </c>
      <c r="B765" s="31" t="s">
        <v>342</v>
      </c>
      <c r="C765" s="31" t="s">
        <v>376</v>
      </c>
      <c r="D765" s="31" t="s">
        <v>313</v>
      </c>
      <c r="E765" s="31" t="s">
        <v>2246</v>
      </c>
      <c r="F765" s="31" t="s">
        <v>469</v>
      </c>
      <c r="G765" s="31" t="s">
        <v>466</v>
      </c>
      <c r="H765" s="31" t="s">
        <v>39</v>
      </c>
      <c r="I765" s="31" t="n">
        <f aca="false">VLOOKUP(H765,Paramètres!$A$15:$B$19,2,FALSE())</f>
        <v>0.5</v>
      </c>
      <c r="J765" s="31" t="n">
        <v>1</v>
      </c>
      <c r="K765" s="50" t="str">
        <f aca="false">C765&amp;"|"&amp;J765</f>
        <v>MOB-L|1</v>
      </c>
      <c r="L765" s="31" t="s">
        <v>2223</v>
      </c>
      <c r="M765" s="31" t="n">
        <v>2</v>
      </c>
      <c r="N765" s="51" t="s">
        <v>462</v>
      </c>
      <c r="O765" s="35" t="s">
        <v>78</v>
      </c>
      <c r="P765" s="52"/>
      <c r="Q765" s="52"/>
      <c r="R765" s="33" t="n">
        <f aca="false">INDEX(Épopées!$L$6:$L$59,MATCH(K765,Épopées!$A$6:$A$59,0))</f>
        <v>46511</v>
      </c>
      <c r="S765" s="33" t="n">
        <f aca="false">INDEX(Épopées!$M$6:$M$59,MATCH(K765,Épopées!$A$6:$A$59,0))</f>
        <v>46533</v>
      </c>
      <c r="T765" s="53" t="s">
        <v>463</v>
      </c>
    </row>
    <row r="766" customFormat="false" ht="15" hidden="false" customHeight="false" outlineLevel="0" collapsed="false">
      <c r="A766" s="31" t="s">
        <v>2247</v>
      </c>
      <c r="B766" s="31" t="s">
        <v>342</v>
      </c>
      <c r="C766" s="31" t="s">
        <v>376</v>
      </c>
      <c r="D766" s="31" t="s">
        <v>313</v>
      </c>
      <c r="E766" s="31" t="s">
        <v>2248</v>
      </c>
      <c r="F766" s="31" t="s">
        <v>481</v>
      </c>
      <c r="G766" s="31" t="s">
        <v>466</v>
      </c>
      <c r="H766" s="31" t="s">
        <v>39</v>
      </c>
      <c r="I766" s="31" t="n">
        <f aca="false">VLOOKUP(H766,Paramètres!$A$15:$B$19,2,FALSE())</f>
        <v>0.5</v>
      </c>
      <c r="J766" s="31" t="n">
        <v>1</v>
      </c>
      <c r="K766" s="50" t="str">
        <f aca="false">C766&amp;"|"&amp;J766</f>
        <v>MOB-L|1</v>
      </c>
      <c r="L766" s="31" t="s">
        <v>2212</v>
      </c>
      <c r="M766" s="31" t="n">
        <v>3</v>
      </c>
      <c r="N766" s="51" t="s">
        <v>462</v>
      </c>
      <c r="O766" s="35" t="s">
        <v>78</v>
      </c>
      <c r="P766" s="52"/>
      <c r="Q766" s="52"/>
      <c r="R766" s="33" t="n">
        <f aca="false">INDEX(Épopées!$L$6:$L$59,MATCH(K766,Épopées!$A$6:$A$59,0))</f>
        <v>46511</v>
      </c>
      <c r="S766" s="33" t="n">
        <f aca="false">INDEX(Épopées!$M$6:$M$59,MATCH(K766,Épopées!$A$6:$A$59,0))</f>
        <v>46533</v>
      </c>
      <c r="T766" s="53" t="s">
        <v>463</v>
      </c>
    </row>
    <row r="767" customFormat="false" ht="15" hidden="false" customHeight="false" outlineLevel="0" collapsed="false">
      <c r="A767" s="31" t="s">
        <v>2249</v>
      </c>
      <c r="B767" s="31" t="s">
        <v>342</v>
      </c>
      <c r="C767" s="31" t="s">
        <v>376</v>
      </c>
      <c r="D767" s="31" t="s">
        <v>313</v>
      </c>
      <c r="E767" s="31" t="s">
        <v>2250</v>
      </c>
      <c r="F767" s="31" t="s">
        <v>588</v>
      </c>
      <c r="G767" s="31" t="s">
        <v>466</v>
      </c>
      <c r="H767" s="31" t="s">
        <v>41</v>
      </c>
      <c r="I767" s="31" t="n">
        <f aca="false">VLOOKUP(H767,Paramètres!$A$15:$B$19,2,FALSE())</f>
        <v>1</v>
      </c>
      <c r="J767" s="31" t="n">
        <v>1</v>
      </c>
      <c r="K767" s="50" t="str">
        <f aca="false">C767&amp;"|"&amp;J767</f>
        <v>MOB-L|1</v>
      </c>
      <c r="L767" s="31" t="s">
        <v>2251</v>
      </c>
      <c r="M767" s="31" t="n">
        <v>7</v>
      </c>
      <c r="N767" s="51" t="s">
        <v>462</v>
      </c>
      <c r="O767" s="35" t="s">
        <v>78</v>
      </c>
      <c r="P767" s="52"/>
      <c r="Q767" s="52"/>
      <c r="R767" s="33" t="n">
        <f aca="false">INDEX(Épopées!$L$6:$L$59,MATCH(K767,Épopées!$A$6:$A$59,0))</f>
        <v>46511</v>
      </c>
      <c r="S767" s="33" t="n">
        <f aca="false">INDEX(Épopées!$M$6:$M$59,MATCH(K767,Épopées!$A$6:$A$59,0))</f>
        <v>46533</v>
      </c>
      <c r="T767" s="53" t="s">
        <v>463</v>
      </c>
    </row>
    <row r="768" customFormat="false" ht="15" hidden="false" customHeight="false" outlineLevel="0" collapsed="false">
      <c r="A768" s="31" t="s">
        <v>2252</v>
      </c>
      <c r="B768" s="31" t="s">
        <v>342</v>
      </c>
      <c r="C768" s="31" t="s">
        <v>376</v>
      </c>
      <c r="D768" s="31" t="s">
        <v>313</v>
      </c>
      <c r="E768" s="31" t="s">
        <v>2253</v>
      </c>
      <c r="F768" s="31" t="s">
        <v>472</v>
      </c>
      <c r="G768" s="31" t="s">
        <v>466</v>
      </c>
      <c r="H768" s="31" t="s">
        <v>43</v>
      </c>
      <c r="I768" s="31" t="n">
        <f aca="false">VLOOKUP(H768,Paramètres!$A$15:$B$19,2,FALSE())</f>
        <v>2</v>
      </c>
      <c r="J768" s="31" t="n">
        <v>1</v>
      </c>
      <c r="K768" s="50" t="str">
        <f aca="false">C768&amp;"|"&amp;J768</f>
        <v>MOB-L|1</v>
      </c>
      <c r="L768" s="31" t="s">
        <v>2254</v>
      </c>
      <c r="M768" s="31" t="n">
        <v>15</v>
      </c>
      <c r="N768" s="51" t="s">
        <v>462</v>
      </c>
      <c r="O768" s="35" t="s">
        <v>78</v>
      </c>
      <c r="P768" s="52"/>
      <c r="Q768" s="52"/>
      <c r="R768" s="33" t="n">
        <f aca="false">INDEX(Épopées!$L$6:$L$59,MATCH(K768,Épopées!$A$6:$A$59,0))</f>
        <v>46511</v>
      </c>
      <c r="S768" s="33" t="n">
        <f aca="false">INDEX(Épopées!$M$6:$M$59,MATCH(K768,Épopées!$A$6:$A$59,0))</f>
        <v>46533</v>
      </c>
      <c r="T768" s="53" t="s">
        <v>463</v>
      </c>
    </row>
    <row r="769" customFormat="false" ht="15" hidden="false" customHeight="false" outlineLevel="0" collapsed="false">
      <c r="A769" s="31" t="s">
        <v>2255</v>
      </c>
      <c r="B769" s="31" t="s">
        <v>342</v>
      </c>
      <c r="C769" s="31" t="s">
        <v>378</v>
      </c>
      <c r="D769" s="31" t="s">
        <v>379</v>
      </c>
      <c r="E769" s="31" t="s">
        <v>2256</v>
      </c>
      <c r="F769" s="31" t="s">
        <v>481</v>
      </c>
      <c r="G769" s="31" t="s">
        <v>461</v>
      </c>
      <c r="H769" s="31" t="s">
        <v>39</v>
      </c>
      <c r="I769" s="31" t="n">
        <f aca="false">VLOOKUP(H769,Paramètres!$A$15:$B$19,2,FALSE())</f>
        <v>0.5</v>
      </c>
      <c r="J769" s="31" t="n">
        <v>1</v>
      </c>
      <c r="K769" s="50" t="str">
        <f aca="false">C769&amp;"|"&amp;J769</f>
        <v>MOB-D|1</v>
      </c>
      <c r="L769" s="31"/>
      <c r="M769" s="31" t="n">
        <v>2</v>
      </c>
      <c r="N769" s="51" t="s">
        <v>462</v>
      </c>
      <c r="O769" s="35" t="s">
        <v>78</v>
      </c>
      <c r="P769" s="52"/>
      <c r="Q769" s="52"/>
      <c r="R769" s="33" t="n">
        <f aca="false">INDEX(Épopées!$L$6:$L$59,MATCH(K769,Épopées!$A$6:$A$59,0))</f>
        <v>46534</v>
      </c>
      <c r="S769" s="33" t="n">
        <f aca="false">INDEX(Épopées!$M$6:$M$59,MATCH(K769,Épopées!$A$6:$A$59,0))</f>
        <v>46552</v>
      </c>
      <c r="T769" s="53" t="s">
        <v>463</v>
      </c>
    </row>
    <row r="770" customFormat="false" ht="15" hidden="false" customHeight="false" outlineLevel="0" collapsed="false">
      <c r="A770" s="31" t="s">
        <v>2257</v>
      </c>
      <c r="B770" s="31" t="s">
        <v>342</v>
      </c>
      <c r="C770" s="31" t="s">
        <v>378</v>
      </c>
      <c r="D770" s="31" t="s">
        <v>379</v>
      </c>
      <c r="E770" s="31" t="s">
        <v>2258</v>
      </c>
      <c r="F770" s="31" t="s">
        <v>486</v>
      </c>
      <c r="G770" s="31" t="s">
        <v>461</v>
      </c>
      <c r="H770" s="31" t="s">
        <v>41</v>
      </c>
      <c r="I770" s="31" t="n">
        <f aca="false">VLOOKUP(H770,Paramètres!$A$15:$B$19,2,FALSE())</f>
        <v>1</v>
      </c>
      <c r="J770" s="31" t="n">
        <v>1</v>
      </c>
      <c r="K770" s="50" t="str">
        <f aca="false">C770&amp;"|"&amp;J770</f>
        <v>MOB-D|1</v>
      </c>
      <c r="L770" s="31"/>
      <c r="M770" s="31" t="n">
        <v>3</v>
      </c>
      <c r="N770" s="51" t="s">
        <v>462</v>
      </c>
      <c r="O770" s="35" t="s">
        <v>78</v>
      </c>
      <c r="P770" s="52"/>
      <c r="Q770" s="52"/>
      <c r="R770" s="33" t="n">
        <f aca="false">INDEX(Épopées!$L$6:$L$59,MATCH(K770,Épopées!$A$6:$A$59,0))</f>
        <v>46534</v>
      </c>
      <c r="S770" s="33" t="n">
        <f aca="false">INDEX(Épopées!$M$6:$M$59,MATCH(K770,Épopées!$A$6:$A$59,0))</f>
        <v>46552</v>
      </c>
      <c r="T770" s="53" t="s">
        <v>463</v>
      </c>
    </row>
    <row r="771" customFormat="false" ht="15" hidden="false" customHeight="false" outlineLevel="0" collapsed="false">
      <c r="A771" s="31" t="s">
        <v>2259</v>
      </c>
      <c r="B771" s="31" t="s">
        <v>342</v>
      </c>
      <c r="C771" s="31" t="s">
        <v>378</v>
      </c>
      <c r="D771" s="31" t="s">
        <v>379</v>
      </c>
      <c r="E771" s="31" t="s">
        <v>2260</v>
      </c>
      <c r="F771" s="31" t="s">
        <v>460</v>
      </c>
      <c r="G771" s="31" t="s">
        <v>461</v>
      </c>
      <c r="H771" s="31" t="s">
        <v>41</v>
      </c>
      <c r="I771" s="31" t="n">
        <f aca="false">VLOOKUP(H771,Paramètres!$A$15:$B$19,2,FALSE())</f>
        <v>1</v>
      </c>
      <c r="J771" s="31" t="n">
        <v>1</v>
      </c>
      <c r="K771" s="50" t="str">
        <f aca="false">C771&amp;"|"&amp;J771</f>
        <v>MOB-D|1</v>
      </c>
      <c r="L771" s="31" t="s">
        <v>2257</v>
      </c>
      <c r="M771" s="31" t="n">
        <v>3</v>
      </c>
      <c r="N771" s="51" t="s">
        <v>462</v>
      </c>
      <c r="O771" s="35" t="s">
        <v>78</v>
      </c>
      <c r="P771" s="52"/>
      <c r="Q771" s="52"/>
      <c r="R771" s="33" t="n">
        <f aca="false">INDEX(Épopées!$L$6:$L$59,MATCH(K771,Épopées!$A$6:$A$59,0))</f>
        <v>46534</v>
      </c>
      <c r="S771" s="33" t="n">
        <f aca="false">INDEX(Épopées!$M$6:$M$59,MATCH(K771,Épopées!$A$6:$A$59,0))</f>
        <v>46552</v>
      </c>
      <c r="T771" s="53" t="s">
        <v>463</v>
      </c>
    </row>
    <row r="772" customFormat="false" ht="15" hidden="false" customHeight="false" outlineLevel="0" collapsed="false">
      <c r="A772" s="31" t="s">
        <v>2261</v>
      </c>
      <c r="B772" s="31" t="s">
        <v>342</v>
      </c>
      <c r="C772" s="31" t="s">
        <v>378</v>
      </c>
      <c r="D772" s="31" t="s">
        <v>379</v>
      </c>
      <c r="E772" s="31" t="s">
        <v>2262</v>
      </c>
      <c r="F772" s="31" t="s">
        <v>486</v>
      </c>
      <c r="G772" s="31" t="s">
        <v>461</v>
      </c>
      <c r="H772" s="31" t="s">
        <v>41</v>
      </c>
      <c r="I772" s="31" t="n">
        <f aca="false">VLOOKUP(H772,Paramètres!$A$15:$B$19,2,FALSE())</f>
        <v>1</v>
      </c>
      <c r="J772" s="31" t="n">
        <v>1</v>
      </c>
      <c r="K772" s="50" t="str">
        <f aca="false">C772&amp;"|"&amp;J772</f>
        <v>MOB-D|1</v>
      </c>
      <c r="L772" s="31" t="s">
        <v>2257</v>
      </c>
      <c r="M772" s="31" t="n">
        <v>2</v>
      </c>
      <c r="N772" s="51" t="s">
        <v>462</v>
      </c>
      <c r="O772" s="35" t="s">
        <v>78</v>
      </c>
      <c r="P772" s="52"/>
      <c r="Q772" s="52"/>
      <c r="R772" s="33" t="n">
        <f aca="false">INDEX(Épopées!$L$6:$L$59,MATCH(K772,Épopées!$A$6:$A$59,0))</f>
        <v>46534</v>
      </c>
      <c r="S772" s="33" t="n">
        <f aca="false">INDEX(Épopées!$M$6:$M$59,MATCH(K772,Épopées!$A$6:$A$59,0))</f>
        <v>46552</v>
      </c>
      <c r="T772" s="53" t="s">
        <v>463</v>
      </c>
    </row>
    <row r="773" customFormat="false" ht="15" hidden="false" customHeight="false" outlineLevel="0" collapsed="false">
      <c r="A773" s="31" t="s">
        <v>2263</v>
      </c>
      <c r="B773" s="31" t="s">
        <v>342</v>
      </c>
      <c r="C773" s="31" t="s">
        <v>378</v>
      </c>
      <c r="D773" s="31" t="s">
        <v>379</v>
      </c>
      <c r="E773" s="31" t="s">
        <v>2264</v>
      </c>
      <c r="F773" s="31" t="s">
        <v>491</v>
      </c>
      <c r="G773" s="31" t="s">
        <v>461</v>
      </c>
      <c r="H773" s="31" t="s">
        <v>41</v>
      </c>
      <c r="I773" s="31" t="n">
        <f aca="false">VLOOKUP(H773,Paramètres!$A$15:$B$19,2,FALSE())</f>
        <v>1</v>
      </c>
      <c r="J773" s="31" t="n">
        <v>1</v>
      </c>
      <c r="K773" s="50" t="str">
        <f aca="false">C773&amp;"|"&amp;J773</f>
        <v>MOB-D|1</v>
      </c>
      <c r="L773" s="31" t="s">
        <v>2265</v>
      </c>
      <c r="M773" s="31" t="n">
        <v>3</v>
      </c>
      <c r="N773" s="51" t="s">
        <v>462</v>
      </c>
      <c r="O773" s="35" t="s">
        <v>78</v>
      </c>
      <c r="P773" s="52"/>
      <c r="Q773" s="52"/>
      <c r="R773" s="33" t="n">
        <f aca="false">INDEX(Épopées!$L$6:$L$59,MATCH(K773,Épopées!$A$6:$A$59,0))</f>
        <v>46534</v>
      </c>
      <c r="S773" s="33" t="n">
        <f aca="false">INDEX(Épopées!$M$6:$M$59,MATCH(K773,Épopées!$A$6:$A$59,0))</f>
        <v>46552</v>
      </c>
      <c r="T773" s="53" t="s">
        <v>463</v>
      </c>
    </row>
    <row r="774" customFormat="false" ht="15" hidden="false" customHeight="false" outlineLevel="0" collapsed="false">
      <c r="A774" s="31" t="s">
        <v>2266</v>
      </c>
      <c r="B774" s="31" t="s">
        <v>342</v>
      </c>
      <c r="C774" s="31" t="s">
        <v>378</v>
      </c>
      <c r="D774" s="31" t="s">
        <v>379</v>
      </c>
      <c r="E774" s="31" t="s">
        <v>2267</v>
      </c>
      <c r="F774" s="31" t="s">
        <v>491</v>
      </c>
      <c r="G774" s="31" t="s">
        <v>461</v>
      </c>
      <c r="H774" s="31" t="s">
        <v>43</v>
      </c>
      <c r="I774" s="31" t="n">
        <f aca="false">VLOOKUP(H774,Paramètres!$A$15:$B$19,2,FALSE())</f>
        <v>2</v>
      </c>
      <c r="J774" s="31" t="n">
        <v>1</v>
      </c>
      <c r="K774" s="50" t="str">
        <f aca="false">C774&amp;"|"&amp;J774</f>
        <v>MOB-D|1</v>
      </c>
      <c r="L774" s="31" t="s">
        <v>2263</v>
      </c>
      <c r="M774" s="31" t="n">
        <v>7</v>
      </c>
      <c r="N774" s="51" t="s">
        <v>462</v>
      </c>
      <c r="O774" s="35" t="s">
        <v>78</v>
      </c>
      <c r="P774" s="52"/>
      <c r="Q774" s="52"/>
      <c r="R774" s="33" t="n">
        <f aca="false">INDEX(Épopées!$L$6:$L$59,MATCH(K774,Épopées!$A$6:$A$59,0))</f>
        <v>46534</v>
      </c>
      <c r="S774" s="33" t="n">
        <f aca="false">INDEX(Épopées!$M$6:$M$59,MATCH(K774,Épopées!$A$6:$A$59,0))</f>
        <v>46552</v>
      </c>
      <c r="T774" s="53" t="s">
        <v>463</v>
      </c>
    </row>
    <row r="775" customFormat="false" ht="15" hidden="false" customHeight="false" outlineLevel="0" collapsed="false">
      <c r="A775" s="31" t="s">
        <v>2268</v>
      </c>
      <c r="B775" s="31" t="s">
        <v>342</v>
      </c>
      <c r="C775" s="31" t="s">
        <v>378</v>
      </c>
      <c r="D775" s="31" t="s">
        <v>379</v>
      </c>
      <c r="E775" s="31" t="s">
        <v>2269</v>
      </c>
      <c r="F775" s="31" t="s">
        <v>491</v>
      </c>
      <c r="G775" s="31" t="s">
        <v>461</v>
      </c>
      <c r="H775" s="31" t="s">
        <v>41</v>
      </c>
      <c r="I775" s="31" t="n">
        <f aca="false">VLOOKUP(H775,Paramètres!$A$15:$B$19,2,FALSE())</f>
        <v>1</v>
      </c>
      <c r="J775" s="31" t="n">
        <v>1</v>
      </c>
      <c r="K775" s="50" t="str">
        <f aca="false">C775&amp;"|"&amp;J775</f>
        <v>MOB-D|1</v>
      </c>
      <c r="L775" s="31" t="s">
        <v>2263</v>
      </c>
      <c r="M775" s="31" t="n">
        <v>1</v>
      </c>
      <c r="N775" s="51" t="s">
        <v>462</v>
      </c>
      <c r="O775" s="35" t="s">
        <v>78</v>
      </c>
      <c r="P775" s="52"/>
      <c r="Q775" s="52"/>
      <c r="R775" s="33" t="n">
        <f aca="false">INDEX(Épopées!$L$6:$L$59,MATCH(K775,Épopées!$A$6:$A$59,0))</f>
        <v>46534</v>
      </c>
      <c r="S775" s="33" t="n">
        <f aca="false">INDEX(Épopées!$M$6:$M$59,MATCH(K775,Épopées!$A$6:$A$59,0))</f>
        <v>46552</v>
      </c>
      <c r="T775" s="53" t="s">
        <v>463</v>
      </c>
    </row>
    <row r="776" customFormat="false" ht="15" hidden="false" customHeight="false" outlineLevel="0" collapsed="false">
      <c r="A776" s="31" t="s">
        <v>2270</v>
      </c>
      <c r="B776" s="31" t="s">
        <v>342</v>
      </c>
      <c r="C776" s="31" t="s">
        <v>378</v>
      </c>
      <c r="D776" s="31" t="s">
        <v>379</v>
      </c>
      <c r="E776" s="31" t="s">
        <v>2271</v>
      </c>
      <c r="F776" s="31" t="s">
        <v>1623</v>
      </c>
      <c r="G776" s="31" t="s">
        <v>461</v>
      </c>
      <c r="H776" s="31" t="s">
        <v>41</v>
      </c>
      <c r="I776" s="31" t="n">
        <f aca="false">VLOOKUP(H776,Paramètres!$A$15:$B$19,2,FALSE())</f>
        <v>1</v>
      </c>
      <c r="J776" s="31" t="n">
        <v>1</v>
      </c>
      <c r="K776" s="50" t="str">
        <f aca="false">C776&amp;"|"&amp;J776</f>
        <v>MOB-D|1</v>
      </c>
      <c r="L776" s="31" t="s">
        <v>2272</v>
      </c>
      <c r="M776" s="31" t="n">
        <v>1</v>
      </c>
      <c r="N776" s="51" t="s">
        <v>462</v>
      </c>
      <c r="O776" s="35" t="s">
        <v>78</v>
      </c>
      <c r="P776" s="52"/>
      <c r="Q776" s="52"/>
      <c r="R776" s="33" t="n">
        <f aca="false">INDEX(Épopées!$L$6:$L$59,MATCH(K776,Épopées!$A$6:$A$59,0))</f>
        <v>46534</v>
      </c>
      <c r="S776" s="33" t="n">
        <f aca="false">INDEX(Épopées!$M$6:$M$59,MATCH(K776,Épopées!$A$6:$A$59,0))</f>
        <v>46552</v>
      </c>
      <c r="T776" s="53" t="s">
        <v>463</v>
      </c>
    </row>
    <row r="777" customFormat="false" ht="15" hidden="false" customHeight="false" outlineLevel="0" collapsed="false">
      <c r="A777" s="31" t="s">
        <v>2273</v>
      </c>
      <c r="B777" s="31" t="s">
        <v>342</v>
      </c>
      <c r="C777" s="31" t="s">
        <v>378</v>
      </c>
      <c r="D777" s="31" t="s">
        <v>379</v>
      </c>
      <c r="E777" s="31" t="s">
        <v>2274</v>
      </c>
      <c r="F777" s="31" t="s">
        <v>1623</v>
      </c>
      <c r="G777" s="31" t="s">
        <v>466</v>
      </c>
      <c r="H777" s="31" t="s">
        <v>39</v>
      </c>
      <c r="I777" s="31" t="n">
        <f aca="false">VLOOKUP(H777,Paramètres!$A$15:$B$19,2,FALSE())</f>
        <v>0.5</v>
      </c>
      <c r="J777" s="31" t="n">
        <v>1</v>
      </c>
      <c r="K777" s="50" t="str">
        <f aca="false">C777&amp;"|"&amp;J777</f>
        <v>MOB-D|1</v>
      </c>
      <c r="L777" s="31" t="s">
        <v>2266</v>
      </c>
      <c r="M777" s="31" t="n">
        <v>1</v>
      </c>
      <c r="N777" s="51" t="s">
        <v>462</v>
      </c>
      <c r="O777" s="35" t="s">
        <v>78</v>
      </c>
      <c r="P777" s="52"/>
      <c r="Q777" s="52"/>
      <c r="R777" s="33" t="n">
        <f aca="false">INDEX(Épopées!$L$6:$L$59,MATCH(K777,Épopées!$A$6:$A$59,0))</f>
        <v>46534</v>
      </c>
      <c r="S777" s="33" t="n">
        <f aca="false">INDEX(Épopées!$M$6:$M$59,MATCH(K777,Épopées!$A$6:$A$59,0))</f>
        <v>46552</v>
      </c>
      <c r="T777" s="53" t="s">
        <v>463</v>
      </c>
    </row>
    <row r="778" customFormat="false" ht="15" hidden="false" customHeight="false" outlineLevel="0" collapsed="false">
      <c r="A778" s="31" t="s">
        <v>2275</v>
      </c>
      <c r="B778" s="31" t="s">
        <v>342</v>
      </c>
      <c r="C778" s="31" t="s">
        <v>378</v>
      </c>
      <c r="D778" s="31" t="s">
        <v>379</v>
      </c>
      <c r="E778" s="31" t="s">
        <v>2276</v>
      </c>
      <c r="F778" s="31" t="s">
        <v>1623</v>
      </c>
      <c r="G778" s="31" t="s">
        <v>461</v>
      </c>
      <c r="H778" s="31" t="s">
        <v>43</v>
      </c>
      <c r="I778" s="31" t="n">
        <f aca="false">VLOOKUP(H778,Paramètres!$A$15:$B$19,2,FALSE())</f>
        <v>2</v>
      </c>
      <c r="J778" s="31" t="n">
        <v>1</v>
      </c>
      <c r="K778" s="50" t="str">
        <f aca="false">C778&amp;"|"&amp;J778</f>
        <v>MOB-D|1</v>
      </c>
      <c r="L778" s="31" t="s">
        <v>2277</v>
      </c>
      <c r="M778" s="31" t="n">
        <v>3</v>
      </c>
      <c r="N778" s="51" t="s">
        <v>462</v>
      </c>
      <c r="O778" s="35" t="s">
        <v>78</v>
      </c>
      <c r="P778" s="52"/>
      <c r="Q778" s="52"/>
      <c r="R778" s="33" t="n">
        <f aca="false">INDEX(Épopées!$L$6:$L$59,MATCH(K778,Épopées!$A$6:$A$59,0))</f>
        <v>46534</v>
      </c>
      <c r="S778" s="33" t="n">
        <f aca="false">INDEX(Épopées!$M$6:$M$59,MATCH(K778,Épopées!$A$6:$A$59,0))</f>
        <v>46552</v>
      </c>
      <c r="T778" s="53" t="s">
        <v>463</v>
      </c>
    </row>
    <row r="779" customFormat="false" ht="15" hidden="false" customHeight="false" outlineLevel="0" collapsed="false">
      <c r="A779" s="31" t="s">
        <v>2278</v>
      </c>
      <c r="B779" s="31" t="s">
        <v>342</v>
      </c>
      <c r="C779" s="31" t="s">
        <v>378</v>
      </c>
      <c r="D779" s="31" t="s">
        <v>379</v>
      </c>
      <c r="E779" s="31" t="s">
        <v>2279</v>
      </c>
      <c r="F779" s="31" t="s">
        <v>1863</v>
      </c>
      <c r="G779" s="31" t="s">
        <v>466</v>
      </c>
      <c r="H779" s="31" t="s">
        <v>41</v>
      </c>
      <c r="I779" s="31" t="n">
        <f aca="false">VLOOKUP(H779,Paramètres!$A$15:$B$19,2,FALSE())</f>
        <v>1</v>
      </c>
      <c r="J779" s="31" t="n">
        <v>1</v>
      </c>
      <c r="K779" s="50" t="str">
        <f aca="false">C779&amp;"|"&amp;J779</f>
        <v>MOB-D|1</v>
      </c>
      <c r="L779" s="31" t="s">
        <v>2275</v>
      </c>
      <c r="M779" s="31" t="n">
        <v>3</v>
      </c>
      <c r="N779" s="51" t="s">
        <v>462</v>
      </c>
      <c r="O779" s="35" t="s">
        <v>78</v>
      </c>
      <c r="P779" s="52"/>
      <c r="Q779" s="52"/>
      <c r="R779" s="33" t="n">
        <f aca="false">INDEX(Épopées!$L$6:$L$59,MATCH(K779,Épopées!$A$6:$A$59,0))</f>
        <v>46534</v>
      </c>
      <c r="S779" s="33" t="n">
        <f aca="false">INDEX(Épopées!$M$6:$M$59,MATCH(K779,Épopées!$A$6:$A$59,0))</f>
        <v>46552</v>
      </c>
      <c r="T779" s="53" t="s">
        <v>463</v>
      </c>
    </row>
    <row r="780" customFormat="false" ht="15" hidden="false" customHeight="false" outlineLevel="0" collapsed="false">
      <c r="A780" s="31" t="s">
        <v>2280</v>
      </c>
      <c r="B780" s="31" t="s">
        <v>342</v>
      </c>
      <c r="C780" s="31" t="s">
        <v>378</v>
      </c>
      <c r="D780" s="31" t="s">
        <v>379</v>
      </c>
      <c r="E780" s="31" t="s">
        <v>2281</v>
      </c>
      <c r="F780" s="31" t="s">
        <v>1623</v>
      </c>
      <c r="G780" s="31" t="s">
        <v>461</v>
      </c>
      <c r="H780" s="31" t="s">
        <v>41</v>
      </c>
      <c r="I780" s="31" t="n">
        <f aca="false">VLOOKUP(H780,Paramètres!$A$15:$B$19,2,FALSE())</f>
        <v>1</v>
      </c>
      <c r="J780" s="31" t="n">
        <v>1</v>
      </c>
      <c r="K780" s="50" t="str">
        <f aca="false">C780&amp;"|"&amp;J780</f>
        <v>MOB-D|1</v>
      </c>
      <c r="L780" s="31" t="s">
        <v>2275</v>
      </c>
      <c r="M780" s="31" t="n">
        <v>2</v>
      </c>
      <c r="N780" s="51" t="s">
        <v>462</v>
      </c>
      <c r="O780" s="35" t="s">
        <v>78</v>
      </c>
      <c r="P780" s="52"/>
      <c r="Q780" s="52"/>
      <c r="R780" s="33" t="n">
        <f aca="false">INDEX(Épopées!$L$6:$L$59,MATCH(K780,Épopées!$A$6:$A$59,0))</f>
        <v>46534</v>
      </c>
      <c r="S780" s="33" t="n">
        <f aca="false">INDEX(Épopées!$M$6:$M$59,MATCH(K780,Épopées!$A$6:$A$59,0))</f>
        <v>46552</v>
      </c>
      <c r="T780" s="53" t="s">
        <v>463</v>
      </c>
    </row>
    <row r="781" customFormat="false" ht="15" hidden="false" customHeight="false" outlineLevel="0" collapsed="false">
      <c r="A781" s="31" t="s">
        <v>2282</v>
      </c>
      <c r="B781" s="31" t="s">
        <v>342</v>
      </c>
      <c r="C781" s="31" t="s">
        <v>378</v>
      </c>
      <c r="D781" s="31" t="s">
        <v>379</v>
      </c>
      <c r="E781" s="31" t="s">
        <v>2283</v>
      </c>
      <c r="F781" s="31" t="s">
        <v>491</v>
      </c>
      <c r="G781" s="31" t="s">
        <v>461</v>
      </c>
      <c r="H781" s="31" t="s">
        <v>39</v>
      </c>
      <c r="I781" s="31" t="n">
        <f aca="false">VLOOKUP(H781,Paramètres!$A$15:$B$19,2,FALSE())</f>
        <v>0.5</v>
      </c>
      <c r="J781" s="31" t="n">
        <v>1</v>
      </c>
      <c r="K781" s="50" t="str">
        <f aca="false">C781&amp;"|"&amp;J781</f>
        <v>MOB-D|1</v>
      </c>
      <c r="L781" s="31" t="s">
        <v>2284</v>
      </c>
      <c r="M781" s="31" t="n">
        <v>3</v>
      </c>
      <c r="N781" s="51" t="s">
        <v>462</v>
      </c>
      <c r="O781" s="35" t="s">
        <v>78</v>
      </c>
      <c r="P781" s="52"/>
      <c r="Q781" s="52"/>
      <c r="R781" s="33" t="n">
        <f aca="false">INDEX(Épopées!$L$6:$L$59,MATCH(K781,Épopées!$A$6:$A$59,0))</f>
        <v>46534</v>
      </c>
      <c r="S781" s="33" t="n">
        <f aca="false">INDEX(Épopées!$M$6:$M$59,MATCH(K781,Épopées!$A$6:$A$59,0))</f>
        <v>46552</v>
      </c>
      <c r="T781" s="53" t="s">
        <v>463</v>
      </c>
    </row>
    <row r="782" customFormat="false" ht="15" hidden="false" customHeight="false" outlineLevel="0" collapsed="false">
      <c r="A782" s="31" t="s">
        <v>2285</v>
      </c>
      <c r="B782" s="31" t="s">
        <v>342</v>
      </c>
      <c r="C782" s="31" t="s">
        <v>378</v>
      </c>
      <c r="D782" s="31" t="s">
        <v>379</v>
      </c>
      <c r="E782" s="31" t="s">
        <v>2286</v>
      </c>
      <c r="F782" s="31" t="s">
        <v>1623</v>
      </c>
      <c r="G782" s="31" t="s">
        <v>466</v>
      </c>
      <c r="H782" s="31" t="s">
        <v>39</v>
      </c>
      <c r="I782" s="31" t="n">
        <f aca="false">VLOOKUP(H782,Paramètres!$A$15:$B$19,2,FALSE())</f>
        <v>0.5</v>
      </c>
      <c r="J782" s="31" t="n">
        <v>1</v>
      </c>
      <c r="K782" s="50" t="str">
        <f aca="false">C782&amp;"|"&amp;J782</f>
        <v>MOB-D|1</v>
      </c>
      <c r="L782" s="31" t="s">
        <v>2275</v>
      </c>
      <c r="M782" s="31" t="n">
        <v>2</v>
      </c>
      <c r="N782" s="51" t="s">
        <v>462</v>
      </c>
      <c r="O782" s="35" t="s">
        <v>78</v>
      </c>
      <c r="P782" s="52"/>
      <c r="Q782" s="52"/>
      <c r="R782" s="33" t="n">
        <f aca="false">INDEX(Épopées!$L$6:$L$59,MATCH(K782,Épopées!$A$6:$A$59,0))</f>
        <v>46534</v>
      </c>
      <c r="S782" s="33" t="n">
        <f aca="false">INDEX(Épopées!$M$6:$M$59,MATCH(K782,Épopées!$A$6:$A$59,0))</f>
        <v>46552</v>
      </c>
      <c r="T782" s="53" t="s">
        <v>463</v>
      </c>
    </row>
    <row r="783" customFormat="false" ht="15" hidden="false" customHeight="false" outlineLevel="0" collapsed="false">
      <c r="A783" s="31" t="s">
        <v>2287</v>
      </c>
      <c r="B783" s="31" t="s">
        <v>342</v>
      </c>
      <c r="C783" s="31" t="s">
        <v>378</v>
      </c>
      <c r="D783" s="31" t="s">
        <v>379</v>
      </c>
      <c r="E783" s="31" t="s">
        <v>2288</v>
      </c>
      <c r="F783" s="31" t="s">
        <v>491</v>
      </c>
      <c r="G783" s="31" t="s">
        <v>461</v>
      </c>
      <c r="H783" s="31" t="s">
        <v>41</v>
      </c>
      <c r="I783" s="31" t="n">
        <f aca="false">VLOOKUP(H783,Paramètres!$A$15:$B$19,2,FALSE())</f>
        <v>1</v>
      </c>
      <c r="J783" s="31" t="n">
        <v>1</v>
      </c>
      <c r="K783" s="50" t="str">
        <f aca="false">C783&amp;"|"&amp;J783</f>
        <v>MOB-D|1</v>
      </c>
      <c r="L783" s="31" t="s">
        <v>2266</v>
      </c>
      <c r="M783" s="31" t="n">
        <v>3</v>
      </c>
      <c r="N783" s="51" t="s">
        <v>462</v>
      </c>
      <c r="O783" s="35" t="s">
        <v>78</v>
      </c>
      <c r="P783" s="52"/>
      <c r="Q783" s="52"/>
      <c r="R783" s="33" t="n">
        <f aca="false">INDEX(Épopées!$L$6:$L$59,MATCH(K783,Épopées!$A$6:$A$59,0))</f>
        <v>46534</v>
      </c>
      <c r="S783" s="33" t="n">
        <f aca="false">INDEX(Épopées!$M$6:$M$59,MATCH(K783,Épopées!$A$6:$A$59,0))</f>
        <v>46552</v>
      </c>
      <c r="T783" s="53" t="s">
        <v>463</v>
      </c>
    </row>
    <row r="784" customFormat="false" ht="15" hidden="false" customHeight="false" outlineLevel="0" collapsed="false">
      <c r="A784" s="31" t="s">
        <v>2289</v>
      </c>
      <c r="B784" s="31" t="s">
        <v>342</v>
      </c>
      <c r="C784" s="31" t="s">
        <v>378</v>
      </c>
      <c r="D784" s="31" t="s">
        <v>379</v>
      </c>
      <c r="E784" s="31" t="s">
        <v>2290</v>
      </c>
      <c r="F784" s="31" t="s">
        <v>1623</v>
      </c>
      <c r="G784" s="31" t="s">
        <v>461</v>
      </c>
      <c r="H784" s="31" t="s">
        <v>41</v>
      </c>
      <c r="I784" s="31" t="n">
        <f aca="false">VLOOKUP(H784,Paramètres!$A$15:$B$19,2,FALSE())</f>
        <v>1</v>
      </c>
      <c r="J784" s="31" t="n">
        <v>1</v>
      </c>
      <c r="K784" s="50" t="str">
        <f aca="false">C784&amp;"|"&amp;J784</f>
        <v>MOB-D|1</v>
      </c>
      <c r="L784" s="31" t="s">
        <v>2291</v>
      </c>
      <c r="M784" s="31" t="n">
        <v>1</v>
      </c>
      <c r="N784" s="51" t="s">
        <v>462</v>
      </c>
      <c r="O784" s="35" t="s">
        <v>78</v>
      </c>
      <c r="P784" s="52"/>
      <c r="Q784" s="52"/>
      <c r="R784" s="33" t="n">
        <f aca="false">INDEX(Épopées!$L$6:$L$59,MATCH(K784,Épopées!$A$6:$A$59,0))</f>
        <v>46534</v>
      </c>
      <c r="S784" s="33" t="n">
        <f aca="false">INDEX(Épopées!$M$6:$M$59,MATCH(K784,Épopées!$A$6:$A$59,0))</f>
        <v>46552</v>
      </c>
      <c r="T784" s="53" t="s">
        <v>463</v>
      </c>
    </row>
    <row r="785" customFormat="false" ht="15" hidden="false" customHeight="false" outlineLevel="0" collapsed="false">
      <c r="A785" s="31" t="s">
        <v>2292</v>
      </c>
      <c r="B785" s="31" t="s">
        <v>342</v>
      </c>
      <c r="C785" s="31" t="s">
        <v>378</v>
      </c>
      <c r="D785" s="31" t="s">
        <v>379</v>
      </c>
      <c r="E785" s="31" t="s">
        <v>2293</v>
      </c>
      <c r="F785" s="31" t="s">
        <v>1623</v>
      </c>
      <c r="G785" s="31" t="s">
        <v>461</v>
      </c>
      <c r="H785" s="31" t="s">
        <v>41</v>
      </c>
      <c r="I785" s="31" t="n">
        <f aca="false">VLOOKUP(H785,Paramètres!$A$15:$B$19,2,FALSE())</f>
        <v>1</v>
      </c>
      <c r="J785" s="31" t="n">
        <v>1</v>
      </c>
      <c r="K785" s="50" t="str">
        <f aca="false">C785&amp;"|"&amp;J785</f>
        <v>MOB-D|1</v>
      </c>
      <c r="L785" s="31" t="s">
        <v>2289</v>
      </c>
      <c r="M785" s="31" t="n">
        <v>1</v>
      </c>
      <c r="N785" s="51" t="s">
        <v>462</v>
      </c>
      <c r="O785" s="35" t="s">
        <v>78</v>
      </c>
      <c r="P785" s="52"/>
      <c r="Q785" s="52"/>
      <c r="R785" s="33" t="n">
        <f aca="false">INDEX(Épopées!$L$6:$L$59,MATCH(K785,Épopées!$A$6:$A$59,0))</f>
        <v>46534</v>
      </c>
      <c r="S785" s="33" t="n">
        <f aca="false">INDEX(Épopées!$M$6:$M$59,MATCH(K785,Épopées!$A$6:$A$59,0))</f>
        <v>46552</v>
      </c>
      <c r="T785" s="53" t="s">
        <v>463</v>
      </c>
    </row>
    <row r="786" customFormat="false" ht="15" hidden="false" customHeight="false" outlineLevel="0" collapsed="false">
      <c r="A786" s="31" t="s">
        <v>2294</v>
      </c>
      <c r="B786" s="31" t="s">
        <v>342</v>
      </c>
      <c r="C786" s="31" t="s">
        <v>378</v>
      </c>
      <c r="D786" s="31" t="s">
        <v>379</v>
      </c>
      <c r="E786" s="31" t="s">
        <v>2295</v>
      </c>
      <c r="F786" s="31" t="s">
        <v>491</v>
      </c>
      <c r="G786" s="31" t="s">
        <v>466</v>
      </c>
      <c r="H786" s="31" t="s">
        <v>41</v>
      </c>
      <c r="I786" s="31" t="n">
        <f aca="false">VLOOKUP(H786,Paramètres!$A$15:$B$19,2,FALSE())</f>
        <v>1</v>
      </c>
      <c r="J786" s="31" t="n">
        <v>1</v>
      </c>
      <c r="K786" s="50" t="str">
        <f aca="false">C786&amp;"|"&amp;J786</f>
        <v>MOB-D|1</v>
      </c>
      <c r="L786" s="31" t="s">
        <v>2289</v>
      </c>
      <c r="M786" s="31" t="n">
        <v>2</v>
      </c>
      <c r="N786" s="51" t="s">
        <v>462</v>
      </c>
      <c r="O786" s="35" t="s">
        <v>78</v>
      </c>
      <c r="P786" s="52"/>
      <c r="Q786" s="52"/>
      <c r="R786" s="33" t="n">
        <f aca="false">INDEX(Épopées!$L$6:$L$59,MATCH(K786,Épopées!$A$6:$A$59,0))</f>
        <v>46534</v>
      </c>
      <c r="S786" s="33" t="n">
        <f aca="false">INDEX(Épopées!$M$6:$M$59,MATCH(K786,Épopées!$A$6:$A$59,0))</f>
        <v>46552</v>
      </c>
      <c r="T786" s="53" t="s">
        <v>463</v>
      </c>
    </row>
    <row r="787" customFormat="false" ht="15" hidden="false" customHeight="false" outlineLevel="0" collapsed="false">
      <c r="A787" s="31" t="s">
        <v>2296</v>
      </c>
      <c r="B787" s="31" t="s">
        <v>342</v>
      </c>
      <c r="C787" s="31" t="s">
        <v>378</v>
      </c>
      <c r="D787" s="31" t="s">
        <v>379</v>
      </c>
      <c r="E787" s="31" t="s">
        <v>2297</v>
      </c>
      <c r="F787" s="31" t="s">
        <v>1623</v>
      </c>
      <c r="G787" s="31" t="s">
        <v>466</v>
      </c>
      <c r="H787" s="31" t="s">
        <v>39</v>
      </c>
      <c r="I787" s="31" t="n">
        <f aca="false">VLOOKUP(H787,Paramètres!$A$15:$B$19,2,FALSE())</f>
        <v>0.5</v>
      </c>
      <c r="J787" s="31" t="n">
        <v>1</v>
      </c>
      <c r="K787" s="50" t="str">
        <f aca="false">C787&amp;"|"&amp;J787</f>
        <v>MOB-D|1</v>
      </c>
      <c r="L787" s="31" t="s">
        <v>2294</v>
      </c>
      <c r="M787" s="31" t="n">
        <v>1</v>
      </c>
      <c r="N787" s="51" t="s">
        <v>462</v>
      </c>
      <c r="O787" s="35" t="s">
        <v>78</v>
      </c>
      <c r="P787" s="52"/>
      <c r="Q787" s="52"/>
      <c r="R787" s="33" t="n">
        <f aca="false">INDEX(Épopées!$L$6:$L$59,MATCH(K787,Épopées!$A$6:$A$59,0))</f>
        <v>46534</v>
      </c>
      <c r="S787" s="33" t="n">
        <f aca="false">INDEX(Épopées!$M$6:$M$59,MATCH(K787,Épopées!$A$6:$A$59,0))</f>
        <v>46552</v>
      </c>
      <c r="T787" s="53" t="s">
        <v>463</v>
      </c>
    </row>
    <row r="788" customFormat="false" ht="15" hidden="false" customHeight="false" outlineLevel="0" collapsed="false">
      <c r="A788" s="31" t="s">
        <v>2298</v>
      </c>
      <c r="B788" s="31" t="s">
        <v>342</v>
      </c>
      <c r="C788" s="31" t="s">
        <v>378</v>
      </c>
      <c r="D788" s="31" t="s">
        <v>379</v>
      </c>
      <c r="E788" s="31" t="s">
        <v>2299</v>
      </c>
      <c r="F788" s="31" t="s">
        <v>1623</v>
      </c>
      <c r="G788" s="31" t="s">
        <v>461</v>
      </c>
      <c r="H788" s="31" t="s">
        <v>39</v>
      </c>
      <c r="I788" s="31" t="n">
        <f aca="false">VLOOKUP(H788,Paramètres!$A$15:$B$19,2,FALSE())</f>
        <v>0.5</v>
      </c>
      <c r="J788" s="31" t="n">
        <v>1</v>
      </c>
      <c r="K788" s="50" t="str">
        <f aca="false">C788&amp;"|"&amp;J788</f>
        <v>MOB-D|1</v>
      </c>
      <c r="L788" s="31" t="s">
        <v>2300</v>
      </c>
      <c r="M788" s="31" t="n">
        <v>1</v>
      </c>
      <c r="N788" s="51" t="s">
        <v>462</v>
      </c>
      <c r="O788" s="35" t="s">
        <v>78</v>
      </c>
      <c r="P788" s="52"/>
      <c r="Q788" s="52"/>
      <c r="R788" s="33" t="n">
        <f aca="false">INDEX(Épopées!$L$6:$L$59,MATCH(K788,Épopées!$A$6:$A$59,0))</f>
        <v>46534</v>
      </c>
      <c r="S788" s="33" t="n">
        <f aca="false">INDEX(Épopées!$M$6:$M$59,MATCH(K788,Épopées!$A$6:$A$59,0))</f>
        <v>46552</v>
      </c>
      <c r="T788" s="53" t="s">
        <v>463</v>
      </c>
    </row>
    <row r="789" customFormat="false" ht="15" hidden="false" customHeight="false" outlineLevel="0" collapsed="false">
      <c r="A789" s="31" t="s">
        <v>2301</v>
      </c>
      <c r="B789" s="31" t="s">
        <v>342</v>
      </c>
      <c r="C789" s="31" t="s">
        <v>378</v>
      </c>
      <c r="D789" s="31" t="s">
        <v>379</v>
      </c>
      <c r="E789" s="31" t="s">
        <v>2302</v>
      </c>
      <c r="F789" s="31" t="s">
        <v>491</v>
      </c>
      <c r="G789" s="31" t="s">
        <v>466</v>
      </c>
      <c r="H789" s="31" t="s">
        <v>39</v>
      </c>
      <c r="I789" s="31" t="n">
        <f aca="false">VLOOKUP(H789,Paramètres!$A$15:$B$19,2,FALSE())</f>
        <v>0.5</v>
      </c>
      <c r="J789" s="31" t="n">
        <v>1</v>
      </c>
      <c r="K789" s="50" t="str">
        <f aca="false">C789&amp;"|"&amp;J789</f>
        <v>MOB-D|1</v>
      </c>
      <c r="L789" s="31" t="s">
        <v>2266</v>
      </c>
      <c r="M789" s="31" t="n">
        <v>3</v>
      </c>
      <c r="N789" s="51" t="s">
        <v>462</v>
      </c>
      <c r="O789" s="35" t="s">
        <v>78</v>
      </c>
      <c r="P789" s="52"/>
      <c r="Q789" s="52"/>
      <c r="R789" s="33" t="n">
        <f aca="false">INDEX(Épopées!$L$6:$L$59,MATCH(K789,Épopées!$A$6:$A$59,0))</f>
        <v>46534</v>
      </c>
      <c r="S789" s="33" t="n">
        <f aca="false">INDEX(Épopées!$M$6:$M$59,MATCH(K789,Épopées!$A$6:$A$59,0))</f>
        <v>46552</v>
      </c>
      <c r="T789" s="53" t="s">
        <v>463</v>
      </c>
    </row>
    <row r="790" customFormat="false" ht="15" hidden="false" customHeight="false" outlineLevel="0" collapsed="false">
      <c r="A790" s="31" t="s">
        <v>2303</v>
      </c>
      <c r="B790" s="31" t="s">
        <v>342</v>
      </c>
      <c r="C790" s="31" t="s">
        <v>378</v>
      </c>
      <c r="D790" s="31" t="s">
        <v>379</v>
      </c>
      <c r="E790" s="31" t="s">
        <v>2304</v>
      </c>
      <c r="F790" s="31" t="s">
        <v>1623</v>
      </c>
      <c r="G790" s="31" t="s">
        <v>461</v>
      </c>
      <c r="H790" s="31" t="s">
        <v>41</v>
      </c>
      <c r="I790" s="31" t="n">
        <f aca="false">VLOOKUP(H790,Paramètres!$A$15:$B$19,2,FALSE())</f>
        <v>1</v>
      </c>
      <c r="J790" s="31" t="n">
        <v>1</v>
      </c>
      <c r="K790" s="50" t="str">
        <f aca="false">C790&amp;"|"&amp;J790</f>
        <v>MOB-D|1</v>
      </c>
      <c r="L790" s="31" t="s">
        <v>2305</v>
      </c>
      <c r="M790" s="31" t="n">
        <v>1</v>
      </c>
      <c r="N790" s="51" t="s">
        <v>462</v>
      </c>
      <c r="O790" s="35" t="s">
        <v>78</v>
      </c>
      <c r="P790" s="52"/>
      <c r="Q790" s="52"/>
      <c r="R790" s="33" t="n">
        <f aca="false">INDEX(Épopées!$L$6:$L$59,MATCH(K790,Épopées!$A$6:$A$59,0))</f>
        <v>46534</v>
      </c>
      <c r="S790" s="33" t="n">
        <f aca="false">INDEX(Épopées!$M$6:$M$59,MATCH(K790,Épopées!$A$6:$A$59,0))</f>
        <v>46552</v>
      </c>
      <c r="T790" s="53" t="s">
        <v>463</v>
      </c>
    </row>
    <row r="791" customFormat="false" ht="15" hidden="false" customHeight="false" outlineLevel="0" collapsed="false">
      <c r="A791" s="31" t="s">
        <v>2306</v>
      </c>
      <c r="B791" s="31" t="s">
        <v>342</v>
      </c>
      <c r="C791" s="31" t="s">
        <v>378</v>
      </c>
      <c r="D791" s="31" t="s">
        <v>379</v>
      </c>
      <c r="E791" s="31" t="s">
        <v>2307</v>
      </c>
      <c r="F791" s="31" t="s">
        <v>491</v>
      </c>
      <c r="G791" s="31" t="s">
        <v>466</v>
      </c>
      <c r="H791" s="31" t="s">
        <v>39</v>
      </c>
      <c r="I791" s="31" t="n">
        <f aca="false">VLOOKUP(H791,Paramètres!$A$15:$B$19,2,FALSE())</f>
        <v>0.5</v>
      </c>
      <c r="J791" s="31" t="n">
        <v>1</v>
      </c>
      <c r="K791" s="50" t="str">
        <f aca="false">C791&amp;"|"&amp;J791</f>
        <v>MOB-D|1</v>
      </c>
      <c r="L791" s="31" t="s">
        <v>2263</v>
      </c>
      <c r="M791" s="31" t="n">
        <v>2</v>
      </c>
      <c r="N791" s="51" t="s">
        <v>462</v>
      </c>
      <c r="O791" s="35" t="s">
        <v>78</v>
      </c>
      <c r="P791" s="52"/>
      <c r="Q791" s="52"/>
      <c r="R791" s="33" t="n">
        <f aca="false">INDEX(Épopées!$L$6:$L$59,MATCH(K791,Épopées!$A$6:$A$59,0))</f>
        <v>46534</v>
      </c>
      <c r="S791" s="33" t="n">
        <f aca="false">INDEX(Épopées!$M$6:$M$59,MATCH(K791,Épopées!$A$6:$A$59,0))</f>
        <v>46552</v>
      </c>
      <c r="T791" s="53" t="s">
        <v>463</v>
      </c>
    </row>
    <row r="792" customFormat="false" ht="15" hidden="false" customHeight="false" outlineLevel="0" collapsed="false">
      <c r="A792" s="31" t="s">
        <v>2308</v>
      </c>
      <c r="B792" s="31" t="s">
        <v>342</v>
      </c>
      <c r="C792" s="31" t="s">
        <v>378</v>
      </c>
      <c r="D792" s="31" t="s">
        <v>379</v>
      </c>
      <c r="E792" s="31" t="s">
        <v>2309</v>
      </c>
      <c r="F792" s="31" t="s">
        <v>1623</v>
      </c>
      <c r="G792" s="31" t="s">
        <v>466</v>
      </c>
      <c r="H792" s="31" t="s">
        <v>41</v>
      </c>
      <c r="I792" s="31" t="n">
        <f aca="false">VLOOKUP(H792,Paramètres!$A$15:$B$19,2,FALSE())</f>
        <v>1</v>
      </c>
      <c r="J792" s="31" t="n">
        <v>1</v>
      </c>
      <c r="K792" s="50" t="str">
        <f aca="false">C792&amp;"|"&amp;J792</f>
        <v>MOB-D|1</v>
      </c>
      <c r="L792" s="31" t="s">
        <v>2306</v>
      </c>
      <c r="M792" s="31" t="n">
        <v>1</v>
      </c>
      <c r="N792" s="51" t="s">
        <v>462</v>
      </c>
      <c r="O792" s="35" t="s">
        <v>78</v>
      </c>
      <c r="P792" s="52"/>
      <c r="Q792" s="52"/>
      <c r="R792" s="33" t="n">
        <f aca="false">INDEX(Épopées!$L$6:$L$59,MATCH(K792,Épopées!$A$6:$A$59,0))</f>
        <v>46534</v>
      </c>
      <c r="S792" s="33" t="n">
        <f aca="false">INDEX(Épopées!$M$6:$M$59,MATCH(K792,Épopées!$A$6:$A$59,0))</f>
        <v>46552</v>
      </c>
      <c r="T792" s="53" t="s">
        <v>463</v>
      </c>
    </row>
    <row r="793" customFormat="false" ht="15" hidden="false" customHeight="false" outlineLevel="0" collapsed="false">
      <c r="A793" s="31" t="s">
        <v>2310</v>
      </c>
      <c r="B793" s="31" t="s">
        <v>342</v>
      </c>
      <c r="C793" s="31" t="s">
        <v>378</v>
      </c>
      <c r="D793" s="31" t="s">
        <v>379</v>
      </c>
      <c r="E793" s="31" t="s">
        <v>2311</v>
      </c>
      <c r="F793" s="31" t="s">
        <v>469</v>
      </c>
      <c r="G793" s="31" t="s">
        <v>466</v>
      </c>
      <c r="H793" s="31" t="s">
        <v>39</v>
      </c>
      <c r="I793" s="31" t="n">
        <f aca="false">VLOOKUP(H793,Paramètres!$A$15:$B$19,2,FALSE())</f>
        <v>0.5</v>
      </c>
      <c r="J793" s="31" t="n">
        <v>1</v>
      </c>
      <c r="K793" s="50" t="str">
        <f aca="false">C793&amp;"|"&amp;J793</f>
        <v>MOB-D|1</v>
      </c>
      <c r="L793" s="31" t="s">
        <v>2312</v>
      </c>
      <c r="M793" s="31" t="n">
        <v>3</v>
      </c>
      <c r="N793" s="51" t="s">
        <v>462</v>
      </c>
      <c r="O793" s="35" t="s">
        <v>78</v>
      </c>
      <c r="P793" s="52"/>
      <c r="Q793" s="52"/>
      <c r="R793" s="33" t="n">
        <f aca="false">INDEX(Épopées!$L$6:$L$59,MATCH(K793,Épopées!$A$6:$A$59,0))</f>
        <v>46534</v>
      </c>
      <c r="S793" s="33" t="n">
        <f aca="false">INDEX(Épopées!$M$6:$M$59,MATCH(K793,Épopées!$A$6:$A$59,0))</f>
        <v>46552</v>
      </c>
      <c r="T793" s="53" t="s">
        <v>463</v>
      </c>
    </row>
    <row r="794" customFormat="false" ht="15" hidden="false" customHeight="false" outlineLevel="0" collapsed="false">
      <c r="A794" s="31" t="s">
        <v>2313</v>
      </c>
      <c r="B794" s="31" t="s">
        <v>342</v>
      </c>
      <c r="C794" s="31" t="s">
        <v>378</v>
      </c>
      <c r="D794" s="31" t="s">
        <v>379</v>
      </c>
      <c r="E794" s="31" t="s">
        <v>2314</v>
      </c>
      <c r="F794" s="31" t="s">
        <v>1863</v>
      </c>
      <c r="G794" s="31" t="s">
        <v>466</v>
      </c>
      <c r="H794" s="31" t="s">
        <v>41</v>
      </c>
      <c r="I794" s="31" t="n">
        <f aca="false">VLOOKUP(H794,Paramètres!$A$15:$B$19,2,FALSE())</f>
        <v>1</v>
      </c>
      <c r="J794" s="31" t="n">
        <v>1</v>
      </c>
      <c r="K794" s="50" t="str">
        <f aca="false">C794&amp;"|"&amp;J794</f>
        <v>MOB-D|1</v>
      </c>
      <c r="L794" s="31" t="s">
        <v>2275</v>
      </c>
      <c r="M794" s="31" t="n">
        <v>4</v>
      </c>
      <c r="N794" s="51" t="s">
        <v>462</v>
      </c>
      <c r="O794" s="35" t="s">
        <v>78</v>
      </c>
      <c r="P794" s="52"/>
      <c r="Q794" s="52"/>
      <c r="R794" s="33" t="n">
        <f aca="false">INDEX(Épopées!$L$6:$L$59,MATCH(K794,Épopées!$A$6:$A$59,0))</f>
        <v>46534</v>
      </c>
      <c r="S794" s="33" t="n">
        <f aca="false">INDEX(Épopées!$M$6:$M$59,MATCH(K794,Épopées!$A$6:$A$59,0))</f>
        <v>46552</v>
      </c>
      <c r="T794" s="53" t="s">
        <v>463</v>
      </c>
    </row>
    <row r="795" customFormat="false" ht="15" hidden="false" customHeight="false" outlineLevel="0" collapsed="false">
      <c r="A795" s="31" t="s">
        <v>2315</v>
      </c>
      <c r="B795" s="31" t="s">
        <v>342</v>
      </c>
      <c r="C795" s="31" t="s">
        <v>378</v>
      </c>
      <c r="D795" s="31" t="s">
        <v>379</v>
      </c>
      <c r="E795" s="31" t="s">
        <v>2316</v>
      </c>
      <c r="F795" s="31" t="s">
        <v>548</v>
      </c>
      <c r="G795" s="31" t="s">
        <v>612</v>
      </c>
      <c r="H795" s="31" t="s">
        <v>39</v>
      </c>
      <c r="I795" s="31" t="n">
        <f aca="false">VLOOKUP(H795,Paramètres!$A$15:$B$19,2,FALSE())</f>
        <v>0.5</v>
      </c>
      <c r="J795" s="31" t="n">
        <v>1</v>
      </c>
      <c r="K795" s="50" t="str">
        <f aca="false">C795&amp;"|"&amp;J795</f>
        <v>MOB-D|1</v>
      </c>
      <c r="L795" s="31" t="s">
        <v>2280</v>
      </c>
      <c r="M795" s="31" t="n">
        <v>1</v>
      </c>
      <c r="N795" s="51" t="s">
        <v>462</v>
      </c>
      <c r="O795" s="35" t="s">
        <v>78</v>
      </c>
      <c r="P795" s="52"/>
      <c r="Q795" s="52"/>
      <c r="R795" s="33" t="n">
        <f aca="false">INDEX(Épopées!$L$6:$L$59,MATCH(K795,Épopées!$A$6:$A$59,0))</f>
        <v>46534</v>
      </c>
      <c r="S795" s="33" t="n">
        <f aca="false">INDEX(Épopées!$M$6:$M$59,MATCH(K795,Épopées!$A$6:$A$59,0))</f>
        <v>46552</v>
      </c>
      <c r="T795" s="53" t="s">
        <v>463</v>
      </c>
    </row>
    <row r="796" customFormat="false" ht="15" hidden="false" customHeight="false" outlineLevel="0" collapsed="false">
      <c r="A796" s="31" t="s">
        <v>2317</v>
      </c>
      <c r="B796" s="31" t="s">
        <v>342</v>
      </c>
      <c r="C796" s="31" t="s">
        <v>378</v>
      </c>
      <c r="D796" s="31" t="s">
        <v>379</v>
      </c>
      <c r="E796" s="31" t="s">
        <v>2318</v>
      </c>
      <c r="F796" s="31" t="s">
        <v>491</v>
      </c>
      <c r="G796" s="31" t="s">
        <v>612</v>
      </c>
      <c r="H796" s="31" t="s">
        <v>37</v>
      </c>
      <c r="I796" s="31" t="n">
        <f aca="false">VLOOKUP(H796,Paramètres!$A$15:$B$19,2,FALSE())</f>
        <v>0.25</v>
      </c>
      <c r="J796" s="31" t="n">
        <v>1</v>
      </c>
      <c r="K796" s="50" t="str">
        <f aca="false">C796&amp;"|"&amp;J796</f>
        <v>MOB-D|1</v>
      </c>
      <c r="L796" s="31" t="s">
        <v>2266</v>
      </c>
      <c r="M796" s="31" t="n">
        <v>7</v>
      </c>
      <c r="N796" s="51" t="s">
        <v>462</v>
      </c>
      <c r="O796" s="35" t="s">
        <v>78</v>
      </c>
      <c r="P796" s="52"/>
      <c r="Q796" s="52"/>
      <c r="R796" s="33" t="n">
        <f aca="false">INDEX(Épopées!$L$6:$L$59,MATCH(K796,Épopées!$A$6:$A$59,0))</f>
        <v>46534</v>
      </c>
      <c r="S796" s="33" t="n">
        <f aca="false">INDEX(Épopées!$M$6:$M$59,MATCH(K796,Épopées!$A$6:$A$59,0))</f>
        <v>46552</v>
      </c>
      <c r="T796" s="53" t="s">
        <v>463</v>
      </c>
    </row>
    <row r="797" customFormat="false" ht="15" hidden="false" customHeight="false" outlineLevel="0" collapsed="false">
      <c r="A797" s="31" t="s">
        <v>2319</v>
      </c>
      <c r="B797" s="31" t="s">
        <v>342</v>
      </c>
      <c r="C797" s="31" t="s">
        <v>378</v>
      </c>
      <c r="D797" s="31" t="s">
        <v>379</v>
      </c>
      <c r="E797" s="31" t="s">
        <v>2320</v>
      </c>
      <c r="F797" s="31" t="s">
        <v>588</v>
      </c>
      <c r="G797" s="31" t="s">
        <v>466</v>
      </c>
      <c r="H797" s="31" t="s">
        <v>39</v>
      </c>
      <c r="I797" s="31" t="n">
        <f aca="false">VLOOKUP(H797,Paramètres!$A$15:$B$19,2,FALSE())</f>
        <v>0.5</v>
      </c>
      <c r="J797" s="31" t="n">
        <v>1</v>
      </c>
      <c r="K797" s="50" t="str">
        <f aca="false">C797&amp;"|"&amp;J797</f>
        <v>MOB-D|1</v>
      </c>
      <c r="L797" s="31" t="s">
        <v>2270</v>
      </c>
      <c r="M797" s="31" t="n">
        <v>12</v>
      </c>
      <c r="N797" s="51" t="s">
        <v>462</v>
      </c>
      <c r="O797" s="35" t="s">
        <v>78</v>
      </c>
      <c r="P797" s="52"/>
      <c r="Q797" s="52"/>
      <c r="R797" s="33" t="n">
        <f aca="false">INDEX(Épopées!$L$6:$L$59,MATCH(K797,Épopées!$A$6:$A$59,0))</f>
        <v>46534</v>
      </c>
      <c r="S797" s="33" t="n">
        <f aca="false">INDEX(Épopées!$M$6:$M$59,MATCH(K797,Épopées!$A$6:$A$59,0))</f>
        <v>46552</v>
      </c>
      <c r="T797" s="53" t="s">
        <v>463</v>
      </c>
    </row>
    <row r="798" customFormat="false" ht="15" hidden="false" customHeight="false" outlineLevel="0" collapsed="false">
      <c r="A798" s="31" t="s">
        <v>2321</v>
      </c>
      <c r="B798" s="31" t="s">
        <v>342</v>
      </c>
      <c r="C798" s="31" t="s">
        <v>378</v>
      </c>
      <c r="D798" s="31" t="s">
        <v>379</v>
      </c>
      <c r="E798" s="31" t="s">
        <v>2322</v>
      </c>
      <c r="F798" s="31" t="s">
        <v>472</v>
      </c>
      <c r="G798" s="31" t="s">
        <v>466</v>
      </c>
      <c r="H798" s="31" t="s">
        <v>41</v>
      </c>
      <c r="I798" s="31" t="n">
        <f aca="false">VLOOKUP(H798,Paramètres!$A$15:$B$19,2,FALSE())</f>
        <v>1</v>
      </c>
      <c r="J798" s="31" t="n">
        <v>1</v>
      </c>
      <c r="K798" s="50" t="str">
        <f aca="false">C798&amp;"|"&amp;J798</f>
        <v>MOB-D|1</v>
      </c>
      <c r="L798" s="31" t="s">
        <v>2323</v>
      </c>
      <c r="M798" s="31" t="n">
        <v>12</v>
      </c>
      <c r="N798" s="51" t="s">
        <v>462</v>
      </c>
      <c r="O798" s="35" t="s">
        <v>78</v>
      </c>
      <c r="P798" s="52"/>
      <c r="Q798" s="52"/>
      <c r="R798" s="33" t="n">
        <f aca="false">INDEX(Épopées!$L$6:$L$59,MATCH(K798,Épopées!$A$6:$A$59,0))</f>
        <v>46534</v>
      </c>
      <c r="S798" s="33" t="n">
        <f aca="false">INDEX(Épopées!$M$6:$M$59,MATCH(K798,Épopées!$A$6:$A$59,0))</f>
        <v>46552</v>
      </c>
      <c r="T798" s="53" t="s">
        <v>463</v>
      </c>
    </row>
    <row r="799" customFormat="false" ht="15" hidden="false" customHeight="false" outlineLevel="0" collapsed="false">
      <c r="A799" s="31" t="s">
        <v>2324</v>
      </c>
      <c r="B799" s="31" t="s">
        <v>342</v>
      </c>
      <c r="C799" s="31" t="s">
        <v>381</v>
      </c>
      <c r="D799" s="31" t="s">
        <v>382</v>
      </c>
      <c r="E799" s="31" t="s">
        <v>2325</v>
      </c>
      <c r="F799" s="31" t="s">
        <v>481</v>
      </c>
      <c r="G799" s="31" t="s">
        <v>461</v>
      </c>
      <c r="H799" s="31" t="s">
        <v>39</v>
      </c>
      <c r="I799" s="31" t="n">
        <f aca="false">VLOOKUP(H799,Paramètres!$A$15:$B$19,2,FALSE())</f>
        <v>0.5</v>
      </c>
      <c r="J799" s="31" t="n">
        <v>1</v>
      </c>
      <c r="K799" s="50" t="str">
        <f aca="false">C799&amp;"|"&amp;J799</f>
        <v>MOB-E|1</v>
      </c>
      <c r="L799" s="31"/>
      <c r="M799" s="31" t="n">
        <v>2</v>
      </c>
      <c r="N799" s="51" t="s">
        <v>462</v>
      </c>
      <c r="O799" s="35" t="s">
        <v>78</v>
      </c>
      <c r="P799" s="52"/>
      <c r="Q799" s="52"/>
      <c r="R799" s="33" t="n">
        <f aca="false">INDEX(Épopées!$L$6:$L$59,MATCH(K799,Épopées!$A$6:$A$59,0))</f>
        <v>46553</v>
      </c>
      <c r="S799" s="33" t="n">
        <f aca="false">INDEX(Épopées!$M$6:$M$59,MATCH(K799,Épopées!$A$6:$A$59,0))</f>
        <v>46573</v>
      </c>
      <c r="T799" s="53" t="s">
        <v>463</v>
      </c>
    </row>
    <row r="800" customFormat="false" ht="15" hidden="false" customHeight="false" outlineLevel="0" collapsed="false">
      <c r="A800" s="31" t="s">
        <v>2326</v>
      </c>
      <c r="B800" s="31" t="s">
        <v>342</v>
      </c>
      <c r="C800" s="31" t="s">
        <v>381</v>
      </c>
      <c r="D800" s="31" t="s">
        <v>382</v>
      </c>
      <c r="E800" s="31" t="s">
        <v>2327</v>
      </c>
      <c r="F800" s="31" t="s">
        <v>486</v>
      </c>
      <c r="G800" s="31" t="s">
        <v>461</v>
      </c>
      <c r="H800" s="31" t="s">
        <v>41</v>
      </c>
      <c r="I800" s="31" t="n">
        <f aca="false">VLOOKUP(H800,Paramètres!$A$15:$B$19,2,FALSE())</f>
        <v>1</v>
      </c>
      <c r="J800" s="31" t="n">
        <v>1</v>
      </c>
      <c r="K800" s="50" t="str">
        <f aca="false">C800&amp;"|"&amp;J800</f>
        <v>MOB-E|1</v>
      </c>
      <c r="L800" s="31"/>
      <c r="M800" s="31" t="n">
        <v>4</v>
      </c>
      <c r="N800" s="51" t="s">
        <v>462</v>
      </c>
      <c r="O800" s="35" t="s">
        <v>78</v>
      </c>
      <c r="P800" s="52"/>
      <c r="Q800" s="52"/>
      <c r="R800" s="33" t="n">
        <f aca="false">INDEX(Épopées!$L$6:$L$59,MATCH(K800,Épopées!$A$6:$A$59,0))</f>
        <v>46553</v>
      </c>
      <c r="S800" s="33" t="n">
        <f aca="false">INDEX(Épopées!$M$6:$M$59,MATCH(K800,Épopées!$A$6:$A$59,0))</f>
        <v>46573</v>
      </c>
      <c r="T800" s="53" t="s">
        <v>463</v>
      </c>
    </row>
    <row r="801" customFormat="false" ht="15" hidden="false" customHeight="false" outlineLevel="0" collapsed="false">
      <c r="A801" s="31" t="s">
        <v>2328</v>
      </c>
      <c r="B801" s="31" t="s">
        <v>342</v>
      </c>
      <c r="C801" s="31" t="s">
        <v>381</v>
      </c>
      <c r="D801" s="31" t="s">
        <v>382</v>
      </c>
      <c r="E801" s="31" t="s">
        <v>2329</v>
      </c>
      <c r="F801" s="31" t="s">
        <v>460</v>
      </c>
      <c r="G801" s="31" t="s">
        <v>461</v>
      </c>
      <c r="H801" s="31" t="s">
        <v>41</v>
      </c>
      <c r="I801" s="31" t="n">
        <f aca="false">VLOOKUP(H801,Paramètres!$A$15:$B$19,2,FALSE())</f>
        <v>1</v>
      </c>
      <c r="J801" s="31" t="n">
        <v>1</v>
      </c>
      <c r="K801" s="50" t="str">
        <f aca="false">C801&amp;"|"&amp;J801</f>
        <v>MOB-E|1</v>
      </c>
      <c r="L801" s="31" t="s">
        <v>2326</v>
      </c>
      <c r="M801" s="31" t="n">
        <v>4</v>
      </c>
      <c r="N801" s="51" t="s">
        <v>462</v>
      </c>
      <c r="O801" s="35" t="s">
        <v>78</v>
      </c>
      <c r="P801" s="52"/>
      <c r="Q801" s="52"/>
      <c r="R801" s="33" t="n">
        <f aca="false">INDEX(Épopées!$L$6:$L$59,MATCH(K801,Épopées!$A$6:$A$59,0))</f>
        <v>46553</v>
      </c>
      <c r="S801" s="33" t="n">
        <f aca="false">INDEX(Épopées!$M$6:$M$59,MATCH(K801,Épopées!$A$6:$A$59,0))</f>
        <v>46573</v>
      </c>
      <c r="T801" s="53" t="s">
        <v>463</v>
      </c>
    </row>
    <row r="802" customFormat="false" ht="15" hidden="false" customHeight="false" outlineLevel="0" collapsed="false">
      <c r="A802" s="31" t="s">
        <v>2330</v>
      </c>
      <c r="B802" s="31" t="s">
        <v>342</v>
      </c>
      <c r="C802" s="31" t="s">
        <v>381</v>
      </c>
      <c r="D802" s="31" t="s">
        <v>382</v>
      </c>
      <c r="E802" s="31" t="s">
        <v>2331</v>
      </c>
      <c r="F802" s="31" t="s">
        <v>486</v>
      </c>
      <c r="G802" s="31" t="s">
        <v>466</v>
      </c>
      <c r="H802" s="31" t="s">
        <v>41</v>
      </c>
      <c r="I802" s="31" t="n">
        <f aca="false">VLOOKUP(H802,Paramètres!$A$15:$B$19,2,FALSE())</f>
        <v>1</v>
      </c>
      <c r="J802" s="31" t="n">
        <v>1</v>
      </c>
      <c r="K802" s="50" t="str">
        <f aca="false">C802&amp;"|"&amp;J802</f>
        <v>MOB-E|1</v>
      </c>
      <c r="L802" s="31" t="s">
        <v>2326</v>
      </c>
      <c r="M802" s="31" t="n">
        <v>3</v>
      </c>
      <c r="N802" s="51" t="s">
        <v>462</v>
      </c>
      <c r="O802" s="35" t="s">
        <v>78</v>
      </c>
      <c r="P802" s="52"/>
      <c r="Q802" s="52"/>
      <c r="R802" s="33" t="n">
        <f aca="false">INDEX(Épopées!$L$6:$L$59,MATCH(K802,Épopées!$A$6:$A$59,0))</f>
        <v>46553</v>
      </c>
      <c r="S802" s="33" t="n">
        <f aca="false">INDEX(Épopées!$M$6:$M$59,MATCH(K802,Épopées!$A$6:$A$59,0))</f>
        <v>46573</v>
      </c>
      <c r="T802" s="53" t="s">
        <v>463</v>
      </c>
    </row>
    <row r="803" customFormat="false" ht="15" hidden="false" customHeight="false" outlineLevel="0" collapsed="false">
      <c r="A803" s="31" t="s">
        <v>2332</v>
      </c>
      <c r="B803" s="31" t="s">
        <v>342</v>
      </c>
      <c r="C803" s="31" t="s">
        <v>381</v>
      </c>
      <c r="D803" s="31" t="s">
        <v>382</v>
      </c>
      <c r="E803" s="31" t="s">
        <v>2333</v>
      </c>
      <c r="F803" s="31" t="s">
        <v>491</v>
      </c>
      <c r="G803" s="31" t="s">
        <v>461</v>
      </c>
      <c r="H803" s="31" t="s">
        <v>41</v>
      </c>
      <c r="I803" s="31" t="n">
        <f aca="false">VLOOKUP(H803,Paramètres!$A$15:$B$19,2,FALSE())</f>
        <v>1</v>
      </c>
      <c r="J803" s="31" t="n">
        <v>1</v>
      </c>
      <c r="K803" s="50" t="str">
        <f aca="false">C803&amp;"|"&amp;J803</f>
        <v>MOB-E|1</v>
      </c>
      <c r="L803" s="31" t="s">
        <v>2334</v>
      </c>
      <c r="M803" s="31" t="n">
        <v>4</v>
      </c>
      <c r="N803" s="51" t="s">
        <v>462</v>
      </c>
      <c r="O803" s="35" t="s">
        <v>78</v>
      </c>
      <c r="P803" s="52"/>
      <c r="Q803" s="52"/>
      <c r="R803" s="33" t="n">
        <f aca="false">INDEX(Épopées!$L$6:$L$59,MATCH(K803,Épopées!$A$6:$A$59,0))</f>
        <v>46553</v>
      </c>
      <c r="S803" s="33" t="n">
        <f aca="false">INDEX(Épopées!$M$6:$M$59,MATCH(K803,Épopées!$A$6:$A$59,0))</f>
        <v>46573</v>
      </c>
      <c r="T803" s="53" t="s">
        <v>463</v>
      </c>
    </row>
    <row r="804" customFormat="false" ht="15" hidden="false" customHeight="false" outlineLevel="0" collapsed="false">
      <c r="A804" s="31" t="s">
        <v>2335</v>
      </c>
      <c r="B804" s="31" t="s">
        <v>342</v>
      </c>
      <c r="C804" s="31" t="s">
        <v>381</v>
      </c>
      <c r="D804" s="31" t="s">
        <v>382</v>
      </c>
      <c r="E804" s="31" t="s">
        <v>2336</v>
      </c>
      <c r="F804" s="31" t="s">
        <v>491</v>
      </c>
      <c r="G804" s="31" t="s">
        <v>461</v>
      </c>
      <c r="H804" s="31" t="s">
        <v>43</v>
      </c>
      <c r="I804" s="31" t="n">
        <f aca="false">VLOOKUP(H804,Paramètres!$A$15:$B$19,2,FALSE())</f>
        <v>2</v>
      </c>
      <c r="J804" s="31" t="n">
        <v>1</v>
      </c>
      <c r="K804" s="50" t="str">
        <f aca="false">C804&amp;"|"&amp;J804</f>
        <v>MOB-E|1</v>
      </c>
      <c r="L804" s="31" t="s">
        <v>2332</v>
      </c>
      <c r="M804" s="31" t="n">
        <v>8</v>
      </c>
      <c r="N804" s="51" t="s">
        <v>462</v>
      </c>
      <c r="O804" s="35" t="s">
        <v>78</v>
      </c>
      <c r="P804" s="52"/>
      <c r="Q804" s="52"/>
      <c r="R804" s="33" t="n">
        <f aca="false">INDEX(Épopées!$L$6:$L$59,MATCH(K804,Épopées!$A$6:$A$59,0))</f>
        <v>46553</v>
      </c>
      <c r="S804" s="33" t="n">
        <f aca="false">INDEX(Épopées!$M$6:$M$59,MATCH(K804,Épopées!$A$6:$A$59,0))</f>
        <v>46573</v>
      </c>
      <c r="T804" s="53" t="s">
        <v>463</v>
      </c>
    </row>
    <row r="805" customFormat="false" ht="15" hidden="false" customHeight="false" outlineLevel="0" collapsed="false">
      <c r="A805" s="31" t="s">
        <v>2337</v>
      </c>
      <c r="B805" s="31" t="s">
        <v>342</v>
      </c>
      <c r="C805" s="31" t="s">
        <v>381</v>
      </c>
      <c r="D805" s="31" t="s">
        <v>382</v>
      </c>
      <c r="E805" s="31" t="s">
        <v>2338</v>
      </c>
      <c r="F805" s="31" t="s">
        <v>491</v>
      </c>
      <c r="G805" s="31" t="s">
        <v>461</v>
      </c>
      <c r="H805" s="31" t="s">
        <v>41</v>
      </c>
      <c r="I805" s="31" t="n">
        <f aca="false">VLOOKUP(H805,Paramètres!$A$15:$B$19,2,FALSE())</f>
        <v>1</v>
      </c>
      <c r="J805" s="31" t="n">
        <v>1</v>
      </c>
      <c r="K805" s="50" t="str">
        <f aca="false">C805&amp;"|"&amp;J805</f>
        <v>MOB-E|1</v>
      </c>
      <c r="L805" s="31" t="s">
        <v>2335</v>
      </c>
      <c r="M805" s="31" t="n">
        <v>3</v>
      </c>
      <c r="N805" s="51" t="s">
        <v>462</v>
      </c>
      <c r="O805" s="35" t="s">
        <v>78</v>
      </c>
      <c r="P805" s="52"/>
      <c r="Q805" s="52"/>
      <c r="R805" s="33" t="n">
        <f aca="false">INDEX(Épopées!$L$6:$L$59,MATCH(K805,Épopées!$A$6:$A$59,0))</f>
        <v>46553</v>
      </c>
      <c r="S805" s="33" t="n">
        <f aca="false">INDEX(Épopées!$M$6:$M$59,MATCH(K805,Épopées!$A$6:$A$59,0))</f>
        <v>46573</v>
      </c>
      <c r="T805" s="53" t="s">
        <v>463</v>
      </c>
    </row>
    <row r="806" customFormat="false" ht="15" hidden="false" customHeight="false" outlineLevel="0" collapsed="false">
      <c r="A806" s="31" t="s">
        <v>2339</v>
      </c>
      <c r="B806" s="31" t="s">
        <v>342</v>
      </c>
      <c r="C806" s="31" t="s">
        <v>381</v>
      </c>
      <c r="D806" s="31" t="s">
        <v>382</v>
      </c>
      <c r="E806" s="31" t="s">
        <v>2340</v>
      </c>
      <c r="F806" s="31" t="s">
        <v>491</v>
      </c>
      <c r="G806" s="31" t="s">
        <v>461</v>
      </c>
      <c r="H806" s="31" t="s">
        <v>41</v>
      </c>
      <c r="I806" s="31" t="n">
        <f aca="false">VLOOKUP(H806,Paramètres!$A$15:$B$19,2,FALSE())</f>
        <v>1</v>
      </c>
      <c r="J806" s="31" t="n">
        <v>1</v>
      </c>
      <c r="K806" s="50" t="str">
        <f aca="false">C806&amp;"|"&amp;J806</f>
        <v>MOB-E|1</v>
      </c>
      <c r="L806" s="31" t="s">
        <v>2335</v>
      </c>
      <c r="M806" s="31" t="n">
        <v>4</v>
      </c>
      <c r="N806" s="51" t="s">
        <v>462</v>
      </c>
      <c r="O806" s="35" t="s">
        <v>78</v>
      </c>
      <c r="P806" s="52"/>
      <c r="Q806" s="52"/>
      <c r="R806" s="33" t="n">
        <f aca="false">INDEX(Épopées!$L$6:$L$59,MATCH(K806,Épopées!$A$6:$A$59,0))</f>
        <v>46553</v>
      </c>
      <c r="S806" s="33" t="n">
        <f aca="false">INDEX(Épopées!$M$6:$M$59,MATCH(K806,Épopées!$A$6:$A$59,0))</f>
        <v>46573</v>
      </c>
      <c r="T806" s="53" t="s">
        <v>463</v>
      </c>
    </row>
    <row r="807" customFormat="false" ht="15" hidden="false" customHeight="false" outlineLevel="0" collapsed="false">
      <c r="A807" s="31" t="s">
        <v>2341</v>
      </c>
      <c r="B807" s="31" t="s">
        <v>342</v>
      </c>
      <c r="C807" s="31" t="s">
        <v>381</v>
      </c>
      <c r="D807" s="31" t="s">
        <v>382</v>
      </c>
      <c r="E807" s="31" t="s">
        <v>2342</v>
      </c>
      <c r="F807" s="31" t="s">
        <v>1623</v>
      </c>
      <c r="G807" s="31" t="s">
        <v>461</v>
      </c>
      <c r="H807" s="31" t="s">
        <v>41</v>
      </c>
      <c r="I807" s="31" t="n">
        <f aca="false">VLOOKUP(H807,Paramètres!$A$15:$B$19,2,FALSE())</f>
        <v>1</v>
      </c>
      <c r="J807" s="31" t="n">
        <v>1</v>
      </c>
      <c r="K807" s="50" t="str">
        <f aca="false">C807&amp;"|"&amp;J807</f>
        <v>MOB-E|1</v>
      </c>
      <c r="L807" s="31" t="s">
        <v>2343</v>
      </c>
      <c r="M807" s="31" t="n">
        <v>1</v>
      </c>
      <c r="N807" s="51" t="s">
        <v>462</v>
      </c>
      <c r="O807" s="35" t="s">
        <v>78</v>
      </c>
      <c r="P807" s="52"/>
      <c r="Q807" s="52"/>
      <c r="R807" s="33" t="n">
        <f aca="false">INDEX(Épopées!$L$6:$L$59,MATCH(K807,Épopées!$A$6:$A$59,0))</f>
        <v>46553</v>
      </c>
      <c r="S807" s="33" t="n">
        <f aca="false">INDEX(Épopées!$M$6:$M$59,MATCH(K807,Épopées!$A$6:$A$59,0))</f>
        <v>46573</v>
      </c>
      <c r="T807" s="53" t="s">
        <v>463</v>
      </c>
    </row>
    <row r="808" customFormat="false" ht="15" hidden="false" customHeight="false" outlineLevel="0" collapsed="false">
      <c r="A808" s="31" t="s">
        <v>2344</v>
      </c>
      <c r="B808" s="31" t="s">
        <v>342</v>
      </c>
      <c r="C808" s="31" t="s">
        <v>381</v>
      </c>
      <c r="D808" s="31" t="s">
        <v>382</v>
      </c>
      <c r="E808" s="31" t="s">
        <v>2345</v>
      </c>
      <c r="F808" s="31" t="s">
        <v>1623</v>
      </c>
      <c r="G808" s="31" t="s">
        <v>461</v>
      </c>
      <c r="H808" s="31" t="s">
        <v>39</v>
      </c>
      <c r="I808" s="31" t="n">
        <f aca="false">VLOOKUP(H808,Paramètres!$A$15:$B$19,2,FALSE())</f>
        <v>0.5</v>
      </c>
      <c r="J808" s="31" t="n">
        <v>1</v>
      </c>
      <c r="K808" s="50" t="str">
        <f aca="false">C808&amp;"|"&amp;J808</f>
        <v>MOB-E|1</v>
      </c>
      <c r="L808" s="31" t="s">
        <v>2335</v>
      </c>
      <c r="M808" s="31" t="n">
        <v>1</v>
      </c>
      <c r="N808" s="51" t="s">
        <v>462</v>
      </c>
      <c r="O808" s="35" t="s">
        <v>78</v>
      </c>
      <c r="P808" s="52"/>
      <c r="Q808" s="52"/>
      <c r="R808" s="33" t="n">
        <f aca="false">INDEX(Épopées!$L$6:$L$59,MATCH(K808,Épopées!$A$6:$A$59,0))</f>
        <v>46553</v>
      </c>
      <c r="S808" s="33" t="n">
        <f aca="false">INDEX(Épopées!$M$6:$M$59,MATCH(K808,Épopées!$A$6:$A$59,0))</f>
        <v>46573</v>
      </c>
      <c r="T808" s="53" t="s">
        <v>463</v>
      </c>
    </row>
    <row r="809" customFormat="false" ht="15" hidden="false" customHeight="false" outlineLevel="0" collapsed="false">
      <c r="A809" s="31" t="s">
        <v>2346</v>
      </c>
      <c r="B809" s="31" t="s">
        <v>342</v>
      </c>
      <c r="C809" s="31" t="s">
        <v>381</v>
      </c>
      <c r="D809" s="31" t="s">
        <v>382</v>
      </c>
      <c r="E809" s="31" t="s">
        <v>2347</v>
      </c>
      <c r="F809" s="31" t="s">
        <v>1623</v>
      </c>
      <c r="G809" s="31" t="s">
        <v>466</v>
      </c>
      <c r="H809" s="31" t="s">
        <v>37</v>
      </c>
      <c r="I809" s="31" t="n">
        <f aca="false">VLOOKUP(H809,Paramètres!$A$15:$B$19,2,FALSE())</f>
        <v>0.25</v>
      </c>
      <c r="J809" s="31" t="n">
        <v>1</v>
      </c>
      <c r="K809" s="50" t="str">
        <f aca="false">C809&amp;"|"&amp;J809</f>
        <v>MOB-E|1</v>
      </c>
      <c r="L809" s="31" t="s">
        <v>2335</v>
      </c>
      <c r="M809" s="31" t="n">
        <v>1</v>
      </c>
      <c r="N809" s="51" t="s">
        <v>462</v>
      </c>
      <c r="O809" s="35" t="s">
        <v>78</v>
      </c>
      <c r="P809" s="52"/>
      <c r="Q809" s="52"/>
      <c r="R809" s="33" t="n">
        <f aca="false">INDEX(Épopées!$L$6:$L$59,MATCH(K809,Épopées!$A$6:$A$59,0))</f>
        <v>46553</v>
      </c>
      <c r="S809" s="33" t="n">
        <f aca="false">INDEX(Épopées!$M$6:$M$59,MATCH(K809,Épopées!$A$6:$A$59,0))</f>
        <v>46573</v>
      </c>
      <c r="T809" s="53" t="s">
        <v>463</v>
      </c>
    </row>
    <row r="810" customFormat="false" ht="15" hidden="false" customHeight="false" outlineLevel="0" collapsed="false">
      <c r="A810" s="31" t="s">
        <v>2348</v>
      </c>
      <c r="B810" s="31" t="s">
        <v>342</v>
      </c>
      <c r="C810" s="31" t="s">
        <v>381</v>
      </c>
      <c r="D810" s="31" t="s">
        <v>382</v>
      </c>
      <c r="E810" s="31" t="s">
        <v>2349</v>
      </c>
      <c r="F810" s="31" t="s">
        <v>1623</v>
      </c>
      <c r="G810" s="31" t="s">
        <v>461</v>
      </c>
      <c r="H810" s="31" t="s">
        <v>39</v>
      </c>
      <c r="I810" s="31" t="n">
        <f aca="false">VLOOKUP(H810,Paramètres!$A$15:$B$19,2,FALSE())</f>
        <v>0.5</v>
      </c>
      <c r="J810" s="31" t="n">
        <v>1</v>
      </c>
      <c r="K810" s="50" t="str">
        <f aca="false">C810&amp;"|"&amp;J810</f>
        <v>MOB-E|1</v>
      </c>
      <c r="L810" s="31" t="s">
        <v>2350</v>
      </c>
      <c r="M810" s="31" t="n">
        <v>1</v>
      </c>
      <c r="N810" s="51" t="s">
        <v>462</v>
      </c>
      <c r="O810" s="35" t="s">
        <v>78</v>
      </c>
      <c r="P810" s="52"/>
      <c r="Q810" s="52"/>
      <c r="R810" s="33" t="n">
        <f aca="false">INDEX(Épopées!$L$6:$L$59,MATCH(K810,Épopées!$A$6:$A$59,0))</f>
        <v>46553</v>
      </c>
      <c r="S810" s="33" t="n">
        <f aca="false">INDEX(Épopées!$M$6:$M$59,MATCH(K810,Épopées!$A$6:$A$59,0))</f>
        <v>46573</v>
      </c>
      <c r="T810" s="53" t="s">
        <v>463</v>
      </c>
    </row>
    <row r="811" customFormat="false" ht="15" hidden="false" customHeight="false" outlineLevel="0" collapsed="false">
      <c r="A811" s="31" t="s">
        <v>2351</v>
      </c>
      <c r="B811" s="31" t="s">
        <v>342</v>
      </c>
      <c r="C811" s="31" t="s">
        <v>381</v>
      </c>
      <c r="D811" s="31" t="s">
        <v>382</v>
      </c>
      <c r="E811" s="31" t="s">
        <v>2352</v>
      </c>
      <c r="F811" s="31" t="s">
        <v>1623</v>
      </c>
      <c r="G811" s="31" t="s">
        <v>461</v>
      </c>
      <c r="H811" s="31" t="s">
        <v>43</v>
      </c>
      <c r="I811" s="31" t="n">
        <f aca="false">VLOOKUP(H811,Paramètres!$A$15:$B$19,2,FALSE())</f>
        <v>2</v>
      </c>
      <c r="J811" s="31" t="n">
        <v>1</v>
      </c>
      <c r="K811" s="50" t="str">
        <f aca="false">C811&amp;"|"&amp;J811</f>
        <v>MOB-E|1</v>
      </c>
      <c r="L811" s="31" t="s">
        <v>2353</v>
      </c>
      <c r="M811" s="31" t="n">
        <v>2</v>
      </c>
      <c r="N811" s="51" t="s">
        <v>462</v>
      </c>
      <c r="O811" s="35" t="s">
        <v>78</v>
      </c>
      <c r="P811" s="52"/>
      <c r="Q811" s="52"/>
      <c r="R811" s="33" t="n">
        <f aca="false">INDEX(Épopées!$L$6:$L$59,MATCH(K811,Épopées!$A$6:$A$59,0))</f>
        <v>46553</v>
      </c>
      <c r="S811" s="33" t="n">
        <f aca="false">INDEX(Épopées!$M$6:$M$59,MATCH(K811,Épopées!$A$6:$A$59,0))</f>
        <v>46573</v>
      </c>
      <c r="T811" s="53" t="s">
        <v>463</v>
      </c>
    </row>
    <row r="812" customFormat="false" ht="15" hidden="false" customHeight="false" outlineLevel="0" collapsed="false">
      <c r="A812" s="31" t="s">
        <v>2354</v>
      </c>
      <c r="B812" s="31" t="s">
        <v>342</v>
      </c>
      <c r="C812" s="31" t="s">
        <v>381</v>
      </c>
      <c r="D812" s="31" t="s">
        <v>382</v>
      </c>
      <c r="E812" s="31" t="s">
        <v>2355</v>
      </c>
      <c r="F812" s="31" t="s">
        <v>1623</v>
      </c>
      <c r="G812" s="31" t="s">
        <v>461</v>
      </c>
      <c r="H812" s="31" t="s">
        <v>39</v>
      </c>
      <c r="I812" s="31" t="n">
        <f aca="false">VLOOKUP(H812,Paramètres!$A$15:$B$19,2,FALSE())</f>
        <v>0.5</v>
      </c>
      <c r="J812" s="31" t="n">
        <v>1</v>
      </c>
      <c r="K812" s="50" t="str">
        <f aca="false">C812&amp;"|"&amp;J812</f>
        <v>MOB-E|1</v>
      </c>
      <c r="L812" s="31" t="s">
        <v>2351</v>
      </c>
      <c r="M812" s="31" t="n">
        <v>1</v>
      </c>
      <c r="N812" s="51" t="s">
        <v>462</v>
      </c>
      <c r="O812" s="35" t="s">
        <v>78</v>
      </c>
      <c r="P812" s="52"/>
      <c r="Q812" s="52"/>
      <c r="R812" s="33" t="n">
        <f aca="false">INDEX(Épopées!$L$6:$L$59,MATCH(K812,Épopées!$A$6:$A$59,0))</f>
        <v>46553</v>
      </c>
      <c r="S812" s="33" t="n">
        <f aca="false">INDEX(Épopées!$M$6:$M$59,MATCH(K812,Épopées!$A$6:$A$59,0))</f>
        <v>46573</v>
      </c>
      <c r="T812" s="53" t="s">
        <v>463</v>
      </c>
    </row>
    <row r="813" customFormat="false" ht="15" hidden="false" customHeight="false" outlineLevel="0" collapsed="false">
      <c r="A813" s="31" t="s">
        <v>2356</v>
      </c>
      <c r="B813" s="31" t="s">
        <v>342</v>
      </c>
      <c r="C813" s="31" t="s">
        <v>381</v>
      </c>
      <c r="D813" s="31" t="s">
        <v>382</v>
      </c>
      <c r="E813" s="31" t="s">
        <v>2357</v>
      </c>
      <c r="F813" s="31" t="s">
        <v>1623</v>
      </c>
      <c r="G813" s="31" t="s">
        <v>466</v>
      </c>
      <c r="H813" s="31" t="s">
        <v>39</v>
      </c>
      <c r="I813" s="31" t="n">
        <f aca="false">VLOOKUP(H813,Paramètres!$A$15:$B$19,2,FALSE())</f>
        <v>0.5</v>
      </c>
      <c r="J813" s="31" t="n">
        <v>1</v>
      </c>
      <c r="K813" s="50" t="str">
        <f aca="false">C813&amp;"|"&amp;J813</f>
        <v>MOB-E|1</v>
      </c>
      <c r="L813" s="31" t="s">
        <v>2358</v>
      </c>
      <c r="M813" s="31" t="n">
        <v>1</v>
      </c>
      <c r="N813" s="51" t="s">
        <v>462</v>
      </c>
      <c r="O813" s="35" t="s">
        <v>78</v>
      </c>
      <c r="P813" s="52"/>
      <c r="Q813" s="52"/>
      <c r="R813" s="33" t="n">
        <f aca="false">INDEX(Épopées!$L$6:$L$59,MATCH(K813,Épopées!$A$6:$A$59,0))</f>
        <v>46553</v>
      </c>
      <c r="S813" s="33" t="n">
        <f aca="false">INDEX(Épopées!$M$6:$M$59,MATCH(K813,Épopées!$A$6:$A$59,0))</f>
        <v>46573</v>
      </c>
      <c r="T813" s="53" t="s">
        <v>463</v>
      </c>
    </row>
    <row r="814" customFormat="false" ht="15" hidden="false" customHeight="false" outlineLevel="0" collapsed="false">
      <c r="A814" s="31" t="s">
        <v>2359</v>
      </c>
      <c r="B814" s="31" t="s">
        <v>342</v>
      </c>
      <c r="C814" s="31" t="s">
        <v>381</v>
      </c>
      <c r="D814" s="31" t="s">
        <v>382</v>
      </c>
      <c r="E814" s="31" t="s">
        <v>2360</v>
      </c>
      <c r="F814" s="31" t="s">
        <v>1623</v>
      </c>
      <c r="G814" s="31" t="s">
        <v>461</v>
      </c>
      <c r="H814" s="31" t="s">
        <v>41</v>
      </c>
      <c r="I814" s="31" t="n">
        <f aca="false">VLOOKUP(H814,Paramètres!$A$15:$B$19,2,FALSE())</f>
        <v>1</v>
      </c>
      <c r="J814" s="31" t="n">
        <v>1</v>
      </c>
      <c r="K814" s="50" t="str">
        <f aca="false">C814&amp;"|"&amp;J814</f>
        <v>MOB-E|1</v>
      </c>
      <c r="L814" s="31" t="s">
        <v>2354</v>
      </c>
      <c r="M814" s="31" t="n">
        <v>1</v>
      </c>
      <c r="N814" s="51" t="s">
        <v>462</v>
      </c>
      <c r="O814" s="35" t="s">
        <v>78</v>
      </c>
      <c r="P814" s="52"/>
      <c r="Q814" s="52"/>
      <c r="R814" s="33" t="n">
        <f aca="false">INDEX(Épopées!$L$6:$L$59,MATCH(K814,Épopées!$A$6:$A$59,0))</f>
        <v>46553</v>
      </c>
      <c r="S814" s="33" t="n">
        <f aca="false">INDEX(Épopées!$M$6:$M$59,MATCH(K814,Épopées!$A$6:$A$59,0))</f>
        <v>46573</v>
      </c>
      <c r="T814" s="53" t="s">
        <v>463</v>
      </c>
    </row>
    <row r="815" customFormat="false" ht="15" hidden="false" customHeight="false" outlineLevel="0" collapsed="false">
      <c r="A815" s="31" t="s">
        <v>2361</v>
      </c>
      <c r="B815" s="31" t="s">
        <v>342</v>
      </c>
      <c r="C815" s="31" t="s">
        <v>381</v>
      </c>
      <c r="D815" s="31" t="s">
        <v>382</v>
      </c>
      <c r="E815" s="31" t="s">
        <v>2362</v>
      </c>
      <c r="F815" s="31" t="s">
        <v>1623</v>
      </c>
      <c r="G815" s="31" t="s">
        <v>461</v>
      </c>
      <c r="H815" s="31" t="s">
        <v>41</v>
      </c>
      <c r="I815" s="31" t="n">
        <f aca="false">VLOOKUP(H815,Paramètres!$A$15:$B$19,2,FALSE())</f>
        <v>1</v>
      </c>
      <c r="J815" s="31" t="n">
        <v>1</v>
      </c>
      <c r="K815" s="50" t="str">
        <f aca="false">C815&amp;"|"&amp;J815</f>
        <v>MOB-E|1</v>
      </c>
      <c r="L815" s="31" t="s">
        <v>2359</v>
      </c>
      <c r="M815" s="31" t="n">
        <v>1</v>
      </c>
      <c r="N815" s="51" t="s">
        <v>462</v>
      </c>
      <c r="O815" s="35" t="s">
        <v>78</v>
      </c>
      <c r="P815" s="52"/>
      <c r="Q815" s="52"/>
      <c r="R815" s="33" t="n">
        <f aca="false">INDEX(Épopées!$L$6:$L$59,MATCH(K815,Épopées!$A$6:$A$59,0))</f>
        <v>46553</v>
      </c>
      <c r="S815" s="33" t="n">
        <f aca="false">INDEX(Épopées!$M$6:$M$59,MATCH(K815,Épopées!$A$6:$A$59,0))</f>
        <v>46573</v>
      </c>
      <c r="T815" s="53" t="s">
        <v>463</v>
      </c>
    </row>
    <row r="816" customFormat="false" ht="15" hidden="false" customHeight="false" outlineLevel="0" collapsed="false">
      <c r="A816" s="31" t="s">
        <v>2363</v>
      </c>
      <c r="B816" s="31" t="s">
        <v>342</v>
      </c>
      <c r="C816" s="31" t="s">
        <v>381</v>
      </c>
      <c r="D816" s="31" t="s">
        <v>382</v>
      </c>
      <c r="E816" s="31" t="s">
        <v>2364</v>
      </c>
      <c r="F816" s="31" t="s">
        <v>1863</v>
      </c>
      <c r="G816" s="31" t="s">
        <v>612</v>
      </c>
      <c r="H816" s="31" t="s">
        <v>39</v>
      </c>
      <c r="I816" s="31" t="n">
        <f aca="false">VLOOKUP(H816,Paramètres!$A$15:$B$19,2,FALSE())</f>
        <v>0.5</v>
      </c>
      <c r="J816" s="31" t="n">
        <v>1</v>
      </c>
      <c r="K816" s="50" t="str">
        <f aca="false">C816&amp;"|"&amp;J816</f>
        <v>MOB-E|1</v>
      </c>
      <c r="L816" s="31" t="s">
        <v>2351</v>
      </c>
      <c r="M816" s="31" t="n">
        <v>3</v>
      </c>
      <c r="N816" s="51" t="s">
        <v>462</v>
      </c>
      <c r="O816" s="35" t="s">
        <v>78</v>
      </c>
      <c r="P816" s="52"/>
      <c r="Q816" s="52"/>
      <c r="R816" s="33" t="n">
        <f aca="false">INDEX(Épopées!$L$6:$L$59,MATCH(K816,Épopées!$A$6:$A$59,0))</f>
        <v>46553</v>
      </c>
      <c r="S816" s="33" t="n">
        <f aca="false">INDEX(Épopées!$M$6:$M$59,MATCH(K816,Épopées!$A$6:$A$59,0))</f>
        <v>46573</v>
      </c>
      <c r="T816" s="53" t="s">
        <v>463</v>
      </c>
    </row>
    <row r="817" customFormat="false" ht="15" hidden="false" customHeight="false" outlineLevel="0" collapsed="false">
      <c r="A817" s="31" t="s">
        <v>2365</v>
      </c>
      <c r="B817" s="31" t="s">
        <v>342</v>
      </c>
      <c r="C817" s="31" t="s">
        <v>381</v>
      </c>
      <c r="D817" s="31" t="s">
        <v>382</v>
      </c>
      <c r="E817" s="31" t="s">
        <v>2366</v>
      </c>
      <c r="F817" s="31" t="s">
        <v>1623</v>
      </c>
      <c r="G817" s="31" t="s">
        <v>461</v>
      </c>
      <c r="H817" s="31" t="s">
        <v>41</v>
      </c>
      <c r="I817" s="31" t="n">
        <f aca="false">VLOOKUP(H817,Paramètres!$A$15:$B$19,2,FALSE())</f>
        <v>1</v>
      </c>
      <c r="J817" s="31" t="n">
        <v>1</v>
      </c>
      <c r="K817" s="50" t="str">
        <f aca="false">C817&amp;"|"&amp;J817</f>
        <v>MOB-E|1</v>
      </c>
      <c r="L817" s="31" t="s">
        <v>2367</v>
      </c>
      <c r="M817" s="31" t="n">
        <v>1</v>
      </c>
      <c r="N817" s="51" t="s">
        <v>462</v>
      </c>
      <c r="O817" s="35" t="s">
        <v>78</v>
      </c>
      <c r="P817" s="52"/>
      <c r="Q817" s="52"/>
      <c r="R817" s="33" t="n">
        <f aca="false">INDEX(Épopées!$L$6:$L$59,MATCH(K817,Épopées!$A$6:$A$59,0))</f>
        <v>46553</v>
      </c>
      <c r="S817" s="33" t="n">
        <f aca="false">INDEX(Épopées!$M$6:$M$59,MATCH(K817,Épopées!$A$6:$A$59,0))</f>
        <v>46573</v>
      </c>
      <c r="T817" s="53" t="s">
        <v>463</v>
      </c>
    </row>
    <row r="818" customFormat="false" ht="15" hidden="false" customHeight="false" outlineLevel="0" collapsed="false">
      <c r="A818" s="31" t="s">
        <v>2368</v>
      </c>
      <c r="B818" s="31" t="s">
        <v>342</v>
      </c>
      <c r="C818" s="31" t="s">
        <v>381</v>
      </c>
      <c r="D818" s="31" t="s">
        <v>382</v>
      </c>
      <c r="E818" s="31" t="s">
        <v>2369</v>
      </c>
      <c r="F818" s="31" t="s">
        <v>1623</v>
      </c>
      <c r="G818" s="31" t="s">
        <v>466</v>
      </c>
      <c r="H818" s="31" t="s">
        <v>41</v>
      </c>
      <c r="I818" s="31" t="n">
        <f aca="false">VLOOKUP(H818,Paramètres!$A$15:$B$19,2,FALSE())</f>
        <v>1</v>
      </c>
      <c r="J818" s="31" t="n">
        <v>1</v>
      </c>
      <c r="K818" s="50" t="str">
        <f aca="false">C818&amp;"|"&amp;J818</f>
        <v>MOB-E|1</v>
      </c>
      <c r="L818" s="31" t="s">
        <v>2365</v>
      </c>
      <c r="M818" s="31" t="n">
        <v>3</v>
      </c>
      <c r="N818" s="51" t="s">
        <v>462</v>
      </c>
      <c r="O818" s="35" t="s">
        <v>78</v>
      </c>
      <c r="P818" s="52"/>
      <c r="Q818" s="52"/>
      <c r="R818" s="33" t="n">
        <f aca="false">INDEX(Épopées!$L$6:$L$59,MATCH(K818,Épopées!$A$6:$A$59,0))</f>
        <v>46553</v>
      </c>
      <c r="S818" s="33" t="n">
        <f aca="false">INDEX(Épopées!$M$6:$M$59,MATCH(K818,Épopées!$A$6:$A$59,0))</f>
        <v>46573</v>
      </c>
      <c r="T818" s="53" t="s">
        <v>463</v>
      </c>
    </row>
    <row r="819" customFormat="false" ht="15" hidden="false" customHeight="false" outlineLevel="0" collapsed="false">
      <c r="A819" s="31" t="s">
        <v>2370</v>
      </c>
      <c r="B819" s="31" t="s">
        <v>342</v>
      </c>
      <c r="C819" s="31" t="s">
        <v>381</v>
      </c>
      <c r="D819" s="31" t="s">
        <v>382</v>
      </c>
      <c r="E819" s="31" t="s">
        <v>2371</v>
      </c>
      <c r="F819" s="31" t="s">
        <v>1623</v>
      </c>
      <c r="G819" s="31" t="s">
        <v>466</v>
      </c>
      <c r="H819" s="31" t="s">
        <v>39</v>
      </c>
      <c r="I819" s="31" t="n">
        <f aca="false">VLOOKUP(H819,Paramètres!$A$15:$B$19,2,FALSE())</f>
        <v>0.5</v>
      </c>
      <c r="J819" s="31" t="n">
        <v>1</v>
      </c>
      <c r="K819" s="50" t="str">
        <f aca="false">C819&amp;"|"&amp;J819</f>
        <v>MOB-E|1</v>
      </c>
      <c r="L819" s="31" t="s">
        <v>2365</v>
      </c>
      <c r="M819" s="31" t="n">
        <v>1</v>
      </c>
      <c r="N819" s="51" t="s">
        <v>462</v>
      </c>
      <c r="O819" s="35" t="s">
        <v>78</v>
      </c>
      <c r="P819" s="52"/>
      <c r="Q819" s="52"/>
      <c r="R819" s="33" t="n">
        <f aca="false">INDEX(Épopées!$L$6:$L$59,MATCH(K819,Épopées!$A$6:$A$59,0))</f>
        <v>46553</v>
      </c>
      <c r="S819" s="33" t="n">
        <f aca="false">INDEX(Épopées!$M$6:$M$59,MATCH(K819,Épopées!$A$6:$A$59,0))</f>
        <v>46573</v>
      </c>
      <c r="T819" s="53" t="s">
        <v>463</v>
      </c>
    </row>
    <row r="820" customFormat="false" ht="15" hidden="false" customHeight="false" outlineLevel="0" collapsed="false">
      <c r="A820" s="31" t="s">
        <v>2372</v>
      </c>
      <c r="B820" s="31" t="s">
        <v>342</v>
      </c>
      <c r="C820" s="31" t="s">
        <v>381</v>
      </c>
      <c r="D820" s="31" t="s">
        <v>382</v>
      </c>
      <c r="E820" s="31" t="s">
        <v>2373</v>
      </c>
      <c r="F820" s="31" t="s">
        <v>1623</v>
      </c>
      <c r="G820" s="31" t="s">
        <v>466</v>
      </c>
      <c r="H820" s="31" t="s">
        <v>39</v>
      </c>
      <c r="I820" s="31" t="n">
        <f aca="false">VLOOKUP(H820,Paramètres!$A$15:$B$19,2,FALSE())</f>
        <v>0.5</v>
      </c>
      <c r="J820" s="31" t="n">
        <v>1</v>
      </c>
      <c r="K820" s="50" t="str">
        <f aca="false">C820&amp;"|"&amp;J820</f>
        <v>MOB-E|1</v>
      </c>
      <c r="L820" s="31" t="s">
        <v>2370</v>
      </c>
      <c r="M820" s="31" t="n">
        <v>1</v>
      </c>
      <c r="N820" s="51" t="s">
        <v>462</v>
      </c>
      <c r="O820" s="35" t="s">
        <v>78</v>
      </c>
      <c r="P820" s="52"/>
      <c r="Q820" s="52"/>
      <c r="R820" s="33" t="n">
        <f aca="false">INDEX(Épopées!$L$6:$L$59,MATCH(K820,Épopées!$A$6:$A$59,0))</f>
        <v>46553</v>
      </c>
      <c r="S820" s="33" t="n">
        <f aca="false">INDEX(Épopées!$M$6:$M$59,MATCH(K820,Épopées!$A$6:$A$59,0))</f>
        <v>46573</v>
      </c>
      <c r="T820" s="53" t="s">
        <v>463</v>
      </c>
    </row>
    <row r="821" customFormat="false" ht="15" hidden="false" customHeight="false" outlineLevel="0" collapsed="false">
      <c r="A821" s="31" t="s">
        <v>2374</v>
      </c>
      <c r="B821" s="31" t="s">
        <v>342</v>
      </c>
      <c r="C821" s="31" t="s">
        <v>381</v>
      </c>
      <c r="D821" s="31" t="s">
        <v>382</v>
      </c>
      <c r="E821" s="31" t="s">
        <v>2375</v>
      </c>
      <c r="F821" s="31" t="s">
        <v>1623</v>
      </c>
      <c r="G821" s="31" t="s">
        <v>461</v>
      </c>
      <c r="H821" s="31" t="s">
        <v>41</v>
      </c>
      <c r="I821" s="31" t="n">
        <f aca="false">VLOOKUP(H821,Paramètres!$A$15:$B$19,2,FALSE())</f>
        <v>1</v>
      </c>
      <c r="J821" s="31" t="n">
        <v>1</v>
      </c>
      <c r="K821" s="50" t="str">
        <f aca="false">C821&amp;"|"&amp;J821</f>
        <v>MOB-E|1</v>
      </c>
      <c r="L821" s="31" t="s">
        <v>2335</v>
      </c>
      <c r="M821" s="31" t="n">
        <v>1</v>
      </c>
      <c r="N821" s="51" t="s">
        <v>462</v>
      </c>
      <c r="O821" s="35" t="s">
        <v>78</v>
      </c>
      <c r="P821" s="52"/>
      <c r="Q821" s="52"/>
      <c r="R821" s="33" t="n">
        <f aca="false">INDEX(Épopées!$L$6:$L$59,MATCH(K821,Épopées!$A$6:$A$59,0))</f>
        <v>46553</v>
      </c>
      <c r="S821" s="33" t="n">
        <f aca="false">INDEX(Épopées!$M$6:$M$59,MATCH(K821,Épopées!$A$6:$A$59,0))</f>
        <v>46573</v>
      </c>
      <c r="T821" s="53" t="s">
        <v>463</v>
      </c>
    </row>
    <row r="822" customFormat="false" ht="15" hidden="false" customHeight="false" outlineLevel="0" collapsed="false">
      <c r="A822" s="31" t="s">
        <v>2376</v>
      </c>
      <c r="B822" s="31" t="s">
        <v>342</v>
      </c>
      <c r="C822" s="31" t="s">
        <v>381</v>
      </c>
      <c r="D822" s="31" t="s">
        <v>382</v>
      </c>
      <c r="E822" s="31" t="s">
        <v>2377</v>
      </c>
      <c r="F822" s="31" t="s">
        <v>491</v>
      </c>
      <c r="G822" s="31" t="s">
        <v>466</v>
      </c>
      <c r="H822" s="31" t="s">
        <v>39</v>
      </c>
      <c r="I822" s="31" t="n">
        <f aca="false">VLOOKUP(H822,Paramètres!$A$15:$B$19,2,FALSE())</f>
        <v>0.5</v>
      </c>
      <c r="J822" s="31" t="n">
        <v>1</v>
      </c>
      <c r="K822" s="50" t="str">
        <f aca="false">C822&amp;"|"&amp;J822</f>
        <v>MOB-E|1</v>
      </c>
      <c r="L822" s="31" t="s">
        <v>2378</v>
      </c>
      <c r="M822" s="31" t="n">
        <v>3</v>
      </c>
      <c r="N822" s="51" t="s">
        <v>462</v>
      </c>
      <c r="O822" s="35" t="s">
        <v>78</v>
      </c>
      <c r="P822" s="52"/>
      <c r="Q822" s="52"/>
      <c r="R822" s="33" t="n">
        <f aca="false">INDEX(Épopées!$L$6:$L$59,MATCH(K822,Épopées!$A$6:$A$59,0))</f>
        <v>46553</v>
      </c>
      <c r="S822" s="33" t="n">
        <f aca="false">INDEX(Épopées!$M$6:$M$59,MATCH(K822,Épopées!$A$6:$A$59,0))</f>
        <v>46573</v>
      </c>
      <c r="T822" s="53" t="s">
        <v>463</v>
      </c>
    </row>
    <row r="823" customFormat="false" ht="15" hidden="false" customHeight="false" outlineLevel="0" collapsed="false">
      <c r="A823" s="31" t="s">
        <v>2379</v>
      </c>
      <c r="B823" s="31" t="s">
        <v>342</v>
      </c>
      <c r="C823" s="31" t="s">
        <v>381</v>
      </c>
      <c r="D823" s="31" t="s">
        <v>382</v>
      </c>
      <c r="E823" s="31" t="s">
        <v>2380</v>
      </c>
      <c r="F823" s="31" t="s">
        <v>491</v>
      </c>
      <c r="G823" s="31" t="s">
        <v>461</v>
      </c>
      <c r="H823" s="31" t="s">
        <v>41</v>
      </c>
      <c r="I823" s="31" t="n">
        <f aca="false">VLOOKUP(H823,Paramètres!$A$15:$B$19,2,FALSE())</f>
        <v>1</v>
      </c>
      <c r="J823" s="31" t="n">
        <v>1</v>
      </c>
      <c r="K823" s="50" t="str">
        <f aca="false">C823&amp;"|"&amp;J823</f>
        <v>MOB-E|1</v>
      </c>
      <c r="L823" s="31" t="s">
        <v>2332</v>
      </c>
      <c r="M823" s="31" t="n">
        <v>2</v>
      </c>
      <c r="N823" s="51" t="s">
        <v>462</v>
      </c>
      <c r="O823" s="35" t="s">
        <v>78</v>
      </c>
      <c r="P823" s="52"/>
      <c r="Q823" s="52"/>
      <c r="R823" s="33" t="n">
        <f aca="false">INDEX(Épopées!$L$6:$L$59,MATCH(K823,Épopées!$A$6:$A$59,0))</f>
        <v>46553</v>
      </c>
      <c r="S823" s="33" t="n">
        <f aca="false">INDEX(Épopées!$M$6:$M$59,MATCH(K823,Épopées!$A$6:$A$59,0))</f>
        <v>46573</v>
      </c>
      <c r="T823" s="53" t="s">
        <v>463</v>
      </c>
    </row>
    <row r="824" customFormat="false" ht="15" hidden="false" customHeight="false" outlineLevel="0" collapsed="false">
      <c r="A824" s="31" t="s">
        <v>2381</v>
      </c>
      <c r="B824" s="31" t="s">
        <v>342</v>
      </c>
      <c r="C824" s="31" t="s">
        <v>381</v>
      </c>
      <c r="D824" s="31" t="s">
        <v>382</v>
      </c>
      <c r="E824" s="31" t="s">
        <v>2382</v>
      </c>
      <c r="F824" s="31" t="s">
        <v>1623</v>
      </c>
      <c r="G824" s="31" t="s">
        <v>461</v>
      </c>
      <c r="H824" s="31" t="s">
        <v>41</v>
      </c>
      <c r="I824" s="31" t="n">
        <f aca="false">VLOOKUP(H824,Paramètres!$A$15:$B$19,2,FALSE())</f>
        <v>1</v>
      </c>
      <c r="J824" s="31" t="n">
        <v>1</v>
      </c>
      <c r="K824" s="50" t="str">
        <f aca="false">C824&amp;"|"&amp;J824</f>
        <v>MOB-E|1</v>
      </c>
      <c r="L824" s="31" t="s">
        <v>2379</v>
      </c>
      <c r="M824" s="31" t="n">
        <v>1</v>
      </c>
      <c r="N824" s="51" t="s">
        <v>462</v>
      </c>
      <c r="O824" s="35" t="s">
        <v>78</v>
      </c>
      <c r="P824" s="52"/>
      <c r="Q824" s="52"/>
      <c r="R824" s="33" t="n">
        <f aca="false">INDEX(Épopées!$L$6:$L$59,MATCH(K824,Épopées!$A$6:$A$59,0))</f>
        <v>46553</v>
      </c>
      <c r="S824" s="33" t="n">
        <f aca="false">INDEX(Épopées!$M$6:$M$59,MATCH(K824,Épopées!$A$6:$A$59,0))</f>
        <v>46573</v>
      </c>
      <c r="T824" s="53" t="s">
        <v>463</v>
      </c>
    </row>
    <row r="825" customFormat="false" ht="15" hidden="false" customHeight="false" outlineLevel="0" collapsed="false">
      <c r="A825" s="31" t="s">
        <v>2383</v>
      </c>
      <c r="B825" s="31" t="s">
        <v>342</v>
      </c>
      <c r="C825" s="31" t="s">
        <v>381</v>
      </c>
      <c r="D825" s="31" t="s">
        <v>382</v>
      </c>
      <c r="E825" s="31" t="s">
        <v>2384</v>
      </c>
      <c r="F825" s="31" t="s">
        <v>1623</v>
      </c>
      <c r="G825" s="31" t="s">
        <v>461</v>
      </c>
      <c r="H825" s="31" t="s">
        <v>41</v>
      </c>
      <c r="I825" s="31" t="n">
        <f aca="false">VLOOKUP(H825,Paramètres!$A$15:$B$19,2,FALSE())</f>
        <v>1</v>
      </c>
      <c r="J825" s="31" t="n">
        <v>1</v>
      </c>
      <c r="K825" s="50" t="str">
        <f aca="false">C825&amp;"|"&amp;J825</f>
        <v>MOB-E|1</v>
      </c>
      <c r="L825" s="31" t="s">
        <v>2385</v>
      </c>
      <c r="M825" s="31" t="n">
        <v>1</v>
      </c>
      <c r="N825" s="51" t="s">
        <v>462</v>
      </c>
      <c r="O825" s="35" t="s">
        <v>78</v>
      </c>
      <c r="P825" s="52"/>
      <c r="Q825" s="52"/>
      <c r="R825" s="33" t="n">
        <f aca="false">INDEX(Épopées!$L$6:$L$59,MATCH(K825,Épopées!$A$6:$A$59,0))</f>
        <v>46553</v>
      </c>
      <c r="S825" s="33" t="n">
        <f aca="false">INDEX(Épopées!$M$6:$M$59,MATCH(K825,Épopées!$A$6:$A$59,0))</f>
        <v>46573</v>
      </c>
      <c r="T825" s="53" t="s">
        <v>463</v>
      </c>
    </row>
    <row r="826" customFormat="false" ht="15" hidden="false" customHeight="false" outlineLevel="0" collapsed="false">
      <c r="A826" s="31" t="s">
        <v>2386</v>
      </c>
      <c r="B826" s="31" t="s">
        <v>342</v>
      </c>
      <c r="C826" s="31" t="s">
        <v>381</v>
      </c>
      <c r="D826" s="31" t="s">
        <v>382</v>
      </c>
      <c r="E826" s="31" t="s">
        <v>2387</v>
      </c>
      <c r="F826" s="31" t="s">
        <v>1623</v>
      </c>
      <c r="G826" s="31" t="s">
        <v>466</v>
      </c>
      <c r="H826" s="31" t="s">
        <v>39</v>
      </c>
      <c r="I826" s="31" t="n">
        <f aca="false">VLOOKUP(H826,Paramètres!$A$15:$B$19,2,FALSE())</f>
        <v>0.5</v>
      </c>
      <c r="J826" s="31" t="n">
        <v>1</v>
      </c>
      <c r="K826" s="50" t="str">
        <f aca="false">C826&amp;"|"&amp;J826</f>
        <v>MOB-E|1</v>
      </c>
      <c r="L826" s="31" t="s">
        <v>2332</v>
      </c>
      <c r="M826" s="31" t="n">
        <v>1</v>
      </c>
      <c r="N826" s="51" t="s">
        <v>462</v>
      </c>
      <c r="O826" s="35" t="s">
        <v>78</v>
      </c>
      <c r="P826" s="52"/>
      <c r="Q826" s="52"/>
      <c r="R826" s="33" t="n">
        <f aca="false">INDEX(Épopées!$L$6:$L$59,MATCH(K826,Épopées!$A$6:$A$59,0))</f>
        <v>46553</v>
      </c>
      <c r="S826" s="33" t="n">
        <f aca="false">INDEX(Épopées!$M$6:$M$59,MATCH(K826,Épopées!$A$6:$A$59,0))</f>
        <v>46573</v>
      </c>
      <c r="T826" s="53" t="s">
        <v>463</v>
      </c>
    </row>
    <row r="827" customFormat="false" ht="15" hidden="false" customHeight="false" outlineLevel="0" collapsed="false">
      <c r="A827" s="31" t="s">
        <v>2388</v>
      </c>
      <c r="B827" s="31" t="s">
        <v>342</v>
      </c>
      <c r="C827" s="31" t="s">
        <v>381</v>
      </c>
      <c r="D827" s="31" t="s">
        <v>382</v>
      </c>
      <c r="E827" s="31" t="s">
        <v>2389</v>
      </c>
      <c r="F827" s="31" t="s">
        <v>1623</v>
      </c>
      <c r="G827" s="31" t="s">
        <v>466</v>
      </c>
      <c r="H827" s="31" t="s">
        <v>41</v>
      </c>
      <c r="I827" s="31" t="n">
        <f aca="false">VLOOKUP(H827,Paramètres!$A$15:$B$19,2,FALSE())</f>
        <v>1</v>
      </c>
      <c r="J827" s="31" t="n">
        <v>1</v>
      </c>
      <c r="K827" s="50" t="str">
        <f aca="false">C827&amp;"|"&amp;J827</f>
        <v>MOB-E|1</v>
      </c>
      <c r="L827" s="31" t="s">
        <v>2383</v>
      </c>
      <c r="M827" s="31" t="n">
        <v>1</v>
      </c>
      <c r="N827" s="51" t="s">
        <v>462</v>
      </c>
      <c r="O827" s="35" t="s">
        <v>78</v>
      </c>
      <c r="P827" s="52"/>
      <c r="Q827" s="52"/>
      <c r="R827" s="33" t="n">
        <f aca="false">INDEX(Épopées!$L$6:$L$59,MATCH(K827,Épopées!$A$6:$A$59,0))</f>
        <v>46553</v>
      </c>
      <c r="S827" s="33" t="n">
        <f aca="false">INDEX(Épopées!$M$6:$M$59,MATCH(K827,Épopées!$A$6:$A$59,0))</f>
        <v>46573</v>
      </c>
      <c r="T827" s="53" t="s">
        <v>463</v>
      </c>
    </row>
    <row r="828" customFormat="false" ht="15" hidden="false" customHeight="false" outlineLevel="0" collapsed="false">
      <c r="A828" s="31" t="s">
        <v>2390</v>
      </c>
      <c r="B828" s="31" t="s">
        <v>342</v>
      </c>
      <c r="C828" s="31" t="s">
        <v>381</v>
      </c>
      <c r="D828" s="31" t="s">
        <v>382</v>
      </c>
      <c r="E828" s="31" t="s">
        <v>2391</v>
      </c>
      <c r="F828" s="31" t="s">
        <v>491</v>
      </c>
      <c r="G828" s="31" t="s">
        <v>466</v>
      </c>
      <c r="H828" s="31" t="s">
        <v>41</v>
      </c>
      <c r="I828" s="31" t="n">
        <f aca="false">VLOOKUP(H828,Paramètres!$A$15:$B$19,2,FALSE())</f>
        <v>1</v>
      </c>
      <c r="J828" s="31" t="n">
        <v>1</v>
      </c>
      <c r="K828" s="50" t="str">
        <f aca="false">C828&amp;"|"&amp;J828</f>
        <v>MOB-E|1</v>
      </c>
      <c r="L828" s="31" t="s">
        <v>2392</v>
      </c>
      <c r="M828" s="31" t="n">
        <v>3</v>
      </c>
      <c r="N828" s="51" t="s">
        <v>462</v>
      </c>
      <c r="O828" s="35" t="s">
        <v>78</v>
      </c>
      <c r="P828" s="52"/>
      <c r="Q828" s="52"/>
      <c r="R828" s="33" t="n">
        <f aca="false">INDEX(Épopées!$L$6:$L$59,MATCH(K828,Épopées!$A$6:$A$59,0))</f>
        <v>46553</v>
      </c>
      <c r="S828" s="33" t="n">
        <f aca="false">INDEX(Épopées!$M$6:$M$59,MATCH(K828,Épopées!$A$6:$A$59,0))</f>
        <v>46573</v>
      </c>
      <c r="T828" s="53" t="s">
        <v>463</v>
      </c>
    </row>
    <row r="829" customFormat="false" ht="15" hidden="false" customHeight="false" outlineLevel="0" collapsed="false">
      <c r="A829" s="31" t="s">
        <v>2393</v>
      </c>
      <c r="B829" s="31" t="s">
        <v>342</v>
      </c>
      <c r="C829" s="31" t="s">
        <v>381</v>
      </c>
      <c r="D829" s="31" t="s">
        <v>382</v>
      </c>
      <c r="E829" s="31" t="s">
        <v>2394</v>
      </c>
      <c r="F829" s="31" t="s">
        <v>469</v>
      </c>
      <c r="G829" s="31" t="s">
        <v>466</v>
      </c>
      <c r="H829" s="31" t="s">
        <v>39</v>
      </c>
      <c r="I829" s="31" t="n">
        <f aca="false">VLOOKUP(H829,Paramètres!$A$15:$B$19,2,FALSE())</f>
        <v>0.5</v>
      </c>
      <c r="J829" s="31" t="n">
        <v>1</v>
      </c>
      <c r="K829" s="50" t="str">
        <f aca="false">C829&amp;"|"&amp;J829</f>
        <v>MOB-E|1</v>
      </c>
      <c r="L829" s="31" t="s">
        <v>2328</v>
      </c>
      <c r="M829" s="31" t="n">
        <v>3</v>
      </c>
      <c r="N829" s="51" t="s">
        <v>462</v>
      </c>
      <c r="O829" s="35" t="s">
        <v>78</v>
      </c>
      <c r="P829" s="52"/>
      <c r="Q829" s="52"/>
      <c r="R829" s="33" t="n">
        <f aca="false">INDEX(Épopées!$L$6:$L$59,MATCH(K829,Épopées!$A$6:$A$59,0))</f>
        <v>46553</v>
      </c>
      <c r="S829" s="33" t="n">
        <f aca="false">INDEX(Épopées!$M$6:$M$59,MATCH(K829,Épopées!$A$6:$A$59,0))</f>
        <v>46573</v>
      </c>
      <c r="T829" s="53" t="s">
        <v>463</v>
      </c>
    </row>
    <row r="830" customFormat="false" ht="15" hidden="false" customHeight="false" outlineLevel="0" collapsed="false">
      <c r="A830" s="31" t="s">
        <v>2395</v>
      </c>
      <c r="B830" s="31" t="s">
        <v>342</v>
      </c>
      <c r="C830" s="31" t="s">
        <v>381</v>
      </c>
      <c r="D830" s="31" t="s">
        <v>382</v>
      </c>
      <c r="E830" s="31" t="s">
        <v>2396</v>
      </c>
      <c r="F830" s="31" t="s">
        <v>1863</v>
      </c>
      <c r="G830" s="31" t="s">
        <v>466</v>
      </c>
      <c r="H830" s="31" t="s">
        <v>41</v>
      </c>
      <c r="I830" s="31" t="n">
        <f aca="false">VLOOKUP(H830,Paramètres!$A$15:$B$19,2,FALSE())</f>
        <v>1</v>
      </c>
      <c r="J830" s="31" t="n">
        <v>1</v>
      </c>
      <c r="K830" s="50" t="str">
        <f aca="false">C830&amp;"|"&amp;J830</f>
        <v>MOB-E|1</v>
      </c>
      <c r="L830" s="31" t="s">
        <v>2397</v>
      </c>
      <c r="M830" s="31" t="n">
        <v>6</v>
      </c>
      <c r="N830" s="51" t="s">
        <v>462</v>
      </c>
      <c r="O830" s="35" t="s">
        <v>78</v>
      </c>
      <c r="P830" s="52"/>
      <c r="Q830" s="52"/>
      <c r="R830" s="33" t="n">
        <f aca="false">INDEX(Épopées!$L$6:$L$59,MATCH(K830,Épopées!$A$6:$A$59,0))</f>
        <v>46553</v>
      </c>
      <c r="S830" s="33" t="n">
        <f aca="false">INDEX(Épopées!$M$6:$M$59,MATCH(K830,Épopées!$A$6:$A$59,0))</f>
        <v>46573</v>
      </c>
      <c r="T830" s="53" t="s">
        <v>463</v>
      </c>
    </row>
    <row r="831" customFormat="false" ht="15" hidden="false" customHeight="false" outlineLevel="0" collapsed="false">
      <c r="A831" s="31" t="s">
        <v>2398</v>
      </c>
      <c r="B831" s="31" t="s">
        <v>342</v>
      </c>
      <c r="C831" s="31" t="s">
        <v>381</v>
      </c>
      <c r="D831" s="31" t="s">
        <v>382</v>
      </c>
      <c r="E831" s="31" t="s">
        <v>2399</v>
      </c>
      <c r="F831" s="31" t="s">
        <v>588</v>
      </c>
      <c r="G831" s="31" t="s">
        <v>466</v>
      </c>
      <c r="H831" s="31" t="s">
        <v>39</v>
      </c>
      <c r="I831" s="31" t="n">
        <f aca="false">VLOOKUP(H831,Paramètres!$A$15:$B$19,2,FALSE())</f>
        <v>0.5</v>
      </c>
      <c r="J831" s="31" t="n">
        <v>1</v>
      </c>
      <c r="K831" s="50" t="str">
        <f aca="false">C831&amp;"|"&amp;J831</f>
        <v>MOB-E|1</v>
      </c>
      <c r="L831" s="31" t="s">
        <v>2341</v>
      </c>
      <c r="M831" s="31" t="n">
        <v>18</v>
      </c>
      <c r="N831" s="51" t="s">
        <v>462</v>
      </c>
      <c r="O831" s="35" t="s">
        <v>78</v>
      </c>
      <c r="P831" s="52"/>
      <c r="Q831" s="52"/>
      <c r="R831" s="33" t="n">
        <f aca="false">INDEX(Épopées!$L$6:$L$59,MATCH(K831,Épopées!$A$6:$A$59,0))</f>
        <v>46553</v>
      </c>
      <c r="S831" s="33" t="n">
        <f aca="false">INDEX(Épopées!$M$6:$M$59,MATCH(K831,Épopées!$A$6:$A$59,0))</f>
        <v>46573</v>
      </c>
      <c r="T831" s="53" t="s">
        <v>463</v>
      </c>
    </row>
    <row r="832" customFormat="false" ht="15" hidden="false" customHeight="false" outlineLevel="0" collapsed="false">
      <c r="A832" s="31" t="s">
        <v>2400</v>
      </c>
      <c r="B832" s="31" t="s">
        <v>342</v>
      </c>
      <c r="C832" s="31" t="s">
        <v>381</v>
      </c>
      <c r="D832" s="31" t="s">
        <v>382</v>
      </c>
      <c r="E832" s="31" t="s">
        <v>2401</v>
      </c>
      <c r="F832" s="31" t="s">
        <v>472</v>
      </c>
      <c r="G832" s="31" t="s">
        <v>466</v>
      </c>
      <c r="H832" s="31" t="s">
        <v>41</v>
      </c>
      <c r="I832" s="31" t="n">
        <f aca="false">VLOOKUP(H832,Paramètres!$A$15:$B$19,2,FALSE())</f>
        <v>1</v>
      </c>
      <c r="J832" s="31" t="n">
        <v>1</v>
      </c>
      <c r="K832" s="50" t="str">
        <f aca="false">C832&amp;"|"&amp;J832</f>
        <v>MOB-E|1</v>
      </c>
      <c r="L832" s="31" t="s">
        <v>2402</v>
      </c>
      <c r="M832" s="31" t="n">
        <v>18</v>
      </c>
      <c r="N832" s="51" t="s">
        <v>462</v>
      </c>
      <c r="O832" s="35" t="s">
        <v>78</v>
      </c>
      <c r="P832" s="52"/>
      <c r="Q832" s="52"/>
      <c r="R832" s="33" t="n">
        <f aca="false">INDEX(Épopées!$L$6:$L$59,MATCH(K832,Épopées!$A$6:$A$59,0))</f>
        <v>46553</v>
      </c>
      <c r="S832" s="33" t="n">
        <f aca="false">INDEX(Épopées!$M$6:$M$59,MATCH(K832,Épopées!$A$6:$A$59,0))</f>
        <v>46573</v>
      </c>
      <c r="T832" s="53" t="s">
        <v>463</v>
      </c>
    </row>
    <row r="833" customFormat="false" ht="15" hidden="false" customHeight="false" outlineLevel="0" collapsed="false">
      <c r="A833" s="31" t="s">
        <v>2403</v>
      </c>
      <c r="B833" s="31" t="s">
        <v>342</v>
      </c>
      <c r="C833" s="31" t="s">
        <v>384</v>
      </c>
      <c r="D833" s="31" t="s">
        <v>131</v>
      </c>
      <c r="E833" s="31" t="s">
        <v>2404</v>
      </c>
      <c r="F833" s="31" t="s">
        <v>486</v>
      </c>
      <c r="G833" s="31" t="s">
        <v>461</v>
      </c>
      <c r="H833" s="31" t="s">
        <v>41</v>
      </c>
      <c r="I833" s="31" t="n">
        <f aca="false">VLOOKUP(H833,Paramètres!$A$15:$B$19,2,FALSE())</f>
        <v>1</v>
      </c>
      <c r="J833" s="31" t="n">
        <v>1</v>
      </c>
      <c r="K833" s="50" t="str">
        <f aca="false">C833&amp;"|"&amp;J833</f>
        <v>MOB-N|1</v>
      </c>
      <c r="L833" s="31"/>
      <c r="M833" s="31" t="n">
        <v>6</v>
      </c>
      <c r="N833" s="51" t="s">
        <v>462</v>
      </c>
      <c r="O833" s="35" t="s">
        <v>78</v>
      </c>
      <c r="P833" s="52"/>
      <c r="Q833" s="52"/>
      <c r="R833" s="33" t="n">
        <f aca="false">INDEX(Épopées!$L$6:$L$59,MATCH(K833,Épopées!$A$6:$A$59,0))</f>
        <v>46574</v>
      </c>
      <c r="S833" s="33" t="n">
        <f aca="false">INDEX(Épopées!$M$6:$M$59,MATCH(K833,Épopées!$A$6:$A$59,0))</f>
        <v>46597</v>
      </c>
      <c r="T833" s="53" t="s">
        <v>463</v>
      </c>
    </row>
    <row r="834" customFormat="false" ht="15" hidden="false" customHeight="false" outlineLevel="0" collapsed="false">
      <c r="A834" s="31" t="s">
        <v>2405</v>
      </c>
      <c r="B834" s="31" t="s">
        <v>342</v>
      </c>
      <c r="C834" s="31" t="s">
        <v>384</v>
      </c>
      <c r="D834" s="31" t="s">
        <v>131</v>
      </c>
      <c r="E834" s="31" t="s">
        <v>2406</v>
      </c>
      <c r="F834" s="31" t="s">
        <v>460</v>
      </c>
      <c r="G834" s="31" t="s">
        <v>461</v>
      </c>
      <c r="H834" s="31" t="s">
        <v>43</v>
      </c>
      <c r="I834" s="31" t="n">
        <f aca="false">VLOOKUP(H834,Paramètres!$A$15:$B$19,2,FALSE())</f>
        <v>2</v>
      </c>
      <c r="J834" s="31" t="n">
        <v>1</v>
      </c>
      <c r="K834" s="50" t="str">
        <f aca="false">C834&amp;"|"&amp;J834</f>
        <v>MOB-N|1</v>
      </c>
      <c r="L834" s="31" t="s">
        <v>2403</v>
      </c>
      <c r="M834" s="31" t="n">
        <v>5</v>
      </c>
      <c r="N834" s="51" t="s">
        <v>462</v>
      </c>
      <c r="O834" s="35" t="s">
        <v>78</v>
      </c>
      <c r="P834" s="52"/>
      <c r="Q834" s="52"/>
      <c r="R834" s="33" t="n">
        <f aca="false">INDEX(Épopées!$L$6:$L$59,MATCH(K834,Épopées!$A$6:$A$59,0))</f>
        <v>46574</v>
      </c>
      <c r="S834" s="33" t="n">
        <f aca="false">INDEX(Épopées!$M$6:$M$59,MATCH(K834,Épopées!$A$6:$A$59,0))</f>
        <v>46597</v>
      </c>
      <c r="T834" s="53" t="s">
        <v>463</v>
      </c>
    </row>
    <row r="835" customFormat="false" ht="15" hidden="false" customHeight="false" outlineLevel="0" collapsed="false">
      <c r="A835" s="31" t="s">
        <v>2407</v>
      </c>
      <c r="B835" s="31" t="s">
        <v>342</v>
      </c>
      <c r="C835" s="31" t="s">
        <v>384</v>
      </c>
      <c r="D835" s="31" t="s">
        <v>131</v>
      </c>
      <c r="E835" s="31" t="s">
        <v>2408</v>
      </c>
      <c r="F835" s="31" t="s">
        <v>481</v>
      </c>
      <c r="G835" s="31" t="s">
        <v>461</v>
      </c>
      <c r="H835" s="31" t="s">
        <v>43</v>
      </c>
      <c r="I835" s="31" t="n">
        <f aca="false">VLOOKUP(H835,Paramètres!$A$15:$B$19,2,FALSE())</f>
        <v>2</v>
      </c>
      <c r="J835" s="31" t="n">
        <v>1</v>
      </c>
      <c r="K835" s="50" t="str">
        <f aca="false">C835&amp;"|"&amp;J835</f>
        <v>MOB-N|1</v>
      </c>
      <c r="L835" s="31" t="s">
        <v>2403</v>
      </c>
      <c r="M835" s="31" t="n">
        <v>1</v>
      </c>
      <c r="N835" s="51" t="s">
        <v>462</v>
      </c>
      <c r="O835" s="35" t="s">
        <v>78</v>
      </c>
      <c r="P835" s="52"/>
      <c r="Q835" s="52"/>
      <c r="R835" s="33" t="n">
        <f aca="false">INDEX(Épopées!$L$6:$L$59,MATCH(K835,Épopées!$A$6:$A$59,0))</f>
        <v>46574</v>
      </c>
      <c r="S835" s="33" t="n">
        <f aca="false">INDEX(Épopées!$M$6:$M$59,MATCH(K835,Épopées!$A$6:$A$59,0))</f>
        <v>46597</v>
      </c>
      <c r="T835" s="53" t="s">
        <v>463</v>
      </c>
    </row>
    <row r="836" customFormat="false" ht="15" hidden="false" customHeight="false" outlineLevel="0" collapsed="false">
      <c r="A836" s="31" t="s">
        <v>2409</v>
      </c>
      <c r="B836" s="31" t="s">
        <v>342</v>
      </c>
      <c r="C836" s="31" t="s">
        <v>384</v>
      </c>
      <c r="D836" s="31" t="s">
        <v>131</v>
      </c>
      <c r="E836" s="31" t="s">
        <v>2410</v>
      </c>
      <c r="F836" s="31" t="s">
        <v>486</v>
      </c>
      <c r="G836" s="31" t="s">
        <v>461</v>
      </c>
      <c r="H836" s="31" t="s">
        <v>41</v>
      </c>
      <c r="I836" s="31" t="n">
        <f aca="false">VLOOKUP(H836,Paramètres!$A$15:$B$19,2,FALSE())</f>
        <v>1</v>
      </c>
      <c r="J836" s="31" t="n">
        <v>1</v>
      </c>
      <c r="K836" s="50" t="str">
        <f aca="false">C836&amp;"|"&amp;J836</f>
        <v>MOB-N|1</v>
      </c>
      <c r="L836" s="31" t="s">
        <v>2403</v>
      </c>
      <c r="M836" s="31" t="n">
        <v>4</v>
      </c>
      <c r="N836" s="51" t="s">
        <v>462</v>
      </c>
      <c r="O836" s="35" t="s">
        <v>78</v>
      </c>
      <c r="P836" s="52"/>
      <c r="Q836" s="52"/>
      <c r="R836" s="33" t="n">
        <f aca="false">INDEX(Épopées!$L$6:$L$59,MATCH(K836,Épopées!$A$6:$A$59,0))</f>
        <v>46574</v>
      </c>
      <c r="S836" s="33" t="n">
        <f aca="false">INDEX(Épopées!$M$6:$M$59,MATCH(K836,Épopées!$A$6:$A$59,0))</f>
        <v>46597</v>
      </c>
      <c r="T836" s="53" t="s">
        <v>463</v>
      </c>
    </row>
    <row r="837" customFormat="false" ht="15" hidden="false" customHeight="false" outlineLevel="0" collapsed="false">
      <c r="A837" s="31" t="s">
        <v>2411</v>
      </c>
      <c r="B837" s="31" t="s">
        <v>342</v>
      </c>
      <c r="C837" s="31" t="s">
        <v>384</v>
      </c>
      <c r="D837" s="31" t="s">
        <v>131</v>
      </c>
      <c r="E837" s="31" t="s">
        <v>2412</v>
      </c>
      <c r="F837" s="31" t="s">
        <v>491</v>
      </c>
      <c r="G837" s="31" t="s">
        <v>461</v>
      </c>
      <c r="H837" s="31" t="s">
        <v>45</v>
      </c>
      <c r="I837" s="31" t="n">
        <f aca="false">VLOOKUP(H837,Paramètres!$A$15:$B$19,2,FALSE())</f>
        <v>3.5</v>
      </c>
      <c r="J837" s="31" t="n">
        <v>1</v>
      </c>
      <c r="K837" s="50" t="str">
        <f aca="false">C837&amp;"|"&amp;J837</f>
        <v>MOB-N|1</v>
      </c>
      <c r="L837" s="31" t="s">
        <v>2413</v>
      </c>
      <c r="M837" s="31" t="n">
        <v>9</v>
      </c>
      <c r="N837" s="51" t="s">
        <v>462</v>
      </c>
      <c r="O837" s="35" t="s">
        <v>78</v>
      </c>
      <c r="P837" s="52"/>
      <c r="Q837" s="52"/>
      <c r="R837" s="33" t="n">
        <f aca="false">INDEX(Épopées!$L$6:$L$59,MATCH(K837,Épopées!$A$6:$A$59,0))</f>
        <v>46574</v>
      </c>
      <c r="S837" s="33" t="n">
        <f aca="false">INDEX(Épopées!$M$6:$M$59,MATCH(K837,Épopées!$A$6:$A$59,0))</f>
        <v>46597</v>
      </c>
      <c r="T837" s="53" t="s">
        <v>463</v>
      </c>
    </row>
    <row r="838" customFormat="false" ht="15" hidden="false" customHeight="false" outlineLevel="0" collapsed="false">
      <c r="A838" s="31" t="s">
        <v>2414</v>
      </c>
      <c r="B838" s="31" t="s">
        <v>342</v>
      </c>
      <c r="C838" s="31" t="s">
        <v>384</v>
      </c>
      <c r="D838" s="31" t="s">
        <v>131</v>
      </c>
      <c r="E838" s="31" t="s">
        <v>2415</v>
      </c>
      <c r="F838" s="31" t="s">
        <v>1623</v>
      </c>
      <c r="G838" s="31" t="s">
        <v>461</v>
      </c>
      <c r="H838" s="31" t="s">
        <v>41</v>
      </c>
      <c r="I838" s="31" t="n">
        <f aca="false">VLOOKUP(H838,Paramètres!$A$15:$B$19,2,FALSE())</f>
        <v>1</v>
      </c>
      <c r="J838" s="31" t="n">
        <v>1</v>
      </c>
      <c r="K838" s="50" t="str">
        <f aca="false">C838&amp;"|"&amp;J838</f>
        <v>MOB-N|1</v>
      </c>
      <c r="L838" s="31" t="s">
        <v>2411</v>
      </c>
      <c r="M838" s="31" t="n">
        <v>1</v>
      </c>
      <c r="N838" s="51" t="s">
        <v>462</v>
      </c>
      <c r="O838" s="35" t="s">
        <v>78</v>
      </c>
      <c r="P838" s="52"/>
      <c r="Q838" s="52"/>
      <c r="R838" s="33" t="n">
        <f aca="false">INDEX(Épopées!$L$6:$L$59,MATCH(K838,Épopées!$A$6:$A$59,0))</f>
        <v>46574</v>
      </c>
      <c r="S838" s="33" t="n">
        <f aca="false">INDEX(Épopées!$M$6:$M$59,MATCH(K838,Épopées!$A$6:$A$59,0))</f>
        <v>46597</v>
      </c>
      <c r="T838" s="53" t="s">
        <v>463</v>
      </c>
    </row>
    <row r="839" customFormat="false" ht="15" hidden="false" customHeight="false" outlineLevel="0" collapsed="false">
      <c r="A839" s="31" t="s">
        <v>2416</v>
      </c>
      <c r="B839" s="31" t="s">
        <v>342</v>
      </c>
      <c r="C839" s="31" t="s">
        <v>384</v>
      </c>
      <c r="D839" s="31" t="s">
        <v>131</v>
      </c>
      <c r="E839" s="31" t="s">
        <v>2417</v>
      </c>
      <c r="F839" s="31" t="s">
        <v>1623</v>
      </c>
      <c r="G839" s="31" t="s">
        <v>461</v>
      </c>
      <c r="H839" s="31" t="s">
        <v>43</v>
      </c>
      <c r="I839" s="31" t="n">
        <f aca="false">VLOOKUP(H839,Paramètres!$A$15:$B$19,2,FALSE())</f>
        <v>2</v>
      </c>
      <c r="J839" s="31" t="n">
        <v>1</v>
      </c>
      <c r="K839" s="50" t="str">
        <f aca="false">C839&amp;"|"&amp;J839</f>
        <v>MOB-N|1</v>
      </c>
      <c r="L839" s="31" t="s">
        <v>2418</v>
      </c>
      <c r="M839" s="31" t="n">
        <v>1</v>
      </c>
      <c r="N839" s="51" t="s">
        <v>462</v>
      </c>
      <c r="O839" s="35" t="s">
        <v>78</v>
      </c>
      <c r="P839" s="52"/>
      <c r="Q839" s="52"/>
      <c r="R839" s="33" t="n">
        <f aca="false">INDEX(Épopées!$L$6:$L$59,MATCH(K839,Épopées!$A$6:$A$59,0))</f>
        <v>46574</v>
      </c>
      <c r="S839" s="33" t="n">
        <f aca="false">INDEX(Épopées!$M$6:$M$59,MATCH(K839,Épopées!$A$6:$A$59,0))</f>
        <v>46597</v>
      </c>
      <c r="T839" s="53" t="s">
        <v>463</v>
      </c>
    </row>
    <row r="840" customFormat="false" ht="15" hidden="false" customHeight="false" outlineLevel="0" collapsed="false">
      <c r="A840" s="31" t="s">
        <v>2419</v>
      </c>
      <c r="B840" s="31" t="s">
        <v>342</v>
      </c>
      <c r="C840" s="31" t="s">
        <v>384</v>
      </c>
      <c r="D840" s="31" t="s">
        <v>131</v>
      </c>
      <c r="E840" s="31" t="s">
        <v>2420</v>
      </c>
      <c r="F840" s="31" t="s">
        <v>1623</v>
      </c>
      <c r="G840" s="31" t="s">
        <v>461</v>
      </c>
      <c r="H840" s="31" t="s">
        <v>41</v>
      </c>
      <c r="I840" s="31" t="n">
        <f aca="false">VLOOKUP(H840,Paramètres!$A$15:$B$19,2,FALSE())</f>
        <v>1</v>
      </c>
      <c r="J840" s="31" t="n">
        <v>1</v>
      </c>
      <c r="K840" s="50" t="str">
        <f aca="false">C840&amp;"|"&amp;J840</f>
        <v>MOB-N|1</v>
      </c>
      <c r="L840" s="31" t="s">
        <v>2411</v>
      </c>
      <c r="M840" s="31" t="n">
        <v>4</v>
      </c>
      <c r="N840" s="51" t="s">
        <v>462</v>
      </c>
      <c r="O840" s="35" t="s">
        <v>78</v>
      </c>
      <c r="P840" s="52"/>
      <c r="Q840" s="52"/>
      <c r="R840" s="33" t="n">
        <f aca="false">INDEX(Épopées!$L$6:$L$59,MATCH(K840,Épopées!$A$6:$A$59,0))</f>
        <v>46574</v>
      </c>
      <c r="S840" s="33" t="n">
        <f aca="false">INDEX(Épopées!$M$6:$M$59,MATCH(K840,Épopées!$A$6:$A$59,0))</f>
        <v>46597</v>
      </c>
      <c r="T840" s="53" t="s">
        <v>463</v>
      </c>
    </row>
    <row r="841" customFormat="false" ht="15" hidden="false" customHeight="false" outlineLevel="0" collapsed="false">
      <c r="A841" s="31" t="s">
        <v>2421</v>
      </c>
      <c r="B841" s="31" t="s">
        <v>342</v>
      </c>
      <c r="C841" s="31" t="s">
        <v>384</v>
      </c>
      <c r="D841" s="31" t="s">
        <v>131</v>
      </c>
      <c r="E841" s="31" t="s">
        <v>2422</v>
      </c>
      <c r="F841" s="31" t="s">
        <v>1623</v>
      </c>
      <c r="G841" s="31" t="s">
        <v>461</v>
      </c>
      <c r="H841" s="31" t="s">
        <v>43</v>
      </c>
      <c r="I841" s="31" t="n">
        <f aca="false">VLOOKUP(H841,Paramètres!$A$15:$B$19,2,FALSE())</f>
        <v>2</v>
      </c>
      <c r="J841" s="31" t="n">
        <v>1</v>
      </c>
      <c r="K841" s="50" t="str">
        <f aca="false">C841&amp;"|"&amp;J841</f>
        <v>MOB-N|1</v>
      </c>
      <c r="L841" s="31" t="s">
        <v>2411</v>
      </c>
      <c r="M841" s="31" t="n">
        <v>3</v>
      </c>
      <c r="N841" s="51" t="s">
        <v>462</v>
      </c>
      <c r="O841" s="35" t="s">
        <v>78</v>
      </c>
      <c r="P841" s="52"/>
      <c r="Q841" s="52"/>
      <c r="R841" s="33" t="n">
        <f aca="false">INDEX(Épopées!$L$6:$L$59,MATCH(K841,Épopées!$A$6:$A$59,0))</f>
        <v>46574</v>
      </c>
      <c r="S841" s="33" t="n">
        <f aca="false">INDEX(Épopées!$M$6:$M$59,MATCH(K841,Épopées!$A$6:$A$59,0))</f>
        <v>46597</v>
      </c>
      <c r="T841" s="53" t="s">
        <v>463</v>
      </c>
    </row>
    <row r="842" customFormat="false" ht="15" hidden="false" customHeight="false" outlineLevel="0" collapsed="false">
      <c r="A842" s="31" t="s">
        <v>2423</v>
      </c>
      <c r="B842" s="31" t="s">
        <v>342</v>
      </c>
      <c r="C842" s="31" t="s">
        <v>384</v>
      </c>
      <c r="D842" s="31" t="s">
        <v>131</v>
      </c>
      <c r="E842" s="31" t="s">
        <v>2424</v>
      </c>
      <c r="F842" s="31" t="s">
        <v>1623</v>
      </c>
      <c r="G842" s="31" t="s">
        <v>461</v>
      </c>
      <c r="H842" s="31" t="s">
        <v>41</v>
      </c>
      <c r="I842" s="31" t="n">
        <f aca="false">VLOOKUP(H842,Paramètres!$A$15:$B$19,2,FALSE())</f>
        <v>1</v>
      </c>
      <c r="J842" s="31" t="n">
        <v>1</v>
      </c>
      <c r="K842" s="50" t="str">
        <f aca="false">C842&amp;"|"&amp;J842</f>
        <v>MOB-N|1</v>
      </c>
      <c r="L842" s="31" t="s">
        <v>2421</v>
      </c>
      <c r="M842" s="31" t="n">
        <v>1</v>
      </c>
      <c r="N842" s="51" t="s">
        <v>462</v>
      </c>
      <c r="O842" s="35" t="s">
        <v>78</v>
      </c>
      <c r="P842" s="52"/>
      <c r="Q842" s="52"/>
      <c r="R842" s="33" t="n">
        <f aca="false">INDEX(Épopées!$L$6:$L$59,MATCH(K842,Épopées!$A$6:$A$59,0))</f>
        <v>46574</v>
      </c>
      <c r="S842" s="33" t="n">
        <f aca="false">INDEX(Épopées!$M$6:$M$59,MATCH(K842,Épopées!$A$6:$A$59,0))</f>
        <v>46597</v>
      </c>
      <c r="T842" s="53" t="s">
        <v>463</v>
      </c>
    </row>
    <row r="843" customFormat="false" ht="15" hidden="false" customHeight="false" outlineLevel="0" collapsed="false">
      <c r="A843" s="31" t="s">
        <v>2425</v>
      </c>
      <c r="B843" s="31" t="s">
        <v>342</v>
      </c>
      <c r="C843" s="31" t="s">
        <v>384</v>
      </c>
      <c r="D843" s="31" t="s">
        <v>131</v>
      </c>
      <c r="E843" s="31" t="s">
        <v>2426</v>
      </c>
      <c r="F843" s="31" t="s">
        <v>1623</v>
      </c>
      <c r="G843" s="31" t="s">
        <v>461</v>
      </c>
      <c r="H843" s="31" t="s">
        <v>41</v>
      </c>
      <c r="I843" s="31" t="n">
        <f aca="false">VLOOKUP(H843,Paramètres!$A$15:$B$19,2,FALSE())</f>
        <v>1</v>
      </c>
      <c r="J843" s="31" t="n">
        <v>1</v>
      </c>
      <c r="K843" s="50" t="str">
        <f aca="false">C843&amp;"|"&amp;J843</f>
        <v>MOB-N|1</v>
      </c>
      <c r="L843" s="31" t="s">
        <v>2427</v>
      </c>
      <c r="M843" s="31" t="n">
        <v>1</v>
      </c>
      <c r="N843" s="51" t="s">
        <v>462</v>
      </c>
      <c r="O843" s="35" t="s">
        <v>78</v>
      </c>
      <c r="P843" s="52"/>
      <c r="Q843" s="52"/>
      <c r="R843" s="33" t="n">
        <f aca="false">INDEX(Épopées!$L$6:$L$59,MATCH(K843,Épopées!$A$6:$A$59,0))</f>
        <v>46574</v>
      </c>
      <c r="S843" s="33" t="n">
        <f aca="false">INDEX(Épopées!$M$6:$M$59,MATCH(K843,Épopées!$A$6:$A$59,0))</f>
        <v>46597</v>
      </c>
      <c r="T843" s="53" t="s">
        <v>463</v>
      </c>
    </row>
    <row r="844" customFormat="false" ht="15" hidden="false" customHeight="false" outlineLevel="0" collapsed="false">
      <c r="A844" s="31" t="s">
        <v>2428</v>
      </c>
      <c r="B844" s="31" t="s">
        <v>342</v>
      </c>
      <c r="C844" s="31" t="s">
        <v>384</v>
      </c>
      <c r="D844" s="31" t="s">
        <v>131</v>
      </c>
      <c r="E844" s="31" t="s">
        <v>2429</v>
      </c>
      <c r="F844" s="31" t="s">
        <v>491</v>
      </c>
      <c r="G844" s="31" t="s">
        <v>461</v>
      </c>
      <c r="H844" s="31" t="s">
        <v>43</v>
      </c>
      <c r="I844" s="31" t="n">
        <f aca="false">VLOOKUP(H844,Paramètres!$A$15:$B$19,2,FALSE())</f>
        <v>2</v>
      </c>
      <c r="J844" s="31" t="n">
        <v>1</v>
      </c>
      <c r="K844" s="50" t="str">
        <f aca="false">C844&amp;"|"&amp;J844</f>
        <v>MOB-N|1</v>
      </c>
      <c r="L844" s="31" t="s">
        <v>2430</v>
      </c>
      <c r="M844" s="31" t="n">
        <v>1</v>
      </c>
      <c r="N844" s="51" t="s">
        <v>462</v>
      </c>
      <c r="O844" s="35" t="s">
        <v>78</v>
      </c>
      <c r="P844" s="52"/>
      <c r="Q844" s="52"/>
      <c r="R844" s="33" t="n">
        <f aca="false">INDEX(Épopées!$L$6:$L$59,MATCH(K844,Épopées!$A$6:$A$59,0))</f>
        <v>46574</v>
      </c>
      <c r="S844" s="33" t="n">
        <f aca="false">INDEX(Épopées!$M$6:$M$59,MATCH(K844,Épopées!$A$6:$A$59,0))</f>
        <v>46597</v>
      </c>
      <c r="T844" s="53" t="s">
        <v>463</v>
      </c>
    </row>
    <row r="845" customFormat="false" ht="15" hidden="false" customHeight="false" outlineLevel="0" collapsed="false">
      <c r="A845" s="31" t="s">
        <v>2431</v>
      </c>
      <c r="B845" s="31" t="s">
        <v>342</v>
      </c>
      <c r="C845" s="31" t="s">
        <v>384</v>
      </c>
      <c r="D845" s="31" t="s">
        <v>131</v>
      </c>
      <c r="E845" s="31" t="s">
        <v>2432</v>
      </c>
      <c r="F845" s="31" t="s">
        <v>1623</v>
      </c>
      <c r="G845" s="31" t="s">
        <v>466</v>
      </c>
      <c r="H845" s="31" t="s">
        <v>41</v>
      </c>
      <c r="I845" s="31" t="n">
        <f aca="false">VLOOKUP(H845,Paramètres!$A$15:$B$19,2,FALSE())</f>
        <v>1</v>
      </c>
      <c r="J845" s="31" t="n">
        <v>1</v>
      </c>
      <c r="K845" s="50" t="str">
        <f aca="false">C845&amp;"|"&amp;J845</f>
        <v>MOB-N|1</v>
      </c>
      <c r="L845" s="31" t="s">
        <v>2421</v>
      </c>
      <c r="M845" s="31" t="n">
        <v>1</v>
      </c>
      <c r="N845" s="51" t="s">
        <v>462</v>
      </c>
      <c r="O845" s="35" t="s">
        <v>78</v>
      </c>
      <c r="P845" s="52"/>
      <c r="Q845" s="52"/>
      <c r="R845" s="33" t="n">
        <f aca="false">INDEX(Épopées!$L$6:$L$59,MATCH(K845,Épopées!$A$6:$A$59,0))</f>
        <v>46574</v>
      </c>
      <c r="S845" s="33" t="n">
        <f aca="false">INDEX(Épopées!$M$6:$M$59,MATCH(K845,Épopées!$A$6:$A$59,0))</f>
        <v>46597</v>
      </c>
      <c r="T845" s="53" t="s">
        <v>463</v>
      </c>
    </row>
    <row r="846" customFormat="false" ht="15" hidden="false" customHeight="false" outlineLevel="0" collapsed="false">
      <c r="A846" s="31" t="s">
        <v>2433</v>
      </c>
      <c r="B846" s="31" t="s">
        <v>342</v>
      </c>
      <c r="C846" s="31" t="s">
        <v>384</v>
      </c>
      <c r="D846" s="31" t="s">
        <v>131</v>
      </c>
      <c r="E846" s="31" t="s">
        <v>2434</v>
      </c>
      <c r="F846" s="31" t="s">
        <v>1623</v>
      </c>
      <c r="G846" s="31" t="s">
        <v>466</v>
      </c>
      <c r="H846" s="31" t="s">
        <v>41</v>
      </c>
      <c r="I846" s="31" t="n">
        <f aca="false">VLOOKUP(H846,Paramètres!$A$15:$B$19,2,FALSE())</f>
        <v>1</v>
      </c>
      <c r="J846" s="31" t="n">
        <v>1</v>
      </c>
      <c r="K846" s="50" t="str">
        <f aca="false">C846&amp;"|"&amp;J846</f>
        <v>MOB-N|1</v>
      </c>
      <c r="L846" s="31" t="s">
        <v>2421</v>
      </c>
      <c r="M846" s="31" t="n">
        <v>2</v>
      </c>
      <c r="N846" s="51" t="s">
        <v>462</v>
      </c>
      <c r="O846" s="35" t="s">
        <v>78</v>
      </c>
      <c r="P846" s="52"/>
      <c r="Q846" s="52"/>
      <c r="R846" s="33" t="n">
        <f aca="false">INDEX(Épopées!$L$6:$L$59,MATCH(K846,Épopées!$A$6:$A$59,0))</f>
        <v>46574</v>
      </c>
      <c r="S846" s="33" t="n">
        <f aca="false">INDEX(Épopées!$M$6:$M$59,MATCH(K846,Épopées!$A$6:$A$59,0))</f>
        <v>46597</v>
      </c>
      <c r="T846" s="53" t="s">
        <v>463</v>
      </c>
    </row>
    <row r="847" customFormat="false" ht="15" hidden="false" customHeight="false" outlineLevel="0" collapsed="false">
      <c r="A847" s="31" t="s">
        <v>2435</v>
      </c>
      <c r="B847" s="31" t="s">
        <v>342</v>
      </c>
      <c r="C847" s="31" t="s">
        <v>384</v>
      </c>
      <c r="D847" s="31" t="s">
        <v>131</v>
      </c>
      <c r="E847" s="31" t="s">
        <v>2436</v>
      </c>
      <c r="F847" s="31" t="s">
        <v>1623</v>
      </c>
      <c r="G847" s="31" t="s">
        <v>461</v>
      </c>
      <c r="H847" s="31" t="s">
        <v>39</v>
      </c>
      <c r="I847" s="31" t="n">
        <f aca="false">VLOOKUP(H847,Paramètres!$A$15:$B$19,2,FALSE())</f>
        <v>0.5</v>
      </c>
      <c r="J847" s="31" t="n">
        <v>1</v>
      </c>
      <c r="K847" s="50" t="str">
        <f aca="false">C847&amp;"|"&amp;J847</f>
        <v>MOB-N|1</v>
      </c>
      <c r="L847" s="31" t="s">
        <v>2437</v>
      </c>
      <c r="M847" s="31" t="n">
        <v>1</v>
      </c>
      <c r="N847" s="51" t="s">
        <v>462</v>
      </c>
      <c r="O847" s="35" t="s">
        <v>78</v>
      </c>
      <c r="P847" s="52"/>
      <c r="Q847" s="52"/>
      <c r="R847" s="33" t="n">
        <f aca="false">INDEX(Épopées!$L$6:$L$59,MATCH(K847,Épopées!$A$6:$A$59,0))</f>
        <v>46574</v>
      </c>
      <c r="S847" s="33" t="n">
        <f aca="false">INDEX(Épopées!$M$6:$M$59,MATCH(K847,Épopées!$A$6:$A$59,0))</f>
        <v>46597</v>
      </c>
      <c r="T847" s="53" t="s">
        <v>463</v>
      </c>
    </row>
    <row r="848" customFormat="false" ht="15" hidden="false" customHeight="false" outlineLevel="0" collapsed="false">
      <c r="A848" s="31" t="s">
        <v>2438</v>
      </c>
      <c r="B848" s="31" t="s">
        <v>342</v>
      </c>
      <c r="C848" s="31" t="s">
        <v>384</v>
      </c>
      <c r="D848" s="31" t="s">
        <v>131</v>
      </c>
      <c r="E848" s="31" t="s">
        <v>2439</v>
      </c>
      <c r="F848" s="31" t="s">
        <v>1623</v>
      </c>
      <c r="G848" s="31" t="s">
        <v>461</v>
      </c>
      <c r="H848" s="31" t="s">
        <v>39</v>
      </c>
      <c r="I848" s="31" t="n">
        <f aca="false">VLOOKUP(H848,Paramètres!$A$15:$B$19,2,FALSE())</f>
        <v>0.5</v>
      </c>
      <c r="J848" s="31" t="n">
        <v>1</v>
      </c>
      <c r="K848" s="50" t="str">
        <f aca="false">C848&amp;"|"&amp;J848</f>
        <v>MOB-N|1</v>
      </c>
      <c r="L848" s="31" t="s">
        <v>2421</v>
      </c>
      <c r="M848" s="31" t="n">
        <v>1</v>
      </c>
      <c r="N848" s="51" t="s">
        <v>462</v>
      </c>
      <c r="O848" s="35" t="s">
        <v>78</v>
      </c>
      <c r="P848" s="52"/>
      <c r="Q848" s="52"/>
      <c r="R848" s="33" t="n">
        <f aca="false">INDEX(Épopées!$L$6:$L$59,MATCH(K848,Épopées!$A$6:$A$59,0))</f>
        <v>46574</v>
      </c>
      <c r="S848" s="33" t="n">
        <f aca="false">INDEX(Épopées!$M$6:$M$59,MATCH(K848,Épopées!$A$6:$A$59,0))</f>
        <v>46597</v>
      </c>
      <c r="T848" s="53" t="s">
        <v>463</v>
      </c>
    </row>
    <row r="849" customFormat="false" ht="15" hidden="false" customHeight="false" outlineLevel="0" collapsed="false">
      <c r="A849" s="31" t="s">
        <v>2440</v>
      </c>
      <c r="B849" s="31" t="s">
        <v>342</v>
      </c>
      <c r="C849" s="31" t="s">
        <v>384</v>
      </c>
      <c r="D849" s="31" t="s">
        <v>131</v>
      </c>
      <c r="E849" s="31" t="s">
        <v>2441</v>
      </c>
      <c r="F849" s="31" t="s">
        <v>1623</v>
      </c>
      <c r="G849" s="31" t="s">
        <v>466</v>
      </c>
      <c r="H849" s="31" t="s">
        <v>39</v>
      </c>
      <c r="I849" s="31" t="n">
        <f aca="false">VLOOKUP(H849,Paramètres!$A$15:$B$19,2,FALSE())</f>
        <v>0.5</v>
      </c>
      <c r="J849" s="31" t="n">
        <v>1</v>
      </c>
      <c r="K849" s="50" t="str">
        <f aca="false">C849&amp;"|"&amp;J849</f>
        <v>MOB-N|1</v>
      </c>
      <c r="L849" s="31" t="s">
        <v>2428</v>
      </c>
      <c r="M849" s="31" t="n">
        <v>1</v>
      </c>
      <c r="N849" s="51" t="s">
        <v>462</v>
      </c>
      <c r="O849" s="35" t="s">
        <v>78</v>
      </c>
      <c r="P849" s="52"/>
      <c r="Q849" s="52"/>
      <c r="R849" s="33" t="n">
        <f aca="false">INDEX(Épopées!$L$6:$L$59,MATCH(K849,Épopées!$A$6:$A$59,0))</f>
        <v>46574</v>
      </c>
      <c r="S849" s="33" t="n">
        <f aca="false">INDEX(Épopées!$M$6:$M$59,MATCH(K849,Épopées!$A$6:$A$59,0))</f>
        <v>46597</v>
      </c>
      <c r="T849" s="53" t="s">
        <v>463</v>
      </c>
    </row>
    <row r="850" customFormat="false" ht="15" hidden="false" customHeight="false" outlineLevel="0" collapsed="false">
      <c r="A850" s="31" t="s">
        <v>2442</v>
      </c>
      <c r="B850" s="31" t="s">
        <v>342</v>
      </c>
      <c r="C850" s="31" t="s">
        <v>384</v>
      </c>
      <c r="D850" s="31" t="s">
        <v>131</v>
      </c>
      <c r="E850" s="31" t="s">
        <v>2443</v>
      </c>
      <c r="F850" s="31" t="s">
        <v>1623</v>
      </c>
      <c r="G850" s="31" t="s">
        <v>461</v>
      </c>
      <c r="H850" s="31" t="s">
        <v>41</v>
      </c>
      <c r="I850" s="31" t="n">
        <f aca="false">VLOOKUP(H850,Paramètres!$A$15:$B$19,2,FALSE())</f>
        <v>1</v>
      </c>
      <c r="J850" s="31" t="n">
        <v>1</v>
      </c>
      <c r="K850" s="50" t="str">
        <f aca="false">C850&amp;"|"&amp;J850</f>
        <v>MOB-N|1</v>
      </c>
      <c r="L850" s="31" t="s">
        <v>2444</v>
      </c>
      <c r="M850" s="31" t="n">
        <v>1</v>
      </c>
      <c r="N850" s="51" t="s">
        <v>462</v>
      </c>
      <c r="O850" s="35" t="s">
        <v>78</v>
      </c>
      <c r="P850" s="52"/>
      <c r="Q850" s="52"/>
      <c r="R850" s="33" t="n">
        <f aca="false">INDEX(Épopées!$L$6:$L$59,MATCH(K850,Épopées!$A$6:$A$59,0))</f>
        <v>46574</v>
      </c>
      <c r="S850" s="33" t="n">
        <f aca="false">INDEX(Épopées!$M$6:$M$59,MATCH(K850,Épopées!$A$6:$A$59,0))</f>
        <v>46597</v>
      </c>
      <c r="T850" s="53" t="s">
        <v>463</v>
      </c>
    </row>
    <row r="851" customFormat="false" ht="15" hidden="false" customHeight="false" outlineLevel="0" collapsed="false">
      <c r="A851" s="31" t="s">
        <v>2445</v>
      </c>
      <c r="B851" s="31" t="s">
        <v>342</v>
      </c>
      <c r="C851" s="31" t="s">
        <v>384</v>
      </c>
      <c r="D851" s="31" t="s">
        <v>131</v>
      </c>
      <c r="E851" s="31" t="s">
        <v>2446</v>
      </c>
      <c r="F851" s="31" t="s">
        <v>1623</v>
      </c>
      <c r="G851" s="31" t="s">
        <v>461</v>
      </c>
      <c r="H851" s="31" t="s">
        <v>41</v>
      </c>
      <c r="I851" s="31" t="n">
        <f aca="false">VLOOKUP(H851,Paramètres!$A$15:$B$19,2,FALSE())</f>
        <v>1</v>
      </c>
      <c r="J851" s="31" t="n">
        <v>1</v>
      </c>
      <c r="K851" s="50" t="str">
        <f aca="false">C851&amp;"|"&amp;J851</f>
        <v>MOB-N|1</v>
      </c>
      <c r="L851" s="31" t="s">
        <v>2447</v>
      </c>
      <c r="M851" s="31" t="n">
        <v>1</v>
      </c>
      <c r="N851" s="51" t="s">
        <v>462</v>
      </c>
      <c r="O851" s="35" t="s">
        <v>78</v>
      </c>
      <c r="P851" s="52"/>
      <c r="Q851" s="52"/>
      <c r="R851" s="33" t="n">
        <f aca="false">INDEX(Épopées!$L$6:$L$59,MATCH(K851,Épopées!$A$6:$A$59,0))</f>
        <v>46574</v>
      </c>
      <c r="S851" s="33" t="n">
        <f aca="false">INDEX(Épopées!$M$6:$M$59,MATCH(K851,Épopées!$A$6:$A$59,0))</f>
        <v>46597</v>
      </c>
      <c r="T851" s="53" t="s">
        <v>463</v>
      </c>
    </row>
    <row r="852" customFormat="false" ht="15" hidden="false" customHeight="false" outlineLevel="0" collapsed="false">
      <c r="A852" s="31" t="s">
        <v>2448</v>
      </c>
      <c r="B852" s="31" t="s">
        <v>342</v>
      </c>
      <c r="C852" s="31" t="s">
        <v>384</v>
      </c>
      <c r="D852" s="31" t="s">
        <v>131</v>
      </c>
      <c r="E852" s="31" t="s">
        <v>2449</v>
      </c>
      <c r="F852" s="31" t="s">
        <v>1623</v>
      </c>
      <c r="G852" s="31" t="s">
        <v>461</v>
      </c>
      <c r="H852" s="31" t="s">
        <v>41</v>
      </c>
      <c r="I852" s="31" t="n">
        <f aca="false">VLOOKUP(H852,Paramètres!$A$15:$B$19,2,FALSE())</f>
        <v>1</v>
      </c>
      <c r="J852" s="31" t="n">
        <v>1</v>
      </c>
      <c r="K852" s="50" t="str">
        <f aca="false">C852&amp;"|"&amp;J852</f>
        <v>MOB-N|1</v>
      </c>
      <c r="L852" s="31" t="s">
        <v>2450</v>
      </c>
      <c r="M852" s="31" t="n">
        <v>1</v>
      </c>
      <c r="N852" s="51" t="s">
        <v>462</v>
      </c>
      <c r="O852" s="35" t="s">
        <v>78</v>
      </c>
      <c r="P852" s="52"/>
      <c r="Q852" s="52"/>
      <c r="R852" s="33" t="n">
        <f aca="false">INDEX(Épopées!$L$6:$L$59,MATCH(K852,Épopées!$A$6:$A$59,0))</f>
        <v>46574</v>
      </c>
      <c r="S852" s="33" t="n">
        <f aca="false">INDEX(Épopées!$M$6:$M$59,MATCH(K852,Épopées!$A$6:$A$59,0))</f>
        <v>46597</v>
      </c>
      <c r="T852" s="53" t="s">
        <v>463</v>
      </c>
    </row>
    <row r="853" customFormat="false" ht="15" hidden="false" customHeight="false" outlineLevel="0" collapsed="false">
      <c r="A853" s="31" t="s">
        <v>2451</v>
      </c>
      <c r="B853" s="31" t="s">
        <v>342</v>
      </c>
      <c r="C853" s="31" t="s">
        <v>384</v>
      </c>
      <c r="D853" s="31" t="s">
        <v>131</v>
      </c>
      <c r="E853" s="31" t="s">
        <v>2452</v>
      </c>
      <c r="F853" s="31" t="s">
        <v>1623</v>
      </c>
      <c r="G853" s="31" t="s">
        <v>461</v>
      </c>
      <c r="H853" s="31" t="s">
        <v>43</v>
      </c>
      <c r="I853" s="31" t="n">
        <f aca="false">VLOOKUP(H853,Paramètres!$A$15:$B$19,2,FALSE())</f>
        <v>2</v>
      </c>
      <c r="J853" s="31" t="n">
        <v>1</v>
      </c>
      <c r="K853" s="50" t="str">
        <f aca="false">C853&amp;"|"&amp;J853</f>
        <v>MOB-N|1</v>
      </c>
      <c r="L853" s="31" t="s">
        <v>2453</v>
      </c>
      <c r="M853" s="31" t="n">
        <v>1</v>
      </c>
      <c r="N853" s="51" t="s">
        <v>462</v>
      </c>
      <c r="O853" s="35" t="s">
        <v>78</v>
      </c>
      <c r="P853" s="52"/>
      <c r="Q853" s="52"/>
      <c r="R853" s="33" t="n">
        <f aca="false">INDEX(Épopées!$L$6:$L$59,MATCH(K853,Épopées!$A$6:$A$59,0))</f>
        <v>46574</v>
      </c>
      <c r="S853" s="33" t="n">
        <f aca="false">INDEX(Épopées!$M$6:$M$59,MATCH(K853,Épopées!$A$6:$A$59,0))</f>
        <v>46597</v>
      </c>
      <c r="T853" s="53" t="s">
        <v>463</v>
      </c>
    </row>
    <row r="854" customFormat="false" ht="15" hidden="false" customHeight="false" outlineLevel="0" collapsed="false">
      <c r="A854" s="31" t="s">
        <v>2454</v>
      </c>
      <c r="B854" s="31" t="s">
        <v>342</v>
      </c>
      <c r="C854" s="31" t="s">
        <v>384</v>
      </c>
      <c r="D854" s="31" t="s">
        <v>131</v>
      </c>
      <c r="E854" s="31" t="s">
        <v>2455</v>
      </c>
      <c r="F854" s="31" t="s">
        <v>491</v>
      </c>
      <c r="G854" s="31" t="s">
        <v>466</v>
      </c>
      <c r="H854" s="31" t="s">
        <v>39</v>
      </c>
      <c r="I854" s="31" t="n">
        <f aca="false">VLOOKUP(H854,Paramètres!$A$15:$B$19,2,FALSE())</f>
        <v>0.5</v>
      </c>
      <c r="J854" s="31" t="n">
        <v>1</v>
      </c>
      <c r="K854" s="50" t="str">
        <f aca="false">C854&amp;"|"&amp;J854</f>
        <v>MOB-N|1</v>
      </c>
      <c r="L854" s="31" t="s">
        <v>2451</v>
      </c>
      <c r="M854" s="31" t="n">
        <v>1</v>
      </c>
      <c r="N854" s="51" t="s">
        <v>462</v>
      </c>
      <c r="O854" s="35" t="s">
        <v>78</v>
      </c>
      <c r="P854" s="52"/>
      <c r="Q854" s="52"/>
      <c r="R854" s="33" t="n">
        <f aca="false">INDEX(Épopées!$L$6:$L$59,MATCH(K854,Épopées!$A$6:$A$59,0))</f>
        <v>46574</v>
      </c>
      <c r="S854" s="33" t="n">
        <f aca="false">INDEX(Épopées!$M$6:$M$59,MATCH(K854,Épopées!$A$6:$A$59,0))</f>
        <v>46597</v>
      </c>
      <c r="T854" s="53" t="s">
        <v>463</v>
      </c>
    </row>
    <row r="855" customFormat="false" ht="15" hidden="false" customHeight="false" outlineLevel="0" collapsed="false">
      <c r="A855" s="31" t="s">
        <v>2456</v>
      </c>
      <c r="B855" s="31" t="s">
        <v>342</v>
      </c>
      <c r="C855" s="31" t="s">
        <v>384</v>
      </c>
      <c r="D855" s="31" t="s">
        <v>131</v>
      </c>
      <c r="E855" s="31" t="s">
        <v>2457</v>
      </c>
      <c r="F855" s="31" t="s">
        <v>491</v>
      </c>
      <c r="G855" s="31" t="s">
        <v>461</v>
      </c>
      <c r="H855" s="31" t="s">
        <v>41</v>
      </c>
      <c r="I855" s="31" t="n">
        <f aca="false">VLOOKUP(H855,Paramètres!$A$15:$B$19,2,FALSE())</f>
        <v>1</v>
      </c>
      <c r="J855" s="31" t="n">
        <v>1</v>
      </c>
      <c r="K855" s="50" t="str">
        <f aca="false">C855&amp;"|"&amp;J855</f>
        <v>MOB-N|1</v>
      </c>
      <c r="L855" s="31" t="s">
        <v>2458</v>
      </c>
      <c r="M855" s="31" t="n">
        <v>3</v>
      </c>
      <c r="N855" s="51" t="s">
        <v>462</v>
      </c>
      <c r="O855" s="35" t="s">
        <v>78</v>
      </c>
      <c r="P855" s="52"/>
      <c r="Q855" s="52"/>
      <c r="R855" s="33" t="n">
        <f aca="false">INDEX(Épopées!$L$6:$L$59,MATCH(K855,Épopées!$A$6:$A$59,0))</f>
        <v>46574</v>
      </c>
      <c r="S855" s="33" t="n">
        <f aca="false">INDEX(Épopées!$M$6:$M$59,MATCH(K855,Épopées!$A$6:$A$59,0))</f>
        <v>46597</v>
      </c>
      <c r="T855" s="53" t="s">
        <v>463</v>
      </c>
    </row>
    <row r="856" customFormat="false" ht="15" hidden="false" customHeight="false" outlineLevel="0" collapsed="false">
      <c r="A856" s="31" t="s">
        <v>2459</v>
      </c>
      <c r="B856" s="31" t="s">
        <v>342</v>
      </c>
      <c r="C856" s="31" t="s">
        <v>384</v>
      </c>
      <c r="D856" s="31" t="s">
        <v>131</v>
      </c>
      <c r="E856" s="31" t="s">
        <v>2460</v>
      </c>
      <c r="F856" s="31" t="s">
        <v>469</v>
      </c>
      <c r="G856" s="31" t="s">
        <v>461</v>
      </c>
      <c r="H856" s="31" t="s">
        <v>41</v>
      </c>
      <c r="I856" s="31" t="n">
        <f aca="false">VLOOKUP(H856,Paramètres!$A$15:$B$19,2,FALSE())</f>
        <v>1</v>
      </c>
      <c r="J856" s="31" t="n">
        <v>1</v>
      </c>
      <c r="K856" s="50" t="str">
        <f aca="false">C856&amp;"|"&amp;J856</f>
        <v>MOB-N|1</v>
      </c>
      <c r="L856" s="31" t="s">
        <v>2437</v>
      </c>
      <c r="M856" s="31" t="n">
        <v>3</v>
      </c>
      <c r="N856" s="51" t="s">
        <v>462</v>
      </c>
      <c r="O856" s="35" t="s">
        <v>78</v>
      </c>
      <c r="P856" s="52"/>
      <c r="Q856" s="52"/>
      <c r="R856" s="33" t="n">
        <f aca="false">INDEX(Épopées!$L$6:$L$59,MATCH(K856,Épopées!$A$6:$A$59,0))</f>
        <v>46574</v>
      </c>
      <c r="S856" s="33" t="n">
        <f aca="false">INDEX(Épopées!$M$6:$M$59,MATCH(K856,Épopées!$A$6:$A$59,0))</f>
        <v>46597</v>
      </c>
      <c r="T856" s="53" t="s">
        <v>463</v>
      </c>
    </row>
    <row r="857" customFormat="false" ht="15" hidden="false" customHeight="false" outlineLevel="0" collapsed="false">
      <c r="A857" s="31" t="s">
        <v>2461</v>
      </c>
      <c r="B857" s="31" t="s">
        <v>342</v>
      </c>
      <c r="C857" s="31" t="s">
        <v>384</v>
      </c>
      <c r="D857" s="31" t="s">
        <v>131</v>
      </c>
      <c r="E857" s="31" t="s">
        <v>2462</v>
      </c>
      <c r="F857" s="31" t="s">
        <v>472</v>
      </c>
      <c r="G857" s="31" t="s">
        <v>466</v>
      </c>
      <c r="H857" s="31" t="s">
        <v>41</v>
      </c>
      <c r="I857" s="31" t="n">
        <f aca="false">VLOOKUP(H857,Paramètres!$A$15:$B$19,2,FALSE())</f>
        <v>1</v>
      </c>
      <c r="J857" s="31" t="n">
        <v>1</v>
      </c>
      <c r="K857" s="50" t="str">
        <f aca="false">C857&amp;"|"&amp;J857</f>
        <v>MOB-N|1</v>
      </c>
      <c r="L857" s="31" t="s">
        <v>2463</v>
      </c>
      <c r="M857" s="31" t="n">
        <v>6</v>
      </c>
      <c r="N857" s="51" t="s">
        <v>462</v>
      </c>
      <c r="O857" s="35" t="s">
        <v>78</v>
      </c>
      <c r="P857" s="52"/>
      <c r="Q857" s="52"/>
      <c r="R857" s="33" t="n">
        <f aca="false">INDEX(Épopées!$L$6:$L$59,MATCH(K857,Épopées!$A$6:$A$59,0))</f>
        <v>46574</v>
      </c>
      <c r="S857" s="33" t="n">
        <f aca="false">INDEX(Épopées!$M$6:$M$59,MATCH(K857,Épopées!$A$6:$A$59,0))</f>
        <v>46597</v>
      </c>
      <c r="T857" s="53" t="s">
        <v>463</v>
      </c>
    </row>
    <row r="858" customFormat="false" ht="15" hidden="false" customHeight="false" outlineLevel="0" collapsed="false">
      <c r="A858" s="31" t="s">
        <v>2464</v>
      </c>
      <c r="B858" s="31" t="s">
        <v>342</v>
      </c>
      <c r="C858" s="31" t="s">
        <v>384</v>
      </c>
      <c r="D858" s="31" t="s">
        <v>131</v>
      </c>
      <c r="E858" s="31" t="s">
        <v>2465</v>
      </c>
      <c r="F858" s="31" t="s">
        <v>491</v>
      </c>
      <c r="G858" s="31" t="s">
        <v>466</v>
      </c>
      <c r="H858" s="31" t="s">
        <v>39</v>
      </c>
      <c r="I858" s="31" t="n">
        <f aca="false">VLOOKUP(H858,Paramètres!$A$15:$B$19,2,FALSE())</f>
        <v>0.5</v>
      </c>
      <c r="J858" s="31" t="n">
        <v>1</v>
      </c>
      <c r="K858" s="50" t="str">
        <f aca="false">C858&amp;"|"&amp;J858</f>
        <v>MOB-N|1</v>
      </c>
      <c r="L858" s="31" t="s">
        <v>2411</v>
      </c>
      <c r="M858" s="31" t="n">
        <v>2</v>
      </c>
      <c r="N858" s="51" t="s">
        <v>462</v>
      </c>
      <c r="O858" s="35" t="s">
        <v>78</v>
      </c>
      <c r="P858" s="52"/>
      <c r="Q858" s="52"/>
      <c r="R858" s="33" t="n">
        <f aca="false">INDEX(Épopées!$L$6:$L$59,MATCH(K858,Épopées!$A$6:$A$59,0))</f>
        <v>46574</v>
      </c>
      <c r="S858" s="33" t="n">
        <f aca="false">INDEX(Épopées!$M$6:$M$59,MATCH(K858,Épopées!$A$6:$A$59,0))</f>
        <v>46597</v>
      </c>
      <c r="T858" s="53" t="s">
        <v>463</v>
      </c>
    </row>
    <row r="859" customFormat="false" ht="15" hidden="false" customHeight="false" outlineLevel="0" collapsed="false">
      <c r="A859" s="31" t="s">
        <v>2466</v>
      </c>
      <c r="B859" s="31" t="s">
        <v>342</v>
      </c>
      <c r="C859" s="31" t="s">
        <v>384</v>
      </c>
      <c r="D859" s="31" t="s">
        <v>131</v>
      </c>
      <c r="E859" s="31" t="s">
        <v>2467</v>
      </c>
      <c r="F859" s="31" t="s">
        <v>588</v>
      </c>
      <c r="G859" s="31" t="s">
        <v>466</v>
      </c>
      <c r="H859" s="31" t="s">
        <v>39</v>
      </c>
      <c r="I859" s="31" t="n">
        <f aca="false">VLOOKUP(H859,Paramètres!$A$15:$B$19,2,FALSE())</f>
        <v>0.5</v>
      </c>
      <c r="J859" s="31" t="n">
        <v>1</v>
      </c>
      <c r="K859" s="50" t="str">
        <f aca="false">C859&amp;"|"&amp;J859</f>
        <v>MOB-N|1</v>
      </c>
      <c r="L859" s="31" t="s">
        <v>2416</v>
      </c>
      <c r="M859" s="31" t="n">
        <v>4</v>
      </c>
      <c r="N859" s="51" t="s">
        <v>462</v>
      </c>
      <c r="O859" s="35" t="s">
        <v>78</v>
      </c>
      <c r="P859" s="52"/>
      <c r="Q859" s="52"/>
      <c r="R859" s="33" t="n">
        <f aca="false">INDEX(Épopées!$L$6:$L$59,MATCH(K859,Épopées!$A$6:$A$59,0))</f>
        <v>46574</v>
      </c>
      <c r="S859" s="33" t="n">
        <f aca="false">INDEX(Épopées!$M$6:$M$59,MATCH(K859,Épopées!$A$6:$A$59,0))</f>
        <v>46597</v>
      </c>
      <c r="T859" s="53" t="s">
        <v>463</v>
      </c>
    </row>
    <row r="860" customFormat="false" ht="15" hidden="false" customHeight="false" outlineLevel="0" collapsed="false">
      <c r="A860" s="31" t="s">
        <v>2468</v>
      </c>
      <c r="B860" s="31" t="s">
        <v>342</v>
      </c>
      <c r="C860" s="31" t="s">
        <v>384</v>
      </c>
      <c r="D860" s="31" t="s">
        <v>131</v>
      </c>
      <c r="E860" s="31" t="s">
        <v>2469</v>
      </c>
      <c r="F860" s="31" t="s">
        <v>1863</v>
      </c>
      <c r="G860" s="31" t="s">
        <v>466</v>
      </c>
      <c r="H860" s="31" t="s">
        <v>41</v>
      </c>
      <c r="I860" s="31" t="n">
        <f aca="false">VLOOKUP(H860,Paramètres!$A$15:$B$19,2,FALSE())</f>
        <v>1</v>
      </c>
      <c r="J860" s="31" t="n">
        <v>1</v>
      </c>
      <c r="K860" s="50" t="str">
        <f aca="false">C860&amp;"|"&amp;J860</f>
        <v>MOB-N|1</v>
      </c>
      <c r="L860" s="31" t="s">
        <v>2470</v>
      </c>
      <c r="M860" s="31" t="n">
        <v>15</v>
      </c>
      <c r="N860" s="51" t="s">
        <v>462</v>
      </c>
      <c r="O860" s="35" t="s">
        <v>78</v>
      </c>
      <c r="P860" s="52"/>
      <c r="Q860" s="52"/>
      <c r="R860" s="33" t="n">
        <f aca="false">INDEX(Épopées!$L$6:$L$59,MATCH(K860,Épopées!$A$6:$A$59,0))</f>
        <v>46574</v>
      </c>
      <c r="S860" s="33" t="n">
        <f aca="false">INDEX(Épopées!$M$6:$M$59,MATCH(K860,Épopées!$A$6:$A$59,0))</f>
        <v>46597</v>
      </c>
      <c r="T860" s="53" t="s">
        <v>463</v>
      </c>
    </row>
    <row r="861" customFormat="false" ht="15" hidden="false" customHeight="false" outlineLevel="0" collapsed="false">
      <c r="A861" s="31" t="s">
        <v>2471</v>
      </c>
      <c r="B861" s="31" t="s">
        <v>342</v>
      </c>
      <c r="C861" s="31" t="s">
        <v>384</v>
      </c>
      <c r="D861" s="31" t="s">
        <v>131</v>
      </c>
      <c r="E861" s="31" t="s">
        <v>2472</v>
      </c>
      <c r="F861" s="31" t="s">
        <v>548</v>
      </c>
      <c r="G861" s="31" t="s">
        <v>612</v>
      </c>
      <c r="H861" s="31" t="s">
        <v>39</v>
      </c>
      <c r="I861" s="31" t="n">
        <f aca="false">VLOOKUP(H861,Paramètres!$A$15:$B$19,2,FALSE())</f>
        <v>0.5</v>
      </c>
      <c r="J861" s="31" t="n">
        <v>1</v>
      </c>
      <c r="K861" s="50" t="str">
        <f aca="false">C861&amp;"|"&amp;J861</f>
        <v>MOB-N|1</v>
      </c>
      <c r="L861" s="31" t="s">
        <v>2473</v>
      </c>
      <c r="M861" s="31" t="n">
        <v>3</v>
      </c>
      <c r="N861" s="51" t="s">
        <v>462</v>
      </c>
      <c r="O861" s="35" t="s">
        <v>78</v>
      </c>
      <c r="P861" s="52"/>
      <c r="Q861" s="52"/>
      <c r="R861" s="33" t="n">
        <f aca="false">INDEX(Épopées!$L$6:$L$59,MATCH(K861,Épopées!$A$6:$A$59,0))</f>
        <v>46574</v>
      </c>
      <c r="S861" s="33" t="n">
        <f aca="false">INDEX(Épopées!$M$6:$M$59,MATCH(K861,Épopées!$A$6:$A$59,0))</f>
        <v>46597</v>
      </c>
      <c r="T861" s="53" t="s">
        <v>463</v>
      </c>
    </row>
    <row r="862" customFormat="false" ht="15" hidden="false" customHeight="false" outlineLevel="0" collapsed="false">
      <c r="A862" s="31" t="s">
        <v>2474</v>
      </c>
      <c r="B862" s="31" t="s">
        <v>342</v>
      </c>
      <c r="C862" s="31" t="s">
        <v>384</v>
      </c>
      <c r="D862" s="31" t="s">
        <v>131</v>
      </c>
      <c r="E862" s="31" t="s">
        <v>2475</v>
      </c>
      <c r="F862" s="31" t="s">
        <v>491</v>
      </c>
      <c r="G862" s="31" t="s">
        <v>612</v>
      </c>
      <c r="H862" s="31" t="s">
        <v>39</v>
      </c>
      <c r="I862" s="31" t="n">
        <f aca="false">VLOOKUP(H862,Paramètres!$A$15:$B$19,2,FALSE())</f>
        <v>0.5</v>
      </c>
      <c r="J862" s="31" t="n">
        <v>1</v>
      </c>
      <c r="K862" s="50" t="str">
        <f aca="false">C862&amp;"|"&amp;J862</f>
        <v>MOB-N|1</v>
      </c>
      <c r="L862" s="31" t="s">
        <v>2411</v>
      </c>
      <c r="M862" s="31" t="n">
        <v>4</v>
      </c>
      <c r="N862" s="51" t="s">
        <v>462</v>
      </c>
      <c r="O862" s="35" t="s">
        <v>78</v>
      </c>
      <c r="P862" s="52"/>
      <c r="Q862" s="52"/>
      <c r="R862" s="33" t="n">
        <f aca="false">INDEX(Épopées!$L$6:$L$59,MATCH(K862,Épopées!$A$6:$A$59,0))</f>
        <v>46574</v>
      </c>
      <c r="S862" s="33" t="n">
        <f aca="false">INDEX(Épopées!$M$6:$M$59,MATCH(K862,Épopées!$A$6:$A$59,0))</f>
        <v>46597</v>
      </c>
      <c r="T862" s="53" t="s">
        <v>463</v>
      </c>
    </row>
    <row r="863" customFormat="false" ht="15" hidden="false" customHeight="false" outlineLevel="0" collapsed="false">
      <c r="A863" s="31" t="s">
        <v>2476</v>
      </c>
      <c r="B863" s="31" t="s">
        <v>342</v>
      </c>
      <c r="C863" s="31" t="s">
        <v>384</v>
      </c>
      <c r="D863" s="31" t="s">
        <v>131</v>
      </c>
      <c r="E863" s="31" t="s">
        <v>2477</v>
      </c>
      <c r="F863" s="31" t="s">
        <v>472</v>
      </c>
      <c r="G863" s="31" t="s">
        <v>466</v>
      </c>
      <c r="H863" s="31" t="s">
        <v>41</v>
      </c>
      <c r="I863" s="31" t="n">
        <f aca="false">VLOOKUP(H863,Paramètres!$A$15:$B$19,2,FALSE())</f>
        <v>1</v>
      </c>
      <c r="J863" s="31" t="n">
        <v>1</v>
      </c>
      <c r="K863" s="50" t="str">
        <f aca="false">C863&amp;"|"&amp;J863</f>
        <v>MOB-N|1</v>
      </c>
      <c r="L863" s="31" t="s">
        <v>2478</v>
      </c>
      <c r="M863" s="31" t="n">
        <v>15</v>
      </c>
      <c r="N863" s="51" t="s">
        <v>462</v>
      </c>
      <c r="O863" s="35" t="s">
        <v>78</v>
      </c>
      <c r="P863" s="52"/>
      <c r="Q863" s="52"/>
      <c r="R863" s="33" t="n">
        <f aca="false">INDEX(Épopées!$L$6:$L$59,MATCH(K863,Épopées!$A$6:$A$59,0))</f>
        <v>46574</v>
      </c>
      <c r="S863" s="33" t="n">
        <f aca="false">INDEX(Épopées!$M$6:$M$59,MATCH(K863,Épopées!$A$6:$A$59,0))</f>
        <v>46597</v>
      </c>
      <c r="T863" s="53" t="s">
        <v>463</v>
      </c>
    </row>
    <row r="864" customFormat="false" ht="15" hidden="false" customHeight="false" outlineLevel="0" collapsed="false">
      <c r="A864" s="31" t="s">
        <v>2479</v>
      </c>
      <c r="B864" s="31" t="s">
        <v>342</v>
      </c>
      <c r="C864" s="31" t="s">
        <v>386</v>
      </c>
      <c r="D864" s="31" t="s">
        <v>137</v>
      </c>
      <c r="E864" s="31" t="s">
        <v>2480</v>
      </c>
      <c r="F864" s="31" t="s">
        <v>481</v>
      </c>
      <c r="G864" s="31" t="s">
        <v>461</v>
      </c>
      <c r="H864" s="31" t="s">
        <v>39</v>
      </c>
      <c r="I864" s="31" t="n">
        <f aca="false">VLOOKUP(H864,Paramètres!$A$15:$B$19,2,FALSE())</f>
        <v>0.5</v>
      </c>
      <c r="J864" s="31" t="n">
        <v>1</v>
      </c>
      <c r="K864" s="50" t="str">
        <f aca="false">C864&amp;"|"&amp;J864</f>
        <v>MOB-O|1</v>
      </c>
      <c r="L864" s="31"/>
      <c r="M864" s="31" t="n">
        <v>2</v>
      </c>
      <c r="N864" s="51" t="s">
        <v>462</v>
      </c>
      <c r="O864" s="35" t="s">
        <v>78</v>
      </c>
      <c r="P864" s="52"/>
      <c r="Q864" s="52"/>
      <c r="R864" s="33" t="n">
        <f aca="false">INDEX(Épopées!$L$6:$L$59,MATCH(K864,Épopées!$A$6:$A$59,0))</f>
        <v>46598</v>
      </c>
      <c r="S864" s="33" t="n">
        <f aca="false">INDEX(Épopées!$M$6:$M$59,MATCH(K864,Épopées!$A$6:$A$59,0))</f>
        <v>46615</v>
      </c>
      <c r="T864" s="53" t="s">
        <v>463</v>
      </c>
    </row>
    <row r="865" customFormat="false" ht="15" hidden="false" customHeight="false" outlineLevel="0" collapsed="false">
      <c r="A865" s="31" t="s">
        <v>2481</v>
      </c>
      <c r="B865" s="31" t="s">
        <v>342</v>
      </c>
      <c r="C865" s="31" t="s">
        <v>386</v>
      </c>
      <c r="D865" s="31" t="s">
        <v>137</v>
      </c>
      <c r="E865" s="31" t="s">
        <v>2482</v>
      </c>
      <c r="F865" s="31" t="s">
        <v>486</v>
      </c>
      <c r="G865" s="31" t="s">
        <v>461</v>
      </c>
      <c r="H865" s="31" t="s">
        <v>41</v>
      </c>
      <c r="I865" s="31" t="n">
        <f aca="false">VLOOKUP(H865,Paramètres!$A$15:$B$19,2,FALSE())</f>
        <v>1</v>
      </c>
      <c r="J865" s="31" t="n">
        <v>1</v>
      </c>
      <c r="K865" s="50" t="str">
        <f aca="false">C865&amp;"|"&amp;J865</f>
        <v>MOB-O|1</v>
      </c>
      <c r="L865" s="31"/>
      <c r="M865" s="31" t="n">
        <v>5</v>
      </c>
      <c r="N865" s="51" t="s">
        <v>462</v>
      </c>
      <c r="O865" s="35" t="s">
        <v>78</v>
      </c>
      <c r="P865" s="52"/>
      <c r="Q865" s="52"/>
      <c r="R865" s="33" t="n">
        <f aca="false">INDEX(Épopées!$L$6:$L$59,MATCH(K865,Épopées!$A$6:$A$59,0))</f>
        <v>46598</v>
      </c>
      <c r="S865" s="33" t="n">
        <f aca="false">INDEX(Épopées!$M$6:$M$59,MATCH(K865,Épopées!$A$6:$A$59,0))</f>
        <v>46615</v>
      </c>
      <c r="T865" s="53" t="s">
        <v>463</v>
      </c>
    </row>
    <row r="866" customFormat="false" ht="15" hidden="false" customHeight="false" outlineLevel="0" collapsed="false">
      <c r="A866" s="31" t="s">
        <v>2483</v>
      </c>
      <c r="B866" s="31" t="s">
        <v>342</v>
      </c>
      <c r="C866" s="31" t="s">
        <v>386</v>
      </c>
      <c r="D866" s="31" t="s">
        <v>137</v>
      </c>
      <c r="E866" s="31" t="s">
        <v>2484</v>
      </c>
      <c r="F866" s="31" t="s">
        <v>460</v>
      </c>
      <c r="G866" s="31" t="s">
        <v>461</v>
      </c>
      <c r="H866" s="31" t="s">
        <v>41</v>
      </c>
      <c r="I866" s="31" t="n">
        <f aca="false">VLOOKUP(H866,Paramètres!$A$15:$B$19,2,FALSE())</f>
        <v>1</v>
      </c>
      <c r="J866" s="31" t="n">
        <v>1</v>
      </c>
      <c r="K866" s="50" t="str">
        <f aca="false">C866&amp;"|"&amp;J866</f>
        <v>MOB-O|1</v>
      </c>
      <c r="L866" s="31" t="s">
        <v>2481</v>
      </c>
      <c r="M866" s="31" t="n">
        <v>3</v>
      </c>
      <c r="N866" s="51" t="s">
        <v>462</v>
      </c>
      <c r="O866" s="35" t="s">
        <v>78</v>
      </c>
      <c r="P866" s="52"/>
      <c r="Q866" s="52"/>
      <c r="R866" s="33" t="n">
        <f aca="false">INDEX(Épopées!$L$6:$L$59,MATCH(K866,Épopées!$A$6:$A$59,0))</f>
        <v>46598</v>
      </c>
      <c r="S866" s="33" t="n">
        <f aca="false">INDEX(Épopées!$M$6:$M$59,MATCH(K866,Épopées!$A$6:$A$59,0))</f>
        <v>46615</v>
      </c>
      <c r="T866" s="53" t="s">
        <v>463</v>
      </c>
    </row>
    <row r="867" customFormat="false" ht="15" hidden="false" customHeight="false" outlineLevel="0" collapsed="false">
      <c r="A867" s="31" t="s">
        <v>2485</v>
      </c>
      <c r="B867" s="31" t="s">
        <v>342</v>
      </c>
      <c r="C867" s="31" t="s">
        <v>386</v>
      </c>
      <c r="D867" s="31" t="s">
        <v>137</v>
      </c>
      <c r="E867" s="31" t="s">
        <v>2486</v>
      </c>
      <c r="F867" s="31" t="s">
        <v>486</v>
      </c>
      <c r="G867" s="31" t="s">
        <v>466</v>
      </c>
      <c r="H867" s="31" t="s">
        <v>41</v>
      </c>
      <c r="I867" s="31" t="n">
        <f aca="false">VLOOKUP(H867,Paramètres!$A$15:$B$19,2,FALSE())</f>
        <v>1</v>
      </c>
      <c r="J867" s="31" t="n">
        <v>1</v>
      </c>
      <c r="K867" s="50" t="str">
        <f aca="false">C867&amp;"|"&amp;J867</f>
        <v>MOB-O|1</v>
      </c>
      <c r="L867" s="31" t="s">
        <v>2481</v>
      </c>
      <c r="M867" s="31" t="n">
        <v>3</v>
      </c>
      <c r="N867" s="51" t="s">
        <v>462</v>
      </c>
      <c r="O867" s="35" t="s">
        <v>78</v>
      </c>
      <c r="P867" s="52"/>
      <c r="Q867" s="52"/>
      <c r="R867" s="33" t="n">
        <f aca="false">INDEX(Épopées!$L$6:$L$59,MATCH(K867,Épopées!$A$6:$A$59,0))</f>
        <v>46598</v>
      </c>
      <c r="S867" s="33" t="n">
        <f aca="false">INDEX(Épopées!$M$6:$M$59,MATCH(K867,Épopées!$A$6:$A$59,0))</f>
        <v>46615</v>
      </c>
      <c r="T867" s="53" t="s">
        <v>463</v>
      </c>
    </row>
    <row r="868" customFormat="false" ht="15" hidden="false" customHeight="false" outlineLevel="0" collapsed="false">
      <c r="A868" s="31" t="s">
        <v>2487</v>
      </c>
      <c r="B868" s="31" t="s">
        <v>342</v>
      </c>
      <c r="C868" s="31" t="s">
        <v>386</v>
      </c>
      <c r="D868" s="31" t="s">
        <v>137</v>
      </c>
      <c r="E868" s="31" t="s">
        <v>2488</v>
      </c>
      <c r="F868" s="31" t="s">
        <v>491</v>
      </c>
      <c r="G868" s="31" t="s">
        <v>461</v>
      </c>
      <c r="H868" s="31" t="s">
        <v>41</v>
      </c>
      <c r="I868" s="31" t="n">
        <f aca="false">VLOOKUP(H868,Paramètres!$A$15:$B$19,2,FALSE())</f>
        <v>1</v>
      </c>
      <c r="J868" s="31" t="n">
        <v>1</v>
      </c>
      <c r="K868" s="50" t="str">
        <f aca="false">C868&amp;"|"&amp;J868</f>
        <v>MOB-O|1</v>
      </c>
      <c r="L868" s="31" t="s">
        <v>2489</v>
      </c>
      <c r="M868" s="31" t="n">
        <v>2</v>
      </c>
      <c r="N868" s="51" t="s">
        <v>462</v>
      </c>
      <c r="O868" s="35" t="s">
        <v>78</v>
      </c>
      <c r="P868" s="52"/>
      <c r="Q868" s="52"/>
      <c r="R868" s="33" t="n">
        <f aca="false">INDEX(Épopées!$L$6:$L$59,MATCH(K868,Épopées!$A$6:$A$59,0))</f>
        <v>46598</v>
      </c>
      <c r="S868" s="33" t="n">
        <f aca="false">INDEX(Épopées!$M$6:$M$59,MATCH(K868,Épopées!$A$6:$A$59,0))</f>
        <v>46615</v>
      </c>
      <c r="T868" s="53" t="s">
        <v>463</v>
      </c>
    </row>
    <row r="869" customFormat="false" ht="15" hidden="false" customHeight="false" outlineLevel="0" collapsed="false">
      <c r="A869" s="31" t="s">
        <v>2490</v>
      </c>
      <c r="B869" s="31" t="s">
        <v>342</v>
      </c>
      <c r="C869" s="31" t="s">
        <v>386</v>
      </c>
      <c r="D869" s="31" t="s">
        <v>137</v>
      </c>
      <c r="E869" s="31" t="s">
        <v>2491</v>
      </c>
      <c r="F869" s="31" t="s">
        <v>491</v>
      </c>
      <c r="G869" s="31" t="s">
        <v>461</v>
      </c>
      <c r="H869" s="31" t="s">
        <v>41</v>
      </c>
      <c r="I869" s="31" t="n">
        <f aca="false">VLOOKUP(H869,Paramètres!$A$15:$B$19,2,FALSE())</f>
        <v>1</v>
      </c>
      <c r="J869" s="31" t="n">
        <v>1</v>
      </c>
      <c r="K869" s="50" t="str">
        <f aca="false">C869&amp;"|"&amp;J869</f>
        <v>MOB-O|1</v>
      </c>
      <c r="L869" s="31" t="s">
        <v>2487</v>
      </c>
      <c r="M869" s="31" t="n">
        <v>5</v>
      </c>
      <c r="N869" s="51" t="s">
        <v>462</v>
      </c>
      <c r="O869" s="35" t="s">
        <v>78</v>
      </c>
      <c r="P869" s="52"/>
      <c r="Q869" s="52"/>
      <c r="R869" s="33" t="n">
        <f aca="false">INDEX(Épopées!$L$6:$L$59,MATCH(K869,Épopées!$A$6:$A$59,0))</f>
        <v>46598</v>
      </c>
      <c r="S869" s="33" t="n">
        <f aca="false">INDEX(Épopées!$M$6:$M$59,MATCH(K869,Épopées!$A$6:$A$59,0))</f>
        <v>46615</v>
      </c>
      <c r="T869" s="53" t="s">
        <v>463</v>
      </c>
    </row>
    <row r="870" customFormat="false" ht="15" hidden="false" customHeight="false" outlineLevel="0" collapsed="false">
      <c r="A870" s="31" t="s">
        <v>2492</v>
      </c>
      <c r="B870" s="31" t="s">
        <v>342</v>
      </c>
      <c r="C870" s="31" t="s">
        <v>386</v>
      </c>
      <c r="D870" s="31" t="s">
        <v>137</v>
      </c>
      <c r="E870" s="31" t="s">
        <v>2493</v>
      </c>
      <c r="F870" s="31" t="s">
        <v>1623</v>
      </c>
      <c r="G870" s="31" t="s">
        <v>461</v>
      </c>
      <c r="H870" s="31" t="s">
        <v>41</v>
      </c>
      <c r="I870" s="31" t="n">
        <f aca="false">VLOOKUP(H870,Paramètres!$A$15:$B$19,2,FALSE())</f>
        <v>1</v>
      </c>
      <c r="J870" s="31" t="n">
        <v>1</v>
      </c>
      <c r="K870" s="50" t="str">
        <f aca="false">C870&amp;"|"&amp;J870</f>
        <v>MOB-O|1</v>
      </c>
      <c r="L870" s="31" t="s">
        <v>2490</v>
      </c>
      <c r="M870" s="31" t="n">
        <v>1</v>
      </c>
      <c r="N870" s="51" t="s">
        <v>462</v>
      </c>
      <c r="O870" s="35" t="s">
        <v>78</v>
      </c>
      <c r="P870" s="52"/>
      <c r="Q870" s="52"/>
      <c r="R870" s="33" t="n">
        <f aca="false">INDEX(Épopées!$L$6:$L$59,MATCH(K870,Épopées!$A$6:$A$59,0))</f>
        <v>46598</v>
      </c>
      <c r="S870" s="33" t="n">
        <f aca="false">INDEX(Épopées!$M$6:$M$59,MATCH(K870,Épopées!$A$6:$A$59,0))</f>
        <v>46615</v>
      </c>
      <c r="T870" s="53" t="s">
        <v>463</v>
      </c>
    </row>
    <row r="871" customFormat="false" ht="15" hidden="false" customHeight="false" outlineLevel="0" collapsed="false">
      <c r="A871" s="31" t="s">
        <v>2494</v>
      </c>
      <c r="B871" s="31" t="s">
        <v>342</v>
      </c>
      <c r="C871" s="31" t="s">
        <v>386</v>
      </c>
      <c r="D871" s="31" t="s">
        <v>137</v>
      </c>
      <c r="E871" s="31" t="s">
        <v>2495</v>
      </c>
      <c r="F871" s="31" t="s">
        <v>1623</v>
      </c>
      <c r="G871" s="31" t="s">
        <v>461</v>
      </c>
      <c r="H871" s="31" t="s">
        <v>41</v>
      </c>
      <c r="I871" s="31" t="n">
        <f aca="false">VLOOKUP(H871,Paramètres!$A$15:$B$19,2,FALSE())</f>
        <v>1</v>
      </c>
      <c r="J871" s="31" t="n">
        <v>1</v>
      </c>
      <c r="K871" s="50" t="str">
        <f aca="false">C871&amp;"|"&amp;J871</f>
        <v>MOB-O|1</v>
      </c>
      <c r="L871" s="31" t="s">
        <v>2492</v>
      </c>
      <c r="M871" s="31" t="n">
        <v>1</v>
      </c>
      <c r="N871" s="51" t="s">
        <v>462</v>
      </c>
      <c r="O871" s="35" t="s">
        <v>78</v>
      </c>
      <c r="P871" s="52"/>
      <c r="Q871" s="52"/>
      <c r="R871" s="33" t="n">
        <f aca="false">INDEX(Épopées!$L$6:$L$59,MATCH(K871,Épopées!$A$6:$A$59,0))</f>
        <v>46598</v>
      </c>
      <c r="S871" s="33" t="n">
        <f aca="false">INDEX(Épopées!$M$6:$M$59,MATCH(K871,Épopées!$A$6:$A$59,0))</f>
        <v>46615</v>
      </c>
      <c r="T871" s="53" t="s">
        <v>463</v>
      </c>
    </row>
    <row r="872" customFormat="false" ht="15" hidden="false" customHeight="false" outlineLevel="0" collapsed="false">
      <c r="A872" s="31" t="s">
        <v>2496</v>
      </c>
      <c r="B872" s="31" t="s">
        <v>342</v>
      </c>
      <c r="C872" s="31" t="s">
        <v>386</v>
      </c>
      <c r="D872" s="31" t="s">
        <v>137</v>
      </c>
      <c r="E872" s="31" t="s">
        <v>2497</v>
      </c>
      <c r="F872" s="31" t="s">
        <v>1623</v>
      </c>
      <c r="G872" s="31" t="s">
        <v>461</v>
      </c>
      <c r="H872" s="31" t="s">
        <v>41</v>
      </c>
      <c r="I872" s="31" t="n">
        <f aca="false">VLOOKUP(H872,Paramètres!$A$15:$B$19,2,FALSE())</f>
        <v>1</v>
      </c>
      <c r="J872" s="31" t="n">
        <v>1</v>
      </c>
      <c r="K872" s="50" t="str">
        <f aca="false">C872&amp;"|"&amp;J872</f>
        <v>MOB-O|1</v>
      </c>
      <c r="L872" s="31" t="s">
        <v>2492</v>
      </c>
      <c r="M872" s="31" t="n">
        <v>1</v>
      </c>
      <c r="N872" s="51" t="s">
        <v>462</v>
      </c>
      <c r="O872" s="35" t="s">
        <v>78</v>
      </c>
      <c r="P872" s="52"/>
      <c r="Q872" s="52"/>
      <c r="R872" s="33" t="n">
        <f aca="false">INDEX(Épopées!$L$6:$L$59,MATCH(K872,Épopées!$A$6:$A$59,0))</f>
        <v>46598</v>
      </c>
      <c r="S872" s="33" t="n">
        <f aca="false">INDEX(Épopées!$M$6:$M$59,MATCH(K872,Épopées!$A$6:$A$59,0))</f>
        <v>46615</v>
      </c>
      <c r="T872" s="53" t="s">
        <v>463</v>
      </c>
    </row>
    <row r="873" customFormat="false" ht="15" hidden="false" customHeight="false" outlineLevel="0" collapsed="false">
      <c r="A873" s="31" t="s">
        <v>2498</v>
      </c>
      <c r="B873" s="31" t="s">
        <v>342</v>
      </c>
      <c r="C873" s="31" t="s">
        <v>386</v>
      </c>
      <c r="D873" s="31" t="s">
        <v>137</v>
      </c>
      <c r="E873" s="31" t="s">
        <v>2499</v>
      </c>
      <c r="F873" s="31" t="s">
        <v>1623</v>
      </c>
      <c r="G873" s="31" t="s">
        <v>466</v>
      </c>
      <c r="H873" s="31" t="s">
        <v>41</v>
      </c>
      <c r="I873" s="31" t="n">
        <f aca="false">VLOOKUP(H873,Paramètres!$A$15:$B$19,2,FALSE())</f>
        <v>1</v>
      </c>
      <c r="J873" s="31" t="n">
        <v>1</v>
      </c>
      <c r="K873" s="50" t="str">
        <f aca="false">C873&amp;"|"&amp;J873</f>
        <v>MOB-O|1</v>
      </c>
      <c r="L873" s="31" t="s">
        <v>2492</v>
      </c>
      <c r="M873" s="31" t="n">
        <v>1</v>
      </c>
      <c r="N873" s="51" t="s">
        <v>462</v>
      </c>
      <c r="O873" s="35" t="s">
        <v>78</v>
      </c>
      <c r="P873" s="52"/>
      <c r="Q873" s="52"/>
      <c r="R873" s="33" t="n">
        <f aca="false">INDEX(Épopées!$L$6:$L$59,MATCH(K873,Épopées!$A$6:$A$59,0))</f>
        <v>46598</v>
      </c>
      <c r="S873" s="33" t="n">
        <f aca="false">INDEX(Épopées!$M$6:$M$59,MATCH(K873,Épopées!$A$6:$A$59,0))</f>
        <v>46615</v>
      </c>
      <c r="T873" s="53" t="s">
        <v>463</v>
      </c>
    </row>
    <row r="874" customFormat="false" ht="15" hidden="false" customHeight="false" outlineLevel="0" collapsed="false">
      <c r="A874" s="31" t="s">
        <v>2500</v>
      </c>
      <c r="B874" s="31" t="s">
        <v>342</v>
      </c>
      <c r="C874" s="31" t="s">
        <v>386</v>
      </c>
      <c r="D874" s="31" t="s">
        <v>137</v>
      </c>
      <c r="E874" s="31" t="s">
        <v>2501</v>
      </c>
      <c r="F874" s="31" t="s">
        <v>491</v>
      </c>
      <c r="G874" s="31" t="s">
        <v>466</v>
      </c>
      <c r="H874" s="31" t="s">
        <v>39</v>
      </c>
      <c r="I874" s="31" t="n">
        <f aca="false">VLOOKUP(H874,Paramètres!$A$15:$B$19,2,FALSE())</f>
        <v>0.5</v>
      </c>
      <c r="J874" s="31" t="n">
        <v>1</v>
      </c>
      <c r="K874" s="50" t="str">
        <f aca="false">C874&amp;"|"&amp;J874</f>
        <v>MOB-O|1</v>
      </c>
      <c r="L874" s="31" t="s">
        <v>2490</v>
      </c>
      <c r="M874" s="31" t="n">
        <v>3</v>
      </c>
      <c r="N874" s="51" t="s">
        <v>462</v>
      </c>
      <c r="O874" s="35" t="s">
        <v>78</v>
      </c>
      <c r="P874" s="52"/>
      <c r="Q874" s="52"/>
      <c r="R874" s="33" t="n">
        <f aca="false">INDEX(Épopées!$L$6:$L$59,MATCH(K874,Épopées!$A$6:$A$59,0))</f>
        <v>46598</v>
      </c>
      <c r="S874" s="33" t="n">
        <f aca="false">INDEX(Épopées!$M$6:$M$59,MATCH(K874,Épopées!$A$6:$A$59,0))</f>
        <v>46615</v>
      </c>
      <c r="T874" s="53" t="s">
        <v>463</v>
      </c>
    </row>
    <row r="875" customFormat="false" ht="15" hidden="false" customHeight="false" outlineLevel="0" collapsed="false">
      <c r="A875" s="31" t="s">
        <v>2502</v>
      </c>
      <c r="B875" s="31" t="s">
        <v>342</v>
      </c>
      <c r="C875" s="31" t="s">
        <v>386</v>
      </c>
      <c r="D875" s="31" t="s">
        <v>137</v>
      </c>
      <c r="E875" s="31" t="s">
        <v>2503</v>
      </c>
      <c r="F875" s="31" t="s">
        <v>491</v>
      </c>
      <c r="G875" s="31" t="s">
        <v>461</v>
      </c>
      <c r="H875" s="31" t="s">
        <v>41</v>
      </c>
      <c r="I875" s="31" t="n">
        <f aca="false">VLOOKUP(H875,Paramètres!$A$15:$B$19,2,FALSE())</f>
        <v>1</v>
      </c>
      <c r="J875" s="31" t="n">
        <v>1</v>
      </c>
      <c r="K875" s="50" t="str">
        <f aca="false">C875&amp;"|"&amp;J875</f>
        <v>MOB-O|1</v>
      </c>
      <c r="L875" s="31" t="s">
        <v>2483</v>
      </c>
      <c r="M875" s="31" t="n">
        <v>2</v>
      </c>
      <c r="N875" s="51" t="s">
        <v>462</v>
      </c>
      <c r="O875" s="35" t="s">
        <v>78</v>
      </c>
      <c r="P875" s="52"/>
      <c r="Q875" s="52"/>
      <c r="R875" s="33" t="n">
        <f aca="false">INDEX(Épopées!$L$6:$L$59,MATCH(K875,Épopées!$A$6:$A$59,0))</f>
        <v>46598</v>
      </c>
      <c r="S875" s="33" t="n">
        <f aca="false">INDEX(Épopées!$M$6:$M$59,MATCH(K875,Épopées!$A$6:$A$59,0))</f>
        <v>46615</v>
      </c>
      <c r="T875" s="53" t="s">
        <v>463</v>
      </c>
    </row>
    <row r="876" customFormat="false" ht="15" hidden="false" customHeight="false" outlineLevel="0" collapsed="false">
      <c r="A876" s="31" t="s">
        <v>2504</v>
      </c>
      <c r="B876" s="31" t="s">
        <v>342</v>
      </c>
      <c r="C876" s="31" t="s">
        <v>386</v>
      </c>
      <c r="D876" s="31" t="s">
        <v>137</v>
      </c>
      <c r="E876" s="31" t="s">
        <v>2505</v>
      </c>
      <c r="F876" s="31" t="s">
        <v>491</v>
      </c>
      <c r="G876" s="31" t="s">
        <v>461</v>
      </c>
      <c r="H876" s="31" t="s">
        <v>41</v>
      </c>
      <c r="I876" s="31" t="n">
        <f aca="false">VLOOKUP(H876,Paramètres!$A$15:$B$19,2,FALSE())</f>
        <v>1</v>
      </c>
      <c r="J876" s="31" t="n">
        <v>1</v>
      </c>
      <c r="K876" s="50" t="str">
        <f aca="false">C876&amp;"|"&amp;J876</f>
        <v>MOB-O|1</v>
      </c>
      <c r="L876" s="31" t="s">
        <v>2490</v>
      </c>
      <c r="M876" s="31" t="n">
        <v>2</v>
      </c>
      <c r="N876" s="51" t="s">
        <v>462</v>
      </c>
      <c r="O876" s="35" t="s">
        <v>78</v>
      </c>
      <c r="P876" s="52"/>
      <c r="Q876" s="52"/>
      <c r="R876" s="33" t="n">
        <f aca="false">INDEX(Épopées!$L$6:$L$59,MATCH(K876,Épopées!$A$6:$A$59,0))</f>
        <v>46598</v>
      </c>
      <c r="S876" s="33" t="n">
        <f aca="false">INDEX(Épopées!$M$6:$M$59,MATCH(K876,Épopées!$A$6:$A$59,0))</f>
        <v>46615</v>
      </c>
      <c r="T876" s="53" t="s">
        <v>463</v>
      </c>
    </row>
    <row r="877" customFormat="false" ht="15" hidden="false" customHeight="false" outlineLevel="0" collapsed="false">
      <c r="A877" s="31" t="s">
        <v>2506</v>
      </c>
      <c r="B877" s="31" t="s">
        <v>342</v>
      </c>
      <c r="C877" s="31" t="s">
        <v>386</v>
      </c>
      <c r="D877" s="31" t="s">
        <v>137</v>
      </c>
      <c r="E877" s="31" t="s">
        <v>2507</v>
      </c>
      <c r="F877" s="31" t="s">
        <v>1623</v>
      </c>
      <c r="G877" s="31" t="s">
        <v>461</v>
      </c>
      <c r="H877" s="31" t="s">
        <v>39</v>
      </c>
      <c r="I877" s="31" t="n">
        <f aca="false">VLOOKUP(H877,Paramètres!$A$15:$B$19,2,FALSE())</f>
        <v>0.5</v>
      </c>
      <c r="J877" s="31" t="n">
        <v>1</v>
      </c>
      <c r="K877" s="50" t="str">
        <f aca="false">C877&amp;"|"&amp;J877</f>
        <v>MOB-O|1</v>
      </c>
      <c r="L877" s="31" t="s">
        <v>2508</v>
      </c>
      <c r="M877" s="31" t="n">
        <v>1</v>
      </c>
      <c r="N877" s="51" t="s">
        <v>462</v>
      </c>
      <c r="O877" s="35" t="s">
        <v>78</v>
      </c>
      <c r="P877" s="52"/>
      <c r="Q877" s="52"/>
      <c r="R877" s="33" t="n">
        <f aca="false">INDEX(Épopées!$L$6:$L$59,MATCH(K877,Épopées!$A$6:$A$59,0))</f>
        <v>46598</v>
      </c>
      <c r="S877" s="33" t="n">
        <f aca="false">INDEX(Épopées!$M$6:$M$59,MATCH(K877,Épopées!$A$6:$A$59,0))</f>
        <v>46615</v>
      </c>
      <c r="T877" s="53" t="s">
        <v>463</v>
      </c>
    </row>
    <row r="878" customFormat="false" ht="15" hidden="false" customHeight="false" outlineLevel="0" collapsed="false">
      <c r="A878" s="31" t="s">
        <v>2509</v>
      </c>
      <c r="B878" s="31" t="s">
        <v>342</v>
      </c>
      <c r="C878" s="31" t="s">
        <v>386</v>
      </c>
      <c r="D878" s="31" t="s">
        <v>137</v>
      </c>
      <c r="E878" s="31" t="s">
        <v>2510</v>
      </c>
      <c r="F878" s="31" t="s">
        <v>491</v>
      </c>
      <c r="G878" s="31" t="s">
        <v>461</v>
      </c>
      <c r="H878" s="31" t="s">
        <v>41</v>
      </c>
      <c r="I878" s="31" t="n">
        <f aca="false">VLOOKUP(H878,Paramètres!$A$15:$B$19,2,FALSE())</f>
        <v>1</v>
      </c>
      <c r="J878" s="31" t="n">
        <v>1</v>
      </c>
      <c r="K878" s="50" t="str">
        <f aca="false">C878&amp;"|"&amp;J878</f>
        <v>MOB-O|1</v>
      </c>
      <c r="L878" s="31" t="s">
        <v>2487</v>
      </c>
      <c r="M878" s="31" t="n">
        <v>2</v>
      </c>
      <c r="N878" s="51" t="s">
        <v>462</v>
      </c>
      <c r="O878" s="35" t="s">
        <v>78</v>
      </c>
      <c r="P878" s="52"/>
      <c r="Q878" s="52"/>
      <c r="R878" s="33" t="n">
        <f aca="false">INDEX(Épopées!$L$6:$L$59,MATCH(K878,Épopées!$A$6:$A$59,0))</f>
        <v>46598</v>
      </c>
      <c r="S878" s="33" t="n">
        <f aca="false">INDEX(Épopées!$M$6:$M$59,MATCH(K878,Épopées!$A$6:$A$59,0))</f>
        <v>46615</v>
      </c>
      <c r="T878" s="53" t="s">
        <v>463</v>
      </c>
    </row>
    <row r="879" customFormat="false" ht="15" hidden="false" customHeight="false" outlineLevel="0" collapsed="false">
      <c r="A879" s="31" t="s">
        <v>2511</v>
      </c>
      <c r="B879" s="31" t="s">
        <v>342</v>
      </c>
      <c r="C879" s="31" t="s">
        <v>386</v>
      </c>
      <c r="D879" s="31" t="s">
        <v>137</v>
      </c>
      <c r="E879" s="31" t="s">
        <v>2512</v>
      </c>
      <c r="F879" s="31" t="s">
        <v>1623</v>
      </c>
      <c r="G879" s="31" t="s">
        <v>461</v>
      </c>
      <c r="H879" s="31" t="s">
        <v>41</v>
      </c>
      <c r="I879" s="31" t="n">
        <f aca="false">VLOOKUP(H879,Paramètres!$A$15:$B$19,2,FALSE())</f>
        <v>1</v>
      </c>
      <c r="J879" s="31" t="n">
        <v>1</v>
      </c>
      <c r="K879" s="50" t="str">
        <f aca="false">C879&amp;"|"&amp;J879</f>
        <v>MOB-O|1</v>
      </c>
      <c r="L879" s="31" t="s">
        <v>2513</v>
      </c>
      <c r="M879" s="31" t="n">
        <v>1</v>
      </c>
      <c r="N879" s="51" t="s">
        <v>462</v>
      </c>
      <c r="O879" s="35" t="s">
        <v>78</v>
      </c>
      <c r="P879" s="52"/>
      <c r="Q879" s="52"/>
      <c r="R879" s="33" t="n">
        <f aca="false">INDEX(Épopées!$L$6:$L$59,MATCH(K879,Épopées!$A$6:$A$59,0))</f>
        <v>46598</v>
      </c>
      <c r="S879" s="33" t="n">
        <f aca="false">INDEX(Épopées!$M$6:$M$59,MATCH(K879,Épopées!$A$6:$A$59,0))</f>
        <v>46615</v>
      </c>
      <c r="T879" s="53" t="s">
        <v>463</v>
      </c>
    </row>
    <row r="880" customFormat="false" ht="15" hidden="false" customHeight="false" outlineLevel="0" collapsed="false">
      <c r="A880" s="31" t="s">
        <v>2514</v>
      </c>
      <c r="B880" s="31" t="s">
        <v>342</v>
      </c>
      <c r="C880" s="31" t="s">
        <v>386</v>
      </c>
      <c r="D880" s="31" t="s">
        <v>137</v>
      </c>
      <c r="E880" s="31" t="s">
        <v>2515</v>
      </c>
      <c r="F880" s="31" t="s">
        <v>1623</v>
      </c>
      <c r="G880" s="31" t="s">
        <v>466</v>
      </c>
      <c r="H880" s="31" t="s">
        <v>37</v>
      </c>
      <c r="I880" s="31" t="n">
        <f aca="false">VLOOKUP(H880,Paramètres!$A$15:$B$19,2,FALSE())</f>
        <v>0.25</v>
      </c>
      <c r="J880" s="31" t="n">
        <v>1</v>
      </c>
      <c r="K880" s="50" t="str">
        <f aca="false">C880&amp;"|"&amp;J880</f>
        <v>MOB-O|1</v>
      </c>
      <c r="L880" s="31" t="s">
        <v>2511</v>
      </c>
      <c r="M880" s="31" t="n">
        <v>1</v>
      </c>
      <c r="N880" s="51" t="s">
        <v>462</v>
      </c>
      <c r="O880" s="35" t="s">
        <v>78</v>
      </c>
      <c r="P880" s="52"/>
      <c r="Q880" s="52"/>
      <c r="R880" s="33" t="n">
        <f aca="false">INDEX(Épopées!$L$6:$L$59,MATCH(K880,Épopées!$A$6:$A$59,0))</f>
        <v>46598</v>
      </c>
      <c r="S880" s="33" t="n">
        <f aca="false">INDEX(Épopées!$M$6:$M$59,MATCH(K880,Épopées!$A$6:$A$59,0))</f>
        <v>46615</v>
      </c>
      <c r="T880" s="53" t="s">
        <v>463</v>
      </c>
    </row>
    <row r="881" customFormat="false" ht="15" hidden="false" customHeight="false" outlineLevel="0" collapsed="false">
      <c r="A881" s="31" t="s">
        <v>2516</v>
      </c>
      <c r="B881" s="31" t="s">
        <v>342</v>
      </c>
      <c r="C881" s="31" t="s">
        <v>386</v>
      </c>
      <c r="D881" s="31" t="s">
        <v>137</v>
      </c>
      <c r="E881" s="31" t="s">
        <v>2517</v>
      </c>
      <c r="F881" s="31" t="s">
        <v>491</v>
      </c>
      <c r="G881" s="31" t="s">
        <v>461</v>
      </c>
      <c r="H881" s="31" t="s">
        <v>43</v>
      </c>
      <c r="I881" s="31" t="n">
        <f aca="false">VLOOKUP(H881,Paramètres!$A$15:$B$19,2,FALSE())</f>
        <v>2</v>
      </c>
      <c r="J881" s="31" t="n">
        <v>1</v>
      </c>
      <c r="K881" s="50" t="str">
        <f aca="false">C881&amp;"|"&amp;J881</f>
        <v>MOB-O|1</v>
      </c>
      <c r="L881" s="31" t="s">
        <v>2479</v>
      </c>
      <c r="M881" s="31" t="n">
        <v>4</v>
      </c>
      <c r="N881" s="51" t="s">
        <v>462</v>
      </c>
      <c r="O881" s="35" t="s">
        <v>78</v>
      </c>
      <c r="P881" s="52"/>
      <c r="Q881" s="52"/>
      <c r="R881" s="33" t="n">
        <f aca="false">INDEX(Épopées!$L$6:$L$59,MATCH(K881,Épopées!$A$6:$A$59,0))</f>
        <v>46598</v>
      </c>
      <c r="S881" s="33" t="n">
        <f aca="false">INDEX(Épopées!$M$6:$M$59,MATCH(K881,Épopées!$A$6:$A$59,0))</f>
        <v>46615</v>
      </c>
      <c r="T881" s="53" t="s">
        <v>463</v>
      </c>
    </row>
    <row r="882" customFormat="false" ht="15" hidden="false" customHeight="false" outlineLevel="0" collapsed="false">
      <c r="A882" s="31" t="s">
        <v>2518</v>
      </c>
      <c r="B882" s="31" t="s">
        <v>342</v>
      </c>
      <c r="C882" s="31" t="s">
        <v>386</v>
      </c>
      <c r="D882" s="31" t="s">
        <v>137</v>
      </c>
      <c r="E882" s="31" t="s">
        <v>2519</v>
      </c>
      <c r="F882" s="31" t="s">
        <v>491</v>
      </c>
      <c r="G882" s="31" t="s">
        <v>461</v>
      </c>
      <c r="H882" s="31" t="s">
        <v>43</v>
      </c>
      <c r="I882" s="31" t="n">
        <f aca="false">VLOOKUP(H882,Paramètres!$A$15:$B$19,2,FALSE())</f>
        <v>2</v>
      </c>
      <c r="J882" s="31" t="n">
        <v>1</v>
      </c>
      <c r="K882" s="50" t="str">
        <f aca="false">C882&amp;"|"&amp;J882</f>
        <v>MOB-O|1</v>
      </c>
      <c r="L882" s="31" t="s">
        <v>2520</v>
      </c>
      <c r="M882" s="31" t="n">
        <v>3</v>
      </c>
      <c r="N882" s="51" t="s">
        <v>462</v>
      </c>
      <c r="O882" s="35" t="s">
        <v>78</v>
      </c>
      <c r="P882" s="52"/>
      <c r="Q882" s="52"/>
      <c r="R882" s="33" t="n">
        <f aca="false">INDEX(Épopées!$L$6:$L$59,MATCH(K882,Épopées!$A$6:$A$59,0))</f>
        <v>46598</v>
      </c>
      <c r="S882" s="33" t="n">
        <f aca="false">INDEX(Épopées!$M$6:$M$59,MATCH(K882,Épopées!$A$6:$A$59,0))</f>
        <v>46615</v>
      </c>
      <c r="T882" s="53" t="s">
        <v>463</v>
      </c>
    </row>
    <row r="883" customFormat="false" ht="15" hidden="false" customHeight="false" outlineLevel="0" collapsed="false">
      <c r="A883" s="31" t="s">
        <v>2521</v>
      </c>
      <c r="B883" s="31" t="s">
        <v>342</v>
      </c>
      <c r="C883" s="31" t="s">
        <v>386</v>
      </c>
      <c r="D883" s="31" t="s">
        <v>137</v>
      </c>
      <c r="E883" s="31" t="s">
        <v>2522</v>
      </c>
      <c r="F883" s="31" t="s">
        <v>1623</v>
      </c>
      <c r="G883" s="31" t="s">
        <v>466</v>
      </c>
      <c r="H883" s="31" t="s">
        <v>39</v>
      </c>
      <c r="I883" s="31" t="n">
        <f aca="false">VLOOKUP(H883,Paramètres!$A$15:$B$19,2,FALSE())</f>
        <v>0.5</v>
      </c>
      <c r="J883" s="31" t="n">
        <v>1</v>
      </c>
      <c r="K883" s="50" t="str">
        <f aca="false">C883&amp;"|"&amp;J883</f>
        <v>MOB-O|1</v>
      </c>
      <c r="L883" s="31" t="s">
        <v>2523</v>
      </c>
      <c r="M883" s="31" t="n">
        <v>1</v>
      </c>
      <c r="N883" s="51" t="s">
        <v>462</v>
      </c>
      <c r="O883" s="35" t="s">
        <v>78</v>
      </c>
      <c r="P883" s="52"/>
      <c r="Q883" s="52"/>
      <c r="R883" s="33" t="n">
        <f aca="false">INDEX(Épopées!$L$6:$L$59,MATCH(K883,Épopées!$A$6:$A$59,0))</f>
        <v>46598</v>
      </c>
      <c r="S883" s="33" t="n">
        <f aca="false">INDEX(Épopées!$M$6:$M$59,MATCH(K883,Épopées!$A$6:$A$59,0))</f>
        <v>46615</v>
      </c>
      <c r="T883" s="53" t="s">
        <v>463</v>
      </c>
    </row>
    <row r="884" customFormat="false" ht="15" hidden="false" customHeight="false" outlineLevel="0" collapsed="false">
      <c r="A884" s="31" t="s">
        <v>2524</v>
      </c>
      <c r="B884" s="31" t="s">
        <v>342</v>
      </c>
      <c r="C884" s="31" t="s">
        <v>386</v>
      </c>
      <c r="D884" s="31" t="s">
        <v>137</v>
      </c>
      <c r="E884" s="31" t="s">
        <v>2525</v>
      </c>
      <c r="F884" s="31" t="s">
        <v>1623</v>
      </c>
      <c r="G884" s="31" t="s">
        <v>466</v>
      </c>
      <c r="H884" s="31" t="s">
        <v>41</v>
      </c>
      <c r="I884" s="31" t="n">
        <f aca="false">VLOOKUP(H884,Paramètres!$A$15:$B$19,2,FALSE())</f>
        <v>1</v>
      </c>
      <c r="J884" s="31" t="n">
        <v>1</v>
      </c>
      <c r="K884" s="50" t="str">
        <f aca="false">C884&amp;"|"&amp;J884</f>
        <v>MOB-O|1</v>
      </c>
      <c r="L884" s="31" t="s">
        <v>2521</v>
      </c>
      <c r="M884" s="31" t="n">
        <v>1</v>
      </c>
      <c r="N884" s="51" t="s">
        <v>462</v>
      </c>
      <c r="O884" s="35" t="s">
        <v>78</v>
      </c>
      <c r="P884" s="52"/>
      <c r="Q884" s="52"/>
      <c r="R884" s="33" t="n">
        <f aca="false">INDEX(Épopées!$L$6:$L$59,MATCH(K884,Épopées!$A$6:$A$59,0))</f>
        <v>46598</v>
      </c>
      <c r="S884" s="33" t="n">
        <f aca="false">INDEX(Épopées!$M$6:$M$59,MATCH(K884,Épopées!$A$6:$A$59,0))</f>
        <v>46615</v>
      </c>
      <c r="T884" s="53" t="s">
        <v>463</v>
      </c>
    </row>
    <row r="885" customFormat="false" ht="15" hidden="false" customHeight="false" outlineLevel="0" collapsed="false">
      <c r="A885" s="31" t="s">
        <v>2526</v>
      </c>
      <c r="B885" s="31" t="s">
        <v>342</v>
      </c>
      <c r="C885" s="31" t="s">
        <v>386</v>
      </c>
      <c r="D885" s="31" t="s">
        <v>137</v>
      </c>
      <c r="E885" s="31" t="s">
        <v>2527</v>
      </c>
      <c r="F885" s="31" t="s">
        <v>1623</v>
      </c>
      <c r="G885" s="31" t="s">
        <v>466</v>
      </c>
      <c r="H885" s="31" t="s">
        <v>41</v>
      </c>
      <c r="I885" s="31" t="n">
        <f aca="false">VLOOKUP(H885,Paramètres!$A$15:$B$19,2,FALSE())</f>
        <v>1</v>
      </c>
      <c r="J885" s="31" t="n">
        <v>1</v>
      </c>
      <c r="K885" s="50" t="str">
        <f aca="false">C885&amp;"|"&amp;J885</f>
        <v>MOB-O|1</v>
      </c>
      <c r="L885" s="31" t="s">
        <v>2518</v>
      </c>
      <c r="M885" s="31" t="n">
        <v>1</v>
      </c>
      <c r="N885" s="51" t="s">
        <v>462</v>
      </c>
      <c r="O885" s="35" t="s">
        <v>78</v>
      </c>
      <c r="P885" s="52"/>
      <c r="Q885" s="52"/>
      <c r="R885" s="33" t="n">
        <f aca="false">INDEX(Épopées!$L$6:$L$59,MATCH(K885,Épopées!$A$6:$A$59,0))</f>
        <v>46598</v>
      </c>
      <c r="S885" s="33" t="n">
        <f aca="false">INDEX(Épopées!$M$6:$M$59,MATCH(K885,Épopées!$A$6:$A$59,0))</f>
        <v>46615</v>
      </c>
      <c r="T885" s="53" t="s">
        <v>463</v>
      </c>
    </row>
    <row r="886" customFormat="false" ht="15" hidden="false" customHeight="false" outlineLevel="0" collapsed="false">
      <c r="A886" s="31" t="s">
        <v>2528</v>
      </c>
      <c r="B886" s="31" t="s">
        <v>342</v>
      </c>
      <c r="C886" s="31" t="s">
        <v>386</v>
      </c>
      <c r="D886" s="31" t="s">
        <v>137</v>
      </c>
      <c r="E886" s="31" t="s">
        <v>2529</v>
      </c>
      <c r="F886" s="31" t="s">
        <v>491</v>
      </c>
      <c r="G886" s="31" t="s">
        <v>612</v>
      </c>
      <c r="H886" s="31" t="s">
        <v>39</v>
      </c>
      <c r="I886" s="31" t="n">
        <f aca="false">VLOOKUP(H886,Paramètres!$A$15:$B$19,2,FALSE())</f>
        <v>0.5</v>
      </c>
      <c r="J886" s="31" t="n">
        <v>1</v>
      </c>
      <c r="K886" s="50" t="str">
        <f aca="false">C886&amp;"|"&amp;J886</f>
        <v>MOB-O|1</v>
      </c>
      <c r="L886" s="31" t="s">
        <v>2509</v>
      </c>
      <c r="M886" s="31" t="n">
        <v>1</v>
      </c>
      <c r="N886" s="51" t="s">
        <v>462</v>
      </c>
      <c r="O886" s="35" t="s">
        <v>78</v>
      </c>
      <c r="P886" s="52"/>
      <c r="Q886" s="52"/>
      <c r="R886" s="33" t="n">
        <f aca="false">INDEX(Épopées!$L$6:$L$59,MATCH(K886,Épopées!$A$6:$A$59,0))</f>
        <v>46598</v>
      </c>
      <c r="S886" s="33" t="n">
        <f aca="false">INDEX(Épopées!$M$6:$M$59,MATCH(K886,Épopées!$A$6:$A$59,0))</f>
        <v>46615</v>
      </c>
      <c r="T886" s="53" t="s">
        <v>463</v>
      </c>
    </row>
    <row r="887" customFormat="false" ht="15" hidden="false" customHeight="false" outlineLevel="0" collapsed="false">
      <c r="A887" s="31" t="s">
        <v>2530</v>
      </c>
      <c r="B887" s="31" t="s">
        <v>342</v>
      </c>
      <c r="C887" s="31" t="s">
        <v>386</v>
      </c>
      <c r="D887" s="31" t="s">
        <v>137</v>
      </c>
      <c r="E887" s="31" t="s">
        <v>2531</v>
      </c>
      <c r="F887" s="31" t="s">
        <v>579</v>
      </c>
      <c r="G887" s="31" t="s">
        <v>461</v>
      </c>
      <c r="H887" s="31" t="s">
        <v>39</v>
      </c>
      <c r="I887" s="31" t="n">
        <f aca="false">VLOOKUP(H887,Paramètres!$A$15:$B$19,2,FALSE())</f>
        <v>0.5</v>
      </c>
      <c r="J887" s="31" t="n">
        <v>1</v>
      </c>
      <c r="K887" s="50" t="str">
        <f aca="false">C887&amp;"|"&amp;J887</f>
        <v>MOB-O|1</v>
      </c>
      <c r="L887" s="31" t="s">
        <v>2532</v>
      </c>
      <c r="M887" s="31" t="n">
        <v>3</v>
      </c>
      <c r="N887" s="51" t="s">
        <v>462</v>
      </c>
      <c r="O887" s="35" t="s">
        <v>78</v>
      </c>
      <c r="P887" s="52"/>
      <c r="Q887" s="52"/>
      <c r="R887" s="33" t="n">
        <f aca="false">INDEX(Épopées!$L$6:$L$59,MATCH(K887,Épopées!$A$6:$A$59,0))</f>
        <v>46598</v>
      </c>
      <c r="S887" s="33" t="n">
        <f aca="false">INDEX(Épopées!$M$6:$M$59,MATCH(K887,Épopées!$A$6:$A$59,0))</f>
        <v>46615</v>
      </c>
      <c r="T887" s="53" t="s">
        <v>463</v>
      </c>
    </row>
    <row r="888" customFormat="false" ht="15" hidden="false" customHeight="false" outlineLevel="0" collapsed="false">
      <c r="A888" s="31" t="s">
        <v>2533</v>
      </c>
      <c r="B888" s="31" t="s">
        <v>342</v>
      </c>
      <c r="C888" s="31" t="s">
        <v>386</v>
      </c>
      <c r="D888" s="31" t="s">
        <v>137</v>
      </c>
      <c r="E888" s="31" t="s">
        <v>2534</v>
      </c>
      <c r="F888" s="31" t="s">
        <v>469</v>
      </c>
      <c r="G888" s="31" t="s">
        <v>466</v>
      </c>
      <c r="H888" s="31" t="s">
        <v>39</v>
      </c>
      <c r="I888" s="31" t="n">
        <f aca="false">VLOOKUP(H888,Paramètres!$A$15:$B$19,2,FALSE())</f>
        <v>0.5</v>
      </c>
      <c r="J888" s="31" t="n">
        <v>1</v>
      </c>
      <c r="K888" s="50" t="str">
        <f aca="false">C888&amp;"|"&amp;J888</f>
        <v>MOB-O|1</v>
      </c>
      <c r="L888" s="31" t="s">
        <v>2516</v>
      </c>
      <c r="M888" s="31" t="n">
        <v>3</v>
      </c>
      <c r="N888" s="51" t="s">
        <v>462</v>
      </c>
      <c r="O888" s="35" t="s">
        <v>78</v>
      </c>
      <c r="P888" s="52"/>
      <c r="Q888" s="52"/>
      <c r="R888" s="33" t="n">
        <f aca="false">INDEX(Épopées!$L$6:$L$59,MATCH(K888,Épopées!$A$6:$A$59,0))</f>
        <v>46598</v>
      </c>
      <c r="S888" s="33" t="n">
        <f aca="false">INDEX(Épopées!$M$6:$M$59,MATCH(K888,Épopées!$A$6:$A$59,0))</f>
        <v>46615</v>
      </c>
      <c r="T888" s="53" t="s">
        <v>463</v>
      </c>
    </row>
    <row r="889" customFormat="false" ht="15" hidden="false" customHeight="false" outlineLevel="0" collapsed="false">
      <c r="A889" s="31" t="s">
        <v>2535</v>
      </c>
      <c r="B889" s="31" t="s">
        <v>342</v>
      </c>
      <c r="C889" s="31" t="s">
        <v>386</v>
      </c>
      <c r="D889" s="31" t="s">
        <v>137</v>
      </c>
      <c r="E889" s="31" t="s">
        <v>2536</v>
      </c>
      <c r="F889" s="31" t="s">
        <v>1863</v>
      </c>
      <c r="G889" s="31" t="s">
        <v>466</v>
      </c>
      <c r="H889" s="31" t="s">
        <v>39</v>
      </c>
      <c r="I889" s="31" t="n">
        <f aca="false">VLOOKUP(H889,Paramètres!$A$15:$B$19,2,FALSE())</f>
        <v>0.5</v>
      </c>
      <c r="J889" s="31" t="n">
        <v>1</v>
      </c>
      <c r="K889" s="50" t="str">
        <f aca="false">C889&amp;"|"&amp;J889</f>
        <v>MOB-O|1</v>
      </c>
      <c r="L889" s="31" t="s">
        <v>2537</v>
      </c>
      <c r="M889" s="31" t="n">
        <v>5</v>
      </c>
      <c r="N889" s="51" t="s">
        <v>462</v>
      </c>
      <c r="O889" s="35" t="s">
        <v>78</v>
      </c>
      <c r="P889" s="52"/>
      <c r="Q889" s="52"/>
      <c r="R889" s="33" t="n">
        <f aca="false">INDEX(Épopées!$L$6:$L$59,MATCH(K889,Épopées!$A$6:$A$59,0))</f>
        <v>46598</v>
      </c>
      <c r="S889" s="33" t="n">
        <f aca="false">INDEX(Épopées!$M$6:$M$59,MATCH(K889,Épopées!$A$6:$A$59,0))</f>
        <v>46615</v>
      </c>
      <c r="T889" s="53" t="s">
        <v>463</v>
      </c>
    </row>
    <row r="890" customFormat="false" ht="15" hidden="false" customHeight="false" outlineLevel="0" collapsed="false">
      <c r="A890" s="31" t="s">
        <v>2538</v>
      </c>
      <c r="B890" s="31" t="s">
        <v>342</v>
      </c>
      <c r="C890" s="31" t="s">
        <v>386</v>
      </c>
      <c r="D890" s="31" t="s">
        <v>137</v>
      </c>
      <c r="E890" s="31" t="s">
        <v>2539</v>
      </c>
      <c r="F890" s="31" t="s">
        <v>588</v>
      </c>
      <c r="G890" s="31" t="s">
        <v>466</v>
      </c>
      <c r="H890" s="31" t="s">
        <v>39</v>
      </c>
      <c r="I890" s="31" t="n">
        <f aca="false">VLOOKUP(H890,Paramètres!$A$15:$B$19,2,FALSE())</f>
        <v>0.5</v>
      </c>
      <c r="J890" s="31" t="n">
        <v>1</v>
      </c>
      <c r="K890" s="50" t="str">
        <f aca="false">C890&amp;"|"&amp;J890</f>
        <v>MOB-O|1</v>
      </c>
      <c r="L890" s="31" t="s">
        <v>2492</v>
      </c>
      <c r="M890" s="31" t="n">
        <v>10</v>
      </c>
      <c r="N890" s="51" t="s">
        <v>462</v>
      </c>
      <c r="O890" s="35" t="s">
        <v>78</v>
      </c>
      <c r="P890" s="52"/>
      <c r="Q890" s="52"/>
      <c r="R890" s="33" t="n">
        <f aca="false">INDEX(Épopées!$L$6:$L$59,MATCH(K890,Épopées!$A$6:$A$59,0))</f>
        <v>46598</v>
      </c>
      <c r="S890" s="33" t="n">
        <f aca="false">INDEX(Épopées!$M$6:$M$59,MATCH(K890,Épopées!$A$6:$A$59,0))</f>
        <v>46615</v>
      </c>
      <c r="T890" s="53" t="s">
        <v>463</v>
      </c>
    </row>
    <row r="891" customFormat="false" ht="15" hidden="false" customHeight="false" outlineLevel="0" collapsed="false">
      <c r="A891" s="31" t="s">
        <v>2540</v>
      </c>
      <c r="B891" s="31" t="s">
        <v>342</v>
      </c>
      <c r="C891" s="31" t="s">
        <v>386</v>
      </c>
      <c r="D891" s="31" t="s">
        <v>137</v>
      </c>
      <c r="E891" s="31" t="s">
        <v>2541</v>
      </c>
      <c r="F891" s="31" t="s">
        <v>472</v>
      </c>
      <c r="G891" s="31" t="s">
        <v>466</v>
      </c>
      <c r="H891" s="31" t="s">
        <v>41</v>
      </c>
      <c r="I891" s="31" t="n">
        <f aca="false">VLOOKUP(H891,Paramètres!$A$15:$B$19,2,FALSE())</f>
        <v>1</v>
      </c>
      <c r="J891" s="31" t="n">
        <v>1</v>
      </c>
      <c r="K891" s="50" t="str">
        <f aca="false">C891&amp;"|"&amp;J891</f>
        <v>MOB-O|1</v>
      </c>
      <c r="L891" s="31" t="s">
        <v>2542</v>
      </c>
      <c r="M891" s="31" t="n">
        <v>10</v>
      </c>
      <c r="N891" s="51" t="s">
        <v>462</v>
      </c>
      <c r="O891" s="35" t="s">
        <v>78</v>
      </c>
      <c r="P891" s="52"/>
      <c r="Q891" s="52"/>
      <c r="R891" s="33" t="n">
        <f aca="false">INDEX(Épopées!$L$6:$L$59,MATCH(K891,Épopées!$A$6:$A$59,0))</f>
        <v>46598</v>
      </c>
      <c r="S891" s="33" t="n">
        <f aca="false">INDEX(Épopées!$M$6:$M$59,MATCH(K891,Épopées!$A$6:$A$59,0))</f>
        <v>46615</v>
      </c>
      <c r="T891" s="53" t="s">
        <v>463</v>
      </c>
    </row>
    <row r="892" customFormat="false" ht="15" hidden="false" customHeight="false" outlineLevel="0" collapsed="false">
      <c r="A892" s="31" t="s">
        <v>2543</v>
      </c>
      <c r="B892" s="31" t="s">
        <v>342</v>
      </c>
      <c r="C892" s="31" t="s">
        <v>388</v>
      </c>
      <c r="D892" s="31" t="s">
        <v>164</v>
      </c>
      <c r="E892" s="31" t="s">
        <v>2544</v>
      </c>
      <c r="F892" s="31" t="s">
        <v>486</v>
      </c>
      <c r="G892" s="31" t="s">
        <v>461</v>
      </c>
      <c r="H892" s="31" t="s">
        <v>41</v>
      </c>
      <c r="I892" s="31" t="n">
        <f aca="false">VLOOKUP(H892,Paramètres!$A$15:$B$19,2,FALSE())</f>
        <v>1</v>
      </c>
      <c r="J892" s="31" t="n">
        <v>2</v>
      </c>
      <c r="K892" s="50" t="str">
        <f aca="false">C892&amp;"|"&amp;J892</f>
        <v>MOB-G|2</v>
      </c>
      <c r="L892" s="31"/>
      <c r="M892" s="31" t="n">
        <v>4</v>
      </c>
      <c r="N892" s="51" t="s">
        <v>462</v>
      </c>
      <c r="O892" s="35" t="s">
        <v>78</v>
      </c>
      <c r="P892" s="52"/>
      <c r="Q892" s="52"/>
      <c r="R892" s="33" t="n">
        <f aca="false">INDEX(Épopées!$L$6:$L$59,MATCH(K892,Épopées!$A$6:$A$59,0))</f>
        <v>46616</v>
      </c>
      <c r="S892" s="33" t="n">
        <f aca="false">INDEX(Épopées!$M$6:$M$59,MATCH(K892,Épopées!$A$6:$A$59,0))</f>
        <v>46626</v>
      </c>
      <c r="T892" s="53" t="s">
        <v>463</v>
      </c>
    </row>
    <row r="893" customFormat="false" ht="15" hidden="false" customHeight="false" outlineLevel="0" collapsed="false">
      <c r="A893" s="31" t="s">
        <v>2545</v>
      </c>
      <c r="B893" s="31" t="s">
        <v>342</v>
      </c>
      <c r="C893" s="31" t="s">
        <v>388</v>
      </c>
      <c r="D893" s="31" t="s">
        <v>164</v>
      </c>
      <c r="E893" s="31" t="s">
        <v>2546</v>
      </c>
      <c r="F893" s="31" t="s">
        <v>460</v>
      </c>
      <c r="G893" s="31" t="s">
        <v>461</v>
      </c>
      <c r="H893" s="31" t="s">
        <v>41</v>
      </c>
      <c r="I893" s="31" t="n">
        <f aca="false">VLOOKUP(H893,Paramètres!$A$15:$B$19,2,FALSE())</f>
        <v>1</v>
      </c>
      <c r="J893" s="31" t="n">
        <v>2</v>
      </c>
      <c r="K893" s="50" t="str">
        <f aca="false">C893&amp;"|"&amp;J893</f>
        <v>MOB-G|2</v>
      </c>
      <c r="L893" s="31" t="s">
        <v>2543</v>
      </c>
      <c r="M893" s="31" t="n">
        <v>4</v>
      </c>
      <c r="N893" s="51" t="s">
        <v>462</v>
      </c>
      <c r="O893" s="35" t="s">
        <v>78</v>
      </c>
      <c r="P893" s="52"/>
      <c r="Q893" s="52"/>
      <c r="R893" s="33" t="n">
        <f aca="false">INDEX(Épopées!$L$6:$L$59,MATCH(K893,Épopées!$A$6:$A$59,0))</f>
        <v>46616</v>
      </c>
      <c r="S893" s="33" t="n">
        <f aca="false">INDEX(Épopées!$M$6:$M$59,MATCH(K893,Épopées!$A$6:$A$59,0))</f>
        <v>46626</v>
      </c>
      <c r="T893" s="53" t="s">
        <v>463</v>
      </c>
    </row>
    <row r="894" customFormat="false" ht="15" hidden="false" customHeight="false" outlineLevel="0" collapsed="false">
      <c r="A894" s="31" t="s">
        <v>2547</v>
      </c>
      <c r="B894" s="31" t="s">
        <v>342</v>
      </c>
      <c r="C894" s="31" t="s">
        <v>388</v>
      </c>
      <c r="D894" s="31" t="s">
        <v>164</v>
      </c>
      <c r="E894" s="31" t="s">
        <v>2548</v>
      </c>
      <c r="F894" s="31" t="s">
        <v>491</v>
      </c>
      <c r="G894" s="31" t="s">
        <v>461</v>
      </c>
      <c r="H894" s="31" t="s">
        <v>41</v>
      </c>
      <c r="I894" s="31" t="n">
        <f aca="false">VLOOKUP(H894,Paramètres!$A$15:$B$19,2,FALSE())</f>
        <v>1</v>
      </c>
      <c r="J894" s="31" t="n">
        <v>2</v>
      </c>
      <c r="K894" s="50" t="str">
        <f aca="false">C894&amp;"|"&amp;J894</f>
        <v>MOB-G|2</v>
      </c>
      <c r="L894" s="31" t="s">
        <v>2545</v>
      </c>
      <c r="M894" s="31" t="n">
        <v>5</v>
      </c>
      <c r="N894" s="51" t="s">
        <v>462</v>
      </c>
      <c r="O894" s="35" t="s">
        <v>78</v>
      </c>
      <c r="P894" s="52"/>
      <c r="Q894" s="52"/>
      <c r="R894" s="33" t="n">
        <f aca="false">INDEX(Épopées!$L$6:$L$59,MATCH(K894,Épopées!$A$6:$A$59,0))</f>
        <v>46616</v>
      </c>
      <c r="S894" s="33" t="n">
        <f aca="false">INDEX(Épopées!$M$6:$M$59,MATCH(K894,Épopées!$A$6:$A$59,0))</f>
        <v>46626</v>
      </c>
      <c r="T894" s="53" t="s">
        <v>463</v>
      </c>
    </row>
    <row r="895" customFormat="false" ht="15" hidden="false" customHeight="false" outlineLevel="0" collapsed="false">
      <c r="A895" s="31" t="s">
        <v>2549</v>
      </c>
      <c r="B895" s="31" t="s">
        <v>342</v>
      </c>
      <c r="C895" s="31" t="s">
        <v>388</v>
      </c>
      <c r="D895" s="31" t="s">
        <v>164</v>
      </c>
      <c r="E895" s="31" t="s">
        <v>2550</v>
      </c>
      <c r="F895" s="31" t="s">
        <v>491</v>
      </c>
      <c r="G895" s="31" t="s">
        <v>461</v>
      </c>
      <c r="H895" s="31" t="s">
        <v>43</v>
      </c>
      <c r="I895" s="31" t="n">
        <f aca="false">VLOOKUP(H895,Paramètres!$A$15:$B$19,2,FALSE())</f>
        <v>2</v>
      </c>
      <c r="J895" s="31" t="n">
        <v>2</v>
      </c>
      <c r="K895" s="50" t="str">
        <f aca="false">C895&amp;"|"&amp;J895</f>
        <v>MOB-G|2</v>
      </c>
      <c r="L895" s="31" t="s">
        <v>2547</v>
      </c>
      <c r="M895" s="31" t="n">
        <v>7</v>
      </c>
      <c r="N895" s="51" t="s">
        <v>462</v>
      </c>
      <c r="O895" s="35" t="s">
        <v>78</v>
      </c>
      <c r="P895" s="52"/>
      <c r="Q895" s="52"/>
      <c r="R895" s="33" t="n">
        <f aca="false">INDEX(Épopées!$L$6:$L$59,MATCH(K895,Épopées!$A$6:$A$59,0))</f>
        <v>46616</v>
      </c>
      <c r="S895" s="33" t="n">
        <f aca="false">INDEX(Épopées!$M$6:$M$59,MATCH(K895,Épopées!$A$6:$A$59,0))</f>
        <v>46626</v>
      </c>
      <c r="T895" s="53" t="s">
        <v>463</v>
      </c>
    </row>
    <row r="896" customFormat="false" ht="15" hidden="false" customHeight="false" outlineLevel="0" collapsed="false">
      <c r="A896" s="31" t="s">
        <v>2551</v>
      </c>
      <c r="B896" s="31" t="s">
        <v>342</v>
      </c>
      <c r="C896" s="31" t="s">
        <v>388</v>
      </c>
      <c r="D896" s="31" t="s">
        <v>164</v>
      </c>
      <c r="E896" s="31" t="s">
        <v>2552</v>
      </c>
      <c r="F896" s="31" t="s">
        <v>1623</v>
      </c>
      <c r="G896" s="31" t="s">
        <v>461</v>
      </c>
      <c r="H896" s="31" t="s">
        <v>41</v>
      </c>
      <c r="I896" s="31" t="n">
        <f aca="false">VLOOKUP(H896,Paramètres!$A$15:$B$19,2,FALSE())</f>
        <v>1</v>
      </c>
      <c r="J896" s="31" t="n">
        <v>2</v>
      </c>
      <c r="K896" s="50" t="str">
        <f aca="false">C896&amp;"|"&amp;J896</f>
        <v>MOB-G|2</v>
      </c>
      <c r="L896" s="31" t="s">
        <v>2549</v>
      </c>
      <c r="M896" s="31" t="n">
        <v>1</v>
      </c>
      <c r="N896" s="51" t="s">
        <v>462</v>
      </c>
      <c r="O896" s="35" t="s">
        <v>78</v>
      </c>
      <c r="P896" s="52"/>
      <c r="Q896" s="52"/>
      <c r="R896" s="33" t="n">
        <f aca="false">INDEX(Épopées!$L$6:$L$59,MATCH(K896,Épopées!$A$6:$A$59,0))</f>
        <v>46616</v>
      </c>
      <c r="S896" s="33" t="n">
        <f aca="false">INDEX(Épopées!$M$6:$M$59,MATCH(K896,Épopées!$A$6:$A$59,0))</f>
        <v>46626</v>
      </c>
      <c r="T896" s="53" t="s">
        <v>463</v>
      </c>
    </row>
    <row r="897" customFormat="false" ht="15" hidden="false" customHeight="false" outlineLevel="0" collapsed="false">
      <c r="A897" s="31" t="s">
        <v>2553</v>
      </c>
      <c r="B897" s="31" t="s">
        <v>342</v>
      </c>
      <c r="C897" s="31" t="s">
        <v>388</v>
      </c>
      <c r="D897" s="31" t="s">
        <v>164</v>
      </c>
      <c r="E897" s="31" t="s">
        <v>2554</v>
      </c>
      <c r="F897" s="31" t="s">
        <v>1623</v>
      </c>
      <c r="G897" s="31" t="s">
        <v>461</v>
      </c>
      <c r="H897" s="31" t="s">
        <v>39</v>
      </c>
      <c r="I897" s="31" t="n">
        <f aca="false">VLOOKUP(H897,Paramètres!$A$15:$B$19,2,FALSE())</f>
        <v>0.5</v>
      </c>
      <c r="J897" s="31" t="n">
        <v>2</v>
      </c>
      <c r="K897" s="50" t="str">
        <f aca="false">C897&amp;"|"&amp;J897</f>
        <v>MOB-G|2</v>
      </c>
      <c r="L897" s="31" t="s">
        <v>2551</v>
      </c>
      <c r="M897" s="31" t="n">
        <v>1</v>
      </c>
      <c r="N897" s="51" t="s">
        <v>462</v>
      </c>
      <c r="O897" s="35" t="s">
        <v>78</v>
      </c>
      <c r="P897" s="52"/>
      <c r="Q897" s="52"/>
      <c r="R897" s="33" t="n">
        <f aca="false">INDEX(Épopées!$L$6:$L$59,MATCH(K897,Épopées!$A$6:$A$59,0))</f>
        <v>46616</v>
      </c>
      <c r="S897" s="33" t="n">
        <f aca="false">INDEX(Épopées!$M$6:$M$59,MATCH(K897,Épopées!$A$6:$A$59,0))</f>
        <v>46626</v>
      </c>
      <c r="T897" s="53" t="s">
        <v>463</v>
      </c>
    </row>
    <row r="898" customFormat="false" ht="15" hidden="false" customHeight="false" outlineLevel="0" collapsed="false">
      <c r="A898" s="31" t="s">
        <v>2555</v>
      </c>
      <c r="B898" s="31" t="s">
        <v>342</v>
      </c>
      <c r="C898" s="31" t="s">
        <v>388</v>
      </c>
      <c r="D898" s="31" t="s">
        <v>164</v>
      </c>
      <c r="E898" s="31" t="s">
        <v>2556</v>
      </c>
      <c r="F898" s="31" t="s">
        <v>1623</v>
      </c>
      <c r="G898" s="31" t="s">
        <v>461</v>
      </c>
      <c r="H898" s="31" t="s">
        <v>43</v>
      </c>
      <c r="I898" s="31" t="n">
        <f aca="false">VLOOKUP(H898,Paramètres!$A$15:$B$19,2,FALSE())</f>
        <v>2</v>
      </c>
      <c r="J898" s="31" t="n">
        <v>2</v>
      </c>
      <c r="K898" s="50" t="str">
        <f aca="false">C898&amp;"|"&amp;J898</f>
        <v>MOB-G|2</v>
      </c>
      <c r="L898" s="31" t="s">
        <v>2549</v>
      </c>
      <c r="M898" s="31" t="n">
        <v>1</v>
      </c>
      <c r="N898" s="51" t="s">
        <v>462</v>
      </c>
      <c r="O898" s="35" t="s">
        <v>78</v>
      </c>
      <c r="P898" s="52"/>
      <c r="Q898" s="52"/>
      <c r="R898" s="33" t="n">
        <f aca="false">INDEX(Épopées!$L$6:$L$59,MATCH(K898,Épopées!$A$6:$A$59,0))</f>
        <v>46616</v>
      </c>
      <c r="S898" s="33" t="n">
        <f aca="false">INDEX(Épopées!$M$6:$M$59,MATCH(K898,Épopées!$A$6:$A$59,0))</f>
        <v>46626</v>
      </c>
      <c r="T898" s="53" t="s">
        <v>463</v>
      </c>
    </row>
    <row r="899" customFormat="false" ht="15" hidden="false" customHeight="false" outlineLevel="0" collapsed="false">
      <c r="A899" s="31" t="s">
        <v>2557</v>
      </c>
      <c r="B899" s="31" t="s">
        <v>342</v>
      </c>
      <c r="C899" s="31" t="s">
        <v>388</v>
      </c>
      <c r="D899" s="31" t="s">
        <v>164</v>
      </c>
      <c r="E899" s="31" t="s">
        <v>2558</v>
      </c>
      <c r="F899" s="31" t="s">
        <v>491</v>
      </c>
      <c r="G899" s="31" t="s">
        <v>466</v>
      </c>
      <c r="H899" s="31" t="s">
        <v>39</v>
      </c>
      <c r="I899" s="31" t="n">
        <f aca="false">VLOOKUP(H899,Paramètres!$A$15:$B$19,2,FALSE())</f>
        <v>0.5</v>
      </c>
      <c r="J899" s="31" t="n">
        <v>2</v>
      </c>
      <c r="K899" s="50" t="str">
        <f aca="false">C899&amp;"|"&amp;J899</f>
        <v>MOB-G|2</v>
      </c>
      <c r="L899" s="31" t="s">
        <v>2549</v>
      </c>
      <c r="M899" s="31" t="n">
        <v>3</v>
      </c>
      <c r="N899" s="51" t="s">
        <v>462</v>
      </c>
      <c r="O899" s="35" t="s">
        <v>78</v>
      </c>
      <c r="P899" s="52"/>
      <c r="Q899" s="52"/>
      <c r="R899" s="33" t="n">
        <f aca="false">INDEX(Épopées!$L$6:$L$59,MATCH(K899,Épopées!$A$6:$A$59,0))</f>
        <v>46616</v>
      </c>
      <c r="S899" s="33" t="n">
        <f aca="false">INDEX(Épopées!$M$6:$M$59,MATCH(K899,Épopées!$A$6:$A$59,0))</f>
        <v>46626</v>
      </c>
      <c r="T899" s="53" t="s">
        <v>463</v>
      </c>
    </row>
    <row r="900" customFormat="false" ht="15" hidden="false" customHeight="false" outlineLevel="0" collapsed="false">
      <c r="A900" s="31" t="s">
        <v>2559</v>
      </c>
      <c r="B900" s="31" t="s">
        <v>342</v>
      </c>
      <c r="C900" s="31" t="s">
        <v>388</v>
      </c>
      <c r="D900" s="31" t="s">
        <v>164</v>
      </c>
      <c r="E900" s="31" t="s">
        <v>2560</v>
      </c>
      <c r="F900" s="31" t="s">
        <v>1623</v>
      </c>
      <c r="G900" s="31" t="s">
        <v>461</v>
      </c>
      <c r="H900" s="31" t="s">
        <v>43</v>
      </c>
      <c r="I900" s="31" t="n">
        <f aca="false">VLOOKUP(H900,Paramètres!$A$15:$B$19,2,FALSE())</f>
        <v>2</v>
      </c>
      <c r="J900" s="31" t="n">
        <v>2</v>
      </c>
      <c r="K900" s="50" t="str">
        <f aca="false">C900&amp;"|"&amp;J900</f>
        <v>MOB-G|2</v>
      </c>
      <c r="L900" s="31" t="s">
        <v>2549</v>
      </c>
      <c r="M900" s="31" t="n">
        <v>1</v>
      </c>
      <c r="N900" s="51" t="s">
        <v>462</v>
      </c>
      <c r="O900" s="35" t="s">
        <v>78</v>
      </c>
      <c r="P900" s="52"/>
      <c r="Q900" s="52"/>
      <c r="R900" s="33" t="n">
        <f aca="false">INDEX(Épopées!$L$6:$L$59,MATCH(K900,Épopées!$A$6:$A$59,0))</f>
        <v>46616</v>
      </c>
      <c r="S900" s="33" t="n">
        <f aca="false">INDEX(Épopées!$M$6:$M$59,MATCH(K900,Épopées!$A$6:$A$59,0))</f>
        <v>46626</v>
      </c>
      <c r="T900" s="53" t="s">
        <v>463</v>
      </c>
    </row>
    <row r="901" customFormat="false" ht="15" hidden="false" customHeight="false" outlineLevel="0" collapsed="false">
      <c r="A901" s="31" t="s">
        <v>2561</v>
      </c>
      <c r="B901" s="31" t="s">
        <v>342</v>
      </c>
      <c r="C901" s="31" t="s">
        <v>388</v>
      </c>
      <c r="D901" s="31" t="s">
        <v>164</v>
      </c>
      <c r="E901" s="31" t="s">
        <v>2562</v>
      </c>
      <c r="F901" s="31" t="s">
        <v>1623</v>
      </c>
      <c r="G901" s="31" t="s">
        <v>466</v>
      </c>
      <c r="H901" s="31" t="s">
        <v>43</v>
      </c>
      <c r="I901" s="31" t="n">
        <f aca="false">VLOOKUP(H901,Paramètres!$A$15:$B$19,2,FALSE())</f>
        <v>2</v>
      </c>
      <c r="J901" s="31" t="n">
        <v>2</v>
      </c>
      <c r="K901" s="50" t="str">
        <f aca="false">C901&amp;"|"&amp;J901</f>
        <v>MOB-G|2</v>
      </c>
      <c r="L901" s="31" t="s">
        <v>2559</v>
      </c>
      <c r="M901" s="31" t="n">
        <v>1</v>
      </c>
      <c r="N901" s="51" t="s">
        <v>462</v>
      </c>
      <c r="O901" s="35" t="s">
        <v>78</v>
      </c>
      <c r="P901" s="52"/>
      <c r="Q901" s="52"/>
      <c r="R901" s="33" t="n">
        <f aca="false">INDEX(Épopées!$L$6:$L$59,MATCH(K901,Épopées!$A$6:$A$59,0))</f>
        <v>46616</v>
      </c>
      <c r="S901" s="33" t="n">
        <f aca="false">INDEX(Épopées!$M$6:$M$59,MATCH(K901,Épopées!$A$6:$A$59,0))</f>
        <v>46626</v>
      </c>
      <c r="T901" s="53" t="s">
        <v>463</v>
      </c>
    </row>
    <row r="902" customFormat="false" ht="15" hidden="false" customHeight="false" outlineLevel="0" collapsed="false">
      <c r="A902" s="31" t="s">
        <v>2563</v>
      </c>
      <c r="B902" s="31" t="s">
        <v>342</v>
      </c>
      <c r="C902" s="31" t="s">
        <v>388</v>
      </c>
      <c r="D902" s="31" t="s">
        <v>164</v>
      </c>
      <c r="E902" s="31" t="s">
        <v>2564</v>
      </c>
      <c r="F902" s="31" t="s">
        <v>491</v>
      </c>
      <c r="G902" s="31" t="s">
        <v>461</v>
      </c>
      <c r="H902" s="31" t="s">
        <v>41</v>
      </c>
      <c r="I902" s="31" t="n">
        <f aca="false">VLOOKUP(H902,Paramètres!$A$15:$B$19,2,FALSE())</f>
        <v>1</v>
      </c>
      <c r="J902" s="31" t="n">
        <v>2</v>
      </c>
      <c r="K902" s="50" t="str">
        <f aca="false">C902&amp;"|"&amp;J902</f>
        <v>MOB-G|2</v>
      </c>
      <c r="L902" s="31" t="s">
        <v>2565</v>
      </c>
      <c r="M902" s="31" t="n">
        <v>3</v>
      </c>
      <c r="N902" s="51" t="s">
        <v>462</v>
      </c>
      <c r="O902" s="35" t="s">
        <v>78</v>
      </c>
      <c r="P902" s="52"/>
      <c r="Q902" s="52"/>
      <c r="R902" s="33" t="n">
        <f aca="false">INDEX(Épopées!$L$6:$L$59,MATCH(K902,Épopées!$A$6:$A$59,0))</f>
        <v>46616</v>
      </c>
      <c r="S902" s="33" t="n">
        <f aca="false">INDEX(Épopées!$M$6:$M$59,MATCH(K902,Épopées!$A$6:$A$59,0))</f>
        <v>46626</v>
      </c>
      <c r="T902" s="53" t="s">
        <v>463</v>
      </c>
    </row>
    <row r="903" customFormat="false" ht="15" hidden="false" customHeight="false" outlineLevel="0" collapsed="false">
      <c r="A903" s="31" t="s">
        <v>2566</v>
      </c>
      <c r="B903" s="31" t="s">
        <v>342</v>
      </c>
      <c r="C903" s="31" t="s">
        <v>388</v>
      </c>
      <c r="D903" s="31" t="s">
        <v>164</v>
      </c>
      <c r="E903" s="31" t="s">
        <v>2567</v>
      </c>
      <c r="F903" s="31" t="s">
        <v>1623</v>
      </c>
      <c r="G903" s="31" t="s">
        <v>461</v>
      </c>
      <c r="H903" s="31" t="s">
        <v>41</v>
      </c>
      <c r="I903" s="31" t="n">
        <f aca="false">VLOOKUP(H903,Paramètres!$A$15:$B$19,2,FALSE())</f>
        <v>1</v>
      </c>
      <c r="J903" s="31" t="n">
        <v>2</v>
      </c>
      <c r="K903" s="50" t="str">
        <f aca="false">C903&amp;"|"&amp;J903</f>
        <v>MOB-G|2</v>
      </c>
      <c r="L903" s="31" t="s">
        <v>2563</v>
      </c>
      <c r="M903" s="31" t="n">
        <v>1</v>
      </c>
      <c r="N903" s="51" t="s">
        <v>462</v>
      </c>
      <c r="O903" s="35" t="s">
        <v>78</v>
      </c>
      <c r="P903" s="52"/>
      <c r="Q903" s="52"/>
      <c r="R903" s="33" t="n">
        <f aca="false">INDEX(Épopées!$L$6:$L$59,MATCH(K903,Épopées!$A$6:$A$59,0))</f>
        <v>46616</v>
      </c>
      <c r="S903" s="33" t="n">
        <f aca="false">INDEX(Épopées!$M$6:$M$59,MATCH(K903,Épopées!$A$6:$A$59,0))</f>
        <v>46626</v>
      </c>
      <c r="T903" s="53" t="s">
        <v>463</v>
      </c>
    </row>
    <row r="904" customFormat="false" ht="15" hidden="false" customHeight="false" outlineLevel="0" collapsed="false">
      <c r="A904" s="31" t="s">
        <v>2568</v>
      </c>
      <c r="B904" s="31" t="s">
        <v>342</v>
      </c>
      <c r="C904" s="31" t="s">
        <v>388</v>
      </c>
      <c r="D904" s="31" t="s">
        <v>164</v>
      </c>
      <c r="E904" s="31" t="s">
        <v>2569</v>
      </c>
      <c r="F904" s="31" t="s">
        <v>1623</v>
      </c>
      <c r="G904" s="31" t="s">
        <v>461</v>
      </c>
      <c r="H904" s="31" t="s">
        <v>39</v>
      </c>
      <c r="I904" s="31" t="n">
        <f aca="false">VLOOKUP(H904,Paramètres!$A$15:$B$19,2,FALSE())</f>
        <v>0.5</v>
      </c>
      <c r="J904" s="31" t="n">
        <v>2</v>
      </c>
      <c r="K904" s="50" t="str">
        <f aca="false">C904&amp;"|"&amp;J904</f>
        <v>MOB-G|2</v>
      </c>
      <c r="L904" s="31" t="s">
        <v>2563</v>
      </c>
      <c r="M904" s="31" t="n">
        <v>1</v>
      </c>
      <c r="N904" s="51" t="s">
        <v>462</v>
      </c>
      <c r="O904" s="35" t="s">
        <v>78</v>
      </c>
      <c r="P904" s="52"/>
      <c r="Q904" s="52"/>
      <c r="R904" s="33" t="n">
        <f aca="false">INDEX(Épopées!$L$6:$L$59,MATCH(K904,Épopées!$A$6:$A$59,0))</f>
        <v>46616</v>
      </c>
      <c r="S904" s="33" t="n">
        <f aca="false">INDEX(Épopées!$M$6:$M$59,MATCH(K904,Épopées!$A$6:$A$59,0))</f>
        <v>46626</v>
      </c>
      <c r="T904" s="53" t="s">
        <v>463</v>
      </c>
    </row>
    <row r="905" customFormat="false" ht="15" hidden="false" customHeight="false" outlineLevel="0" collapsed="false">
      <c r="A905" s="31" t="s">
        <v>2570</v>
      </c>
      <c r="B905" s="31" t="s">
        <v>342</v>
      </c>
      <c r="C905" s="31" t="s">
        <v>388</v>
      </c>
      <c r="D905" s="31" t="s">
        <v>164</v>
      </c>
      <c r="E905" s="31" t="s">
        <v>2571</v>
      </c>
      <c r="F905" s="31" t="s">
        <v>491</v>
      </c>
      <c r="G905" s="31" t="s">
        <v>612</v>
      </c>
      <c r="H905" s="31" t="s">
        <v>39</v>
      </c>
      <c r="I905" s="31" t="n">
        <f aca="false">VLOOKUP(H905,Paramètres!$A$15:$B$19,2,FALSE())</f>
        <v>0.5</v>
      </c>
      <c r="J905" s="31" t="n">
        <v>2</v>
      </c>
      <c r="K905" s="50" t="str">
        <f aca="false">C905&amp;"|"&amp;J905</f>
        <v>MOB-G|2</v>
      </c>
      <c r="L905" s="31" t="s">
        <v>2559</v>
      </c>
      <c r="M905" s="31" t="n">
        <v>3</v>
      </c>
      <c r="N905" s="51" t="s">
        <v>462</v>
      </c>
      <c r="O905" s="35" t="s">
        <v>78</v>
      </c>
      <c r="P905" s="52"/>
      <c r="Q905" s="52"/>
      <c r="R905" s="33" t="n">
        <f aca="false">INDEX(Épopées!$L$6:$L$59,MATCH(K905,Épopées!$A$6:$A$59,0))</f>
        <v>46616</v>
      </c>
      <c r="S905" s="33" t="n">
        <f aca="false">INDEX(Épopées!$M$6:$M$59,MATCH(K905,Épopées!$A$6:$A$59,0))</f>
        <v>46626</v>
      </c>
      <c r="T905" s="53" t="s">
        <v>463</v>
      </c>
    </row>
    <row r="906" customFormat="false" ht="15" hidden="false" customHeight="false" outlineLevel="0" collapsed="false">
      <c r="A906" s="31" t="s">
        <v>2572</v>
      </c>
      <c r="B906" s="31" t="s">
        <v>342</v>
      </c>
      <c r="C906" s="31" t="s">
        <v>388</v>
      </c>
      <c r="D906" s="31" t="s">
        <v>164</v>
      </c>
      <c r="E906" s="31" t="s">
        <v>2573</v>
      </c>
      <c r="F906" s="31" t="s">
        <v>1863</v>
      </c>
      <c r="G906" s="31" t="s">
        <v>466</v>
      </c>
      <c r="H906" s="31" t="s">
        <v>39</v>
      </c>
      <c r="I906" s="31" t="n">
        <f aca="false">VLOOKUP(H906,Paramètres!$A$15:$B$19,2,FALSE())</f>
        <v>0.5</v>
      </c>
      <c r="J906" s="31" t="n">
        <v>2</v>
      </c>
      <c r="K906" s="50" t="str">
        <f aca="false">C906&amp;"|"&amp;J906</f>
        <v>MOB-G|2</v>
      </c>
      <c r="L906" s="31" t="s">
        <v>2549</v>
      </c>
      <c r="M906" s="31" t="n">
        <v>3</v>
      </c>
      <c r="N906" s="51" t="s">
        <v>462</v>
      </c>
      <c r="O906" s="35" t="s">
        <v>78</v>
      </c>
      <c r="P906" s="52"/>
      <c r="Q906" s="52"/>
      <c r="R906" s="33" t="n">
        <f aca="false">INDEX(Épopées!$L$6:$L$59,MATCH(K906,Épopées!$A$6:$A$59,0))</f>
        <v>46616</v>
      </c>
      <c r="S906" s="33" t="n">
        <f aca="false">INDEX(Épopées!$M$6:$M$59,MATCH(K906,Épopées!$A$6:$A$59,0))</f>
        <v>46626</v>
      </c>
      <c r="T906" s="53" t="s">
        <v>463</v>
      </c>
    </row>
    <row r="907" customFormat="false" ht="15" hidden="false" customHeight="false" outlineLevel="0" collapsed="false">
      <c r="A907" s="31" t="s">
        <v>2574</v>
      </c>
      <c r="B907" s="31" t="s">
        <v>342</v>
      </c>
      <c r="C907" s="31" t="s">
        <v>388</v>
      </c>
      <c r="D907" s="31" t="s">
        <v>164</v>
      </c>
      <c r="E907" s="31" t="s">
        <v>2575</v>
      </c>
      <c r="F907" s="31" t="s">
        <v>588</v>
      </c>
      <c r="G907" s="31" t="s">
        <v>466</v>
      </c>
      <c r="H907" s="31" t="s">
        <v>39</v>
      </c>
      <c r="I907" s="31" t="n">
        <f aca="false">VLOOKUP(H907,Paramètres!$A$15:$B$19,2,FALSE())</f>
        <v>0.5</v>
      </c>
      <c r="J907" s="31" t="n">
        <v>2</v>
      </c>
      <c r="K907" s="50" t="str">
        <f aca="false">C907&amp;"|"&amp;J907</f>
        <v>MOB-G|2</v>
      </c>
      <c r="L907" s="31" t="s">
        <v>2576</v>
      </c>
      <c r="M907" s="31" t="n">
        <v>6</v>
      </c>
      <c r="N907" s="51" t="s">
        <v>462</v>
      </c>
      <c r="O907" s="35" t="s">
        <v>78</v>
      </c>
      <c r="P907" s="52"/>
      <c r="Q907" s="52"/>
      <c r="R907" s="33" t="n">
        <f aca="false">INDEX(Épopées!$L$6:$L$59,MATCH(K907,Épopées!$A$6:$A$59,0))</f>
        <v>46616</v>
      </c>
      <c r="S907" s="33" t="n">
        <f aca="false">INDEX(Épopées!$M$6:$M$59,MATCH(K907,Épopées!$A$6:$A$59,0))</f>
        <v>46626</v>
      </c>
      <c r="T907" s="53" t="s">
        <v>463</v>
      </c>
    </row>
    <row r="908" customFormat="false" ht="15" hidden="false" customHeight="false" outlineLevel="0" collapsed="false">
      <c r="A908" s="31" t="s">
        <v>2577</v>
      </c>
      <c r="B908" s="31" t="s">
        <v>342</v>
      </c>
      <c r="C908" s="31" t="s">
        <v>388</v>
      </c>
      <c r="D908" s="31" t="s">
        <v>164</v>
      </c>
      <c r="E908" s="31" t="s">
        <v>2578</v>
      </c>
      <c r="F908" s="31" t="s">
        <v>472</v>
      </c>
      <c r="G908" s="31" t="s">
        <v>466</v>
      </c>
      <c r="H908" s="31" t="s">
        <v>41</v>
      </c>
      <c r="I908" s="31" t="n">
        <f aca="false">VLOOKUP(H908,Paramètres!$A$15:$B$19,2,FALSE())</f>
        <v>1</v>
      </c>
      <c r="J908" s="31" t="n">
        <v>2</v>
      </c>
      <c r="K908" s="50" t="str">
        <f aca="false">C908&amp;"|"&amp;J908</f>
        <v>MOB-G|2</v>
      </c>
      <c r="L908" s="31" t="s">
        <v>2579</v>
      </c>
      <c r="M908" s="31" t="n">
        <v>7</v>
      </c>
      <c r="N908" s="51" t="s">
        <v>462</v>
      </c>
      <c r="O908" s="35" t="s">
        <v>78</v>
      </c>
      <c r="P908" s="52"/>
      <c r="Q908" s="52"/>
      <c r="R908" s="33" t="n">
        <f aca="false">INDEX(Épopées!$L$6:$L$59,MATCH(K908,Épopées!$A$6:$A$59,0))</f>
        <v>46616</v>
      </c>
      <c r="S908" s="33" t="n">
        <f aca="false">INDEX(Épopées!$M$6:$M$59,MATCH(K908,Épopées!$A$6:$A$59,0))</f>
        <v>46626</v>
      </c>
      <c r="T908" s="53" t="s">
        <v>463</v>
      </c>
    </row>
    <row r="909" customFormat="false" ht="15" hidden="false" customHeight="false" outlineLevel="0" collapsed="false">
      <c r="A909" s="31" t="s">
        <v>2580</v>
      </c>
      <c r="B909" s="31" t="s">
        <v>342</v>
      </c>
      <c r="C909" s="31" t="s">
        <v>390</v>
      </c>
      <c r="D909" s="31" t="s">
        <v>170</v>
      </c>
      <c r="E909" s="31" t="s">
        <v>2581</v>
      </c>
      <c r="F909" s="31" t="s">
        <v>486</v>
      </c>
      <c r="G909" s="31" t="s">
        <v>461</v>
      </c>
      <c r="H909" s="31" t="s">
        <v>41</v>
      </c>
      <c r="I909" s="31" t="n">
        <f aca="false">VLOOKUP(H909,Paramètres!$A$15:$B$19,2,FALSE())</f>
        <v>1</v>
      </c>
      <c r="J909" s="31" t="n">
        <v>2</v>
      </c>
      <c r="K909" s="50" t="str">
        <f aca="false">C909&amp;"|"&amp;J909</f>
        <v>MOB-H|2</v>
      </c>
      <c r="L909" s="31"/>
      <c r="M909" s="31" t="n">
        <v>3</v>
      </c>
      <c r="N909" s="51" t="s">
        <v>462</v>
      </c>
      <c r="O909" s="35" t="s">
        <v>78</v>
      </c>
      <c r="P909" s="52"/>
      <c r="Q909" s="52"/>
      <c r="R909" s="33" t="n">
        <f aca="false">INDEX(Épopées!$L$6:$L$59,MATCH(K909,Épopées!$A$6:$A$59,0))</f>
        <v>46629</v>
      </c>
      <c r="S909" s="33" t="n">
        <f aca="false">INDEX(Épopées!$M$6:$M$59,MATCH(K909,Épopées!$A$6:$A$59,0))</f>
        <v>46653</v>
      </c>
      <c r="T909" s="53" t="s">
        <v>463</v>
      </c>
    </row>
    <row r="910" customFormat="false" ht="15" hidden="false" customHeight="false" outlineLevel="0" collapsed="false">
      <c r="A910" s="31" t="s">
        <v>2582</v>
      </c>
      <c r="B910" s="31" t="s">
        <v>342</v>
      </c>
      <c r="C910" s="31" t="s">
        <v>390</v>
      </c>
      <c r="D910" s="31" t="s">
        <v>170</v>
      </c>
      <c r="E910" s="31" t="s">
        <v>2583</v>
      </c>
      <c r="F910" s="31" t="s">
        <v>460</v>
      </c>
      <c r="G910" s="31" t="s">
        <v>461</v>
      </c>
      <c r="H910" s="31" t="s">
        <v>41</v>
      </c>
      <c r="I910" s="31" t="n">
        <f aca="false">VLOOKUP(H910,Paramètres!$A$15:$B$19,2,FALSE())</f>
        <v>1</v>
      </c>
      <c r="J910" s="31" t="n">
        <v>2</v>
      </c>
      <c r="K910" s="50" t="str">
        <f aca="false">C910&amp;"|"&amp;J910</f>
        <v>MOB-H|2</v>
      </c>
      <c r="L910" s="31" t="s">
        <v>2580</v>
      </c>
      <c r="M910" s="31" t="n">
        <v>4</v>
      </c>
      <c r="N910" s="51" t="s">
        <v>462</v>
      </c>
      <c r="O910" s="35" t="s">
        <v>78</v>
      </c>
      <c r="P910" s="52"/>
      <c r="Q910" s="52"/>
      <c r="R910" s="33" t="n">
        <f aca="false">INDEX(Épopées!$L$6:$L$59,MATCH(K910,Épopées!$A$6:$A$59,0))</f>
        <v>46629</v>
      </c>
      <c r="S910" s="33" t="n">
        <f aca="false">INDEX(Épopées!$M$6:$M$59,MATCH(K910,Épopées!$A$6:$A$59,0))</f>
        <v>46653</v>
      </c>
      <c r="T910" s="53" t="s">
        <v>463</v>
      </c>
    </row>
    <row r="911" customFormat="false" ht="15" hidden="false" customHeight="false" outlineLevel="0" collapsed="false">
      <c r="A911" s="31" t="s">
        <v>2584</v>
      </c>
      <c r="B911" s="31" t="s">
        <v>342</v>
      </c>
      <c r="C911" s="31" t="s">
        <v>390</v>
      </c>
      <c r="D911" s="31" t="s">
        <v>170</v>
      </c>
      <c r="E911" s="31" t="s">
        <v>2585</v>
      </c>
      <c r="F911" s="31" t="s">
        <v>486</v>
      </c>
      <c r="G911" s="31" t="s">
        <v>461</v>
      </c>
      <c r="H911" s="31" t="s">
        <v>41</v>
      </c>
      <c r="I911" s="31" t="n">
        <f aca="false">VLOOKUP(H911,Paramètres!$A$15:$B$19,2,FALSE())</f>
        <v>1</v>
      </c>
      <c r="J911" s="31" t="n">
        <v>2</v>
      </c>
      <c r="K911" s="50" t="str">
        <f aca="false">C911&amp;"|"&amp;J911</f>
        <v>MOB-H|2</v>
      </c>
      <c r="L911" s="31" t="s">
        <v>2582</v>
      </c>
      <c r="M911" s="31" t="n">
        <v>4</v>
      </c>
      <c r="N911" s="51" t="s">
        <v>462</v>
      </c>
      <c r="O911" s="35" t="s">
        <v>78</v>
      </c>
      <c r="P911" s="52"/>
      <c r="Q911" s="52"/>
      <c r="R911" s="33" t="n">
        <f aca="false">INDEX(Épopées!$L$6:$L$59,MATCH(K911,Épopées!$A$6:$A$59,0))</f>
        <v>46629</v>
      </c>
      <c r="S911" s="33" t="n">
        <f aca="false">INDEX(Épopées!$M$6:$M$59,MATCH(K911,Épopées!$A$6:$A$59,0))</f>
        <v>46653</v>
      </c>
      <c r="T911" s="53" t="s">
        <v>463</v>
      </c>
    </row>
    <row r="912" customFormat="false" ht="15" hidden="false" customHeight="false" outlineLevel="0" collapsed="false">
      <c r="A912" s="31" t="s">
        <v>2586</v>
      </c>
      <c r="B912" s="31" t="s">
        <v>342</v>
      </c>
      <c r="C912" s="31" t="s">
        <v>390</v>
      </c>
      <c r="D912" s="31" t="s">
        <v>170</v>
      </c>
      <c r="E912" s="31" t="s">
        <v>2587</v>
      </c>
      <c r="F912" s="31" t="s">
        <v>491</v>
      </c>
      <c r="G912" s="31" t="s">
        <v>461</v>
      </c>
      <c r="H912" s="31" t="s">
        <v>39</v>
      </c>
      <c r="I912" s="31" t="n">
        <f aca="false">VLOOKUP(H912,Paramètres!$A$15:$B$19,2,FALSE())</f>
        <v>0.5</v>
      </c>
      <c r="J912" s="31" t="n">
        <v>2</v>
      </c>
      <c r="K912" s="50" t="str">
        <f aca="false">C912&amp;"|"&amp;J912</f>
        <v>MOB-H|2</v>
      </c>
      <c r="L912" s="31" t="s">
        <v>2584</v>
      </c>
      <c r="M912" s="31" t="n">
        <v>4</v>
      </c>
      <c r="N912" s="51" t="s">
        <v>462</v>
      </c>
      <c r="O912" s="35" t="s">
        <v>78</v>
      </c>
      <c r="P912" s="52"/>
      <c r="Q912" s="52"/>
      <c r="R912" s="33" t="n">
        <f aca="false">INDEX(Épopées!$L$6:$L$59,MATCH(K912,Épopées!$A$6:$A$59,0))</f>
        <v>46629</v>
      </c>
      <c r="S912" s="33" t="n">
        <f aca="false">INDEX(Épopées!$M$6:$M$59,MATCH(K912,Épopées!$A$6:$A$59,0))</f>
        <v>46653</v>
      </c>
      <c r="T912" s="53" t="s">
        <v>463</v>
      </c>
    </row>
    <row r="913" customFormat="false" ht="15" hidden="false" customHeight="false" outlineLevel="0" collapsed="false">
      <c r="A913" s="31" t="s">
        <v>2588</v>
      </c>
      <c r="B913" s="31" t="s">
        <v>342</v>
      </c>
      <c r="C913" s="31" t="s">
        <v>390</v>
      </c>
      <c r="D913" s="31" t="s">
        <v>170</v>
      </c>
      <c r="E913" s="31" t="s">
        <v>2589</v>
      </c>
      <c r="F913" s="31" t="s">
        <v>491</v>
      </c>
      <c r="G913" s="31" t="s">
        <v>461</v>
      </c>
      <c r="H913" s="31" t="s">
        <v>41</v>
      </c>
      <c r="I913" s="31" t="n">
        <f aca="false">VLOOKUP(H913,Paramètres!$A$15:$B$19,2,FALSE())</f>
        <v>1</v>
      </c>
      <c r="J913" s="31" t="n">
        <v>2</v>
      </c>
      <c r="K913" s="50" t="str">
        <f aca="false">C913&amp;"|"&amp;J913</f>
        <v>MOB-H|2</v>
      </c>
      <c r="L913" s="31" t="s">
        <v>2580</v>
      </c>
      <c r="M913" s="31" t="n">
        <v>3</v>
      </c>
      <c r="N913" s="51" t="s">
        <v>462</v>
      </c>
      <c r="O913" s="35" t="s">
        <v>78</v>
      </c>
      <c r="P913" s="52"/>
      <c r="Q913" s="52"/>
      <c r="R913" s="33" t="n">
        <f aca="false">INDEX(Épopées!$L$6:$L$59,MATCH(K913,Épopées!$A$6:$A$59,0))</f>
        <v>46629</v>
      </c>
      <c r="S913" s="33" t="n">
        <f aca="false">INDEX(Épopées!$M$6:$M$59,MATCH(K913,Épopées!$A$6:$A$59,0))</f>
        <v>46653</v>
      </c>
      <c r="T913" s="53" t="s">
        <v>463</v>
      </c>
    </row>
    <row r="914" customFormat="false" ht="15" hidden="false" customHeight="false" outlineLevel="0" collapsed="false">
      <c r="A914" s="31" t="s">
        <v>2590</v>
      </c>
      <c r="B914" s="31" t="s">
        <v>342</v>
      </c>
      <c r="C914" s="31" t="s">
        <v>390</v>
      </c>
      <c r="D914" s="31" t="s">
        <v>170</v>
      </c>
      <c r="E914" s="31" t="s">
        <v>2591</v>
      </c>
      <c r="F914" s="31" t="s">
        <v>491</v>
      </c>
      <c r="G914" s="31" t="s">
        <v>461</v>
      </c>
      <c r="H914" s="31" t="s">
        <v>43</v>
      </c>
      <c r="I914" s="31" t="n">
        <f aca="false">VLOOKUP(H914,Paramètres!$A$15:$B$19,2,FALSE())</f>
        <v>2</v>
      </c>
      <c r="J914" s="31" t="n">
        <v>2</v>
      </c>
      <c r="K914" s="50" t="str">
        <f aca="false">C914&amp;"|"&amp;J914</f>
        <v>MOB-H|2</v>
      </c>
      <c r="L914" s="31" t="s">
        <v>2592</v>
      </c>
      <c r="M914" s="31" t="n">
        <v>8</v>
      </c>
      <c r="N914" s="51" t="s">
        <v>462</v>
      </c>
      <c r="O914" s="35" t="s">
        <v>78</v>
      </c>
      <c r="P914" s="52"/>
      <c r="Q914" s="52"/>
      <c r="R914" s="33" t="n">
        <f aca="false">INDEX(Épopées!$L$6:$L$59,MATCH(K914,Épopées!$A$6:$A$59,0))</f>
        <v>46629</v>
      </c>
      <c r="S914" s="33" t="n">
        <f aca="false">INDEX(Épopées!$M$6:$M$59,MATCH(K914,Épopées!$A$6:$A$59,0))</f>
        <v>46653</v>
      </c>
      <c r="T914" s="53" t="s">
        <v>463</v>
      </c>
    </row>
    <row r="915" customFormat="false" ht="15" hidden="false" customHeight="false" outlineLevel="0" collapsed="false">
      <c r="A915" s="31" t="s">
        <v>2593</v>
      </c>
      <c r="B915" s="31" t="s">
        <v>342</v>
      </c>
      <c r="C915" s="31" t="s">
        <v>390</v>
      </c>
      <c r="D915" s="31" t="s">
        <v>170</v>
      </c>
      <c r="E915" s="31" t="s">
        <v>2594</v>
      </c>
      <c r="F915" s="31" t="s">
        <v>1623</v>
      </c>
      <c r="G915" s="31" t="s">
        <v>461</v>
      </c>
      <c r="H915" s="31" t="s">
        <v>41</v>
      </c>
      <c r="I915" s="31" t="n">
        <f aca="false">VLOOKUP(H915,Paramètres!$A$15:$B$19,2,FALSE())</f>
        <v>1</v>
      </c>
      <c r="J915" s="31" t="n">
        <v>2</v>
      </c>
      <c r="K915" s="50" t="str">
        <f aca="false">C915&amp;"|"&amp;J915</f>
        <v>MOB-H|2</v>
      </c>
      <c r="L915" s="31" t="s">
        <v>2590</v>
      </c>
      <c r="M915" s="31" t="n">
        <v>4</v>
      </c>
      <c r="N915" s="51" t="s">
        <v>462</v>
      </c>
      <c r="O915" s="35" t="s">
        <v>78</v>
      </c>
      <c r="P915" s="52"/>
      <c r="Q915" s="52"/>
      <c r="R915" s="33" t="n">
        <f aca="false">INDEX(Épopées!$L$6:$L$59,MATCH(K915,Épopées!$A$6:$A$59,0))</f>
        <v>46629</v>
      </c>
      <c r="S915" s="33" t="n">
        <f aca="false">INDEX(Épopées!$M$6:$M$59,MATCH(K915,Épopées!$A$6:$A$59,0))</f>
        <v>46653</v>
      </c>
      <c r="T915" s="53" t="s">
        <v>463</v>
      </c>
    </row>
    <row r="916" customFormat="false" ht="15" hidden="false" customHeight="false" outlineLevel="0" collapsed="false">
      <c r="A916" s="31" t="s">
        <v>2595</v>
      </c>
      <c r="B916" s="31" t="s">
        <v>342</v>
      </c>
      <c r="C916" s="31" t="s">
        <v>390</v>
      </c>
      <c r="D916" s="31" t="s">
        <v>170</v>
      </c>
      <c r="E916" s="31" t="s">
        <v>2596</v>
      </c>
      <c r="F916" s="31" t="s">
        <v>491</v>
      </c>
      <c r="G916" s="31" t="s">
        <v>461</v>
      </c>
      <c r="H916" s="31" t="s">
        <v>41</v>
      </c>
      <c r="I916" s="31" t="n">
        <f aca="false">VLOOKUP(H916,Paramètres!$A$15:$B$19,2,FALSE())</f>
        <v>1</v>
      </c>
      <c r="J916" s="31" t="n">
        <v>2</v>
      </c>
      <c r="K916" s="50" t="str">
        <f aca="false">C916&amp;"|"&amp;J916</f>
        <v>MOB-H|2</v>
      </c>
      <c r="L916" s="31" t="s">
        <v>2590</v>
      </c>
      <c r="M916" s="31" t="n">
        <v>3</v>
      </c>
      <c r="N916" s="51" t="s">
        <v>462</v>
      </c>
      <c r="O916" s="35" t="s">
        <v>78</v>
      </c>
      <c r="P916" s="52"/>
      <c r="Q916" s="52"/>
      <c r="R916" s="33" t="n">
        <f aca="false">INDEX(Épopées!$L$6:$L$59,MATCH(K916,Épopées!$A$6:$A$59,0))</f>
        <v>46629</v>
      </c>
      <c r="S916" s="33" t="n">
        <f aca="false">INDEX(Épopées!$M$6:$M$59,MATCH(K916,Épopées!$A$6:$A$59,0))</f>
        <v>46653</v>
      </c>
      <c r="T916" s="53" t="s">
        <v>463</v>
      </c>
    </row>
    <row r="917" customFormat="false" ht="15" hidden="false" customHeight="false" outlineLevel="0" collapsed="false">
      <c r="A917" s="31" t="s">
        <v>2597</v>
      </c>
      <c r="B917" s="31" t="s">
        <v>342</v>
      </c>
      <c r="C917" s="31" t="s">
        <v>390</v>
      </c>
      <c r="D917" s="31" t="s">
        <v>170</v>
      </c>
      <c r="E917" s="31" t="s">
        <v>2598</v>
      </c>
      <c r="F917" s="31" t="s">
        <v>1623</v>
      </c>
      <c r="G917" s="31" t="s">
        <v>461</v>
      </c>
      <c r="H917" s="31" t="s">
        <v>43</v>
      </c>
      <c r="I917" s="31" t="n">
        <f aca="false">VLOOKUP(H917,Paramètres!$A$15:$B$19,2,FALSE())</f>
        <v>2</v>
      </c>
      <c r="J917" s="31" t="n">
        <v>2</v>
      </c>
      <c r="K917" s="50" t="str">
        <f aca="false">C917&amp;"|"&amp;J917</f>
        <v>MOB-H|2</v>
      </c>
      <c r="L917" s="31" t="s">
        <v>2599</v>
      </c>
      <c r="M917" s="31" t="n">
        <v>1</v>
      </c>
      <c r="N917" s="51" t="s">
        <v>462</v>
      </c>
      <c r="O917" s="35" t="s">
        <v>78</v>
      </c>
      <c r="P917" s="52"/>
      <c r="Q917" s="52"/>
      <c r="R917" s="33" t="n">
        <f aca="false">INDEX(Épopées!$L$6:$L$59,MATCH(K917,Épopées!$A$6:$A$59,0))</f>
        <v>46629</v>
      </c>
      <c r="S917" s="33" t="n">
        <f aca="false">INDEX(Épopées!$M$6:$M$59,MATCH(K917,Épopées!$A$6:$A$59,0))</f>
        <v>46653</v>
      </c>
      <c r="T917" s="53" t="s">
        <v>463</v>
      </c>
    </row>
    <row r="918" customFormat="false" ht="15" hidden="false" customHeight="false" outlineLevel="0" collapsed="false">
      <c r="A918" s="31" t="s">
        <v>2600</v>
      </c>
      <c r="B918" s="31" t="s">
        <v>342</v>
      </c>
      <c r="C918" s="31" t="s">
        <v>390</v>
      </c>
      <c r="D918" s="31" t="s">
        <v>170</v>
      </c>
      <c r="E918" s="31" t="s">
        <v>2601</v>
      </c>
      <c r="F918" s="31" t="s">
        <v>1623</v>
      </c>
      <c r="G918" s="31" t="s">
        <v>461</v>
      </c>
      <c r="H918" s="31" t="s">
        <v>43</v>
      </c>
      <c r="I918" s="31" t="n">
        <f aca="false">VLOOKUP(H918,Paramètres!$A$15:$B$19,2,FALSE())</f>
        <v>2</v>
      </c>
      <c r="J918" s="31" t="n">
        <v>2</v>
      </c>
      <c r="K918" s="50" t="str">
        <f aca="false">C918&amp;"|"&amp;J918</f>
        <v>MOB-H|2</v>
      </c>
      <c r="L918" s="31" t="s">
        <v>2588</v>
      </c>
      <c r="M918" s="31" t="n">
        <v>1</v>
      </c>
      <c r="N918" s="51" t="s">
        <v>462</v>
      </c>
      <c r="O918" s="35" t="s">
        <v>78</v>
      </c>
      <c r="P918" s="52"/>
      <c r="Q918" s="52"/>
      <c r="R918" s="33" t="n">
        <f aca="false">INDEX(Épopées!$L$6:$L$59,MATCH(K918,Épopées!$A$6:$A$59,0))</f>
        <v>46629</v>
      </c>
      <c r="S918" s="33" t="n">
        <f aca="false">INDEX(Épopées!$M$6:$M$59,MATCH(K918,Épopées!$A$6:$A$59,0))</f>
        <v>46653</v>
      </c>
      <c r="T918" s="53" t="s">
        <v>463</v>
      </c>
    </row>
    <row r="919" customFormat="false" ht="15" hidden="false" customHeight="false" outlineLevel="0" collapsed="false">
      <c r="A919" s="31" t="s">
        <v>2602</v>
      </c>
      <c r="B919" s="31" t="s">
        <v>342</v>
      </c>
      <c r="C919" s="31" t="s">
        <v>390</v>
      </c>
      <c r="D919" s="31" t="s">
        <v>170</v>
      </c>
      <c r="E919" s="31" t="s">
        <v>2603</v>
      </c>
      <c r="F919" s="31" t="s">
        <v>491</v>
      </c>
      <c r="G919" s="31" t="s">
        <v>466</v>
      </c>
      <c r="H919" s="31" t="s">
        <v>43</v>
      </c>
      <c r="I919" s="31" t="n">
        <f aca="false">VLOOKUP(H919,Paramètres!$A$15:$B$19,2,FALSE())</f>
        <v>2</v>
      </c>
      <c r="J919" s="31" t="n">
        <v>2</v>
      </c>
      <c r="K919" s="50" t="str">
        <f aca="false">C919&amp;"|"&amp;J919</f>
        <v>MOB-H|2</v>
      </c>
      <c r="L919" s="31" t="s">
        <v>2604</v>
      </c>
      <c r="M919" s="31" t="n">
        <v>3</v>
      </c>
      <c r="N919" s="51" t="s">
        <v>462</v>
      </c>
      <c r="O919" s="35" t="s">
        <v>78</v>
      </c>
      <c r="P919" s="52"/>
      <c r="Q919" s="52"/>
      <c r="R919" s="33" t="n">
        <f aca="false">INDEX(Épopées!$L$6:$L$59,MATCH(K919,Épopées!$A$6:$A$59,0))</f>
        <v>46629</v>
      </c>
      <c r="S919" s="33" t="n">
        <f aca="false">INDEX(Épopées!$M$6:$M$59,MATCH(K919,Épopées!$A$6:$A$59,0))</f>
        <v>46653</v>
      </c>
      <c r="T919" s="53" t="s">
        <v>463</v>
      </c>
    </row>
    <row r="920" customFormat="false" ht="15" hidden="false" customHeight="false" outlineLevel="0" collapsed="false">
      <c r="A920" s="31" t="s">
        <v>2605</v>
      </c>
      <c r="B920" s="31" t="s">
        <v>342</v>
      </c>
      <c r="C920" s="31" t="s">
        <v>390</v>
      </c>
      <c r="D920" s="31" t="s">
        <v>170</v>
      </c>
      <c r="E920" s="31" t="s">
        <v>2606</v>
      </c>
      <c r="F920" s="31" t="s">
        <v>1623</v>
      </c>
      <c r="G920" s="31" t="s">
        <v>461</v>
      </c>
      <c r="H920" s="31" t="s">
        <v>39</v>
      </c>
      <c r="I920" s="31" t="n">
        <f aca="false">VLOOKUP(H920,Paramètres!$A$15:$B$19,2,FALSE())</f>
        <v>0.5</v>
      </c>
      <c r="J920" s="31" t="n">
        <v>2</v>
      </c>
      <c r="K920" s="50" t="str">
        <f aca="false">C920&amp;"|"&amp;J920</f>
        <v>MOB-H|2</v>
      </c>
      <c r="L920" s="31" t="s">
        <v>2600</v>
      </c>
      <c r="M920" s="31" t="n">
        <v>1</v>
      </c>
      <c r="N920" s="51" t="s">
        <v>462</v>
      </c>
      <c r="O920" s="35" t="s">
        <v>78</v>
      </c>
      <c r="P920" s="52"/>
      <c r="Q920" s="52"/>
      <c r="R920" s="33" t="n">
        <f aca="false">INDEX(Épopées!$L$6:$L$59,MATCH(K920,Épopées!$A$6:$A$59,0))</f>
        <v>46629</v>
      </c>
      <c r="S920" s="33" t="n">
        <f aca="false">INDEX(Épopées!$M$6:$M$59,MATCH(K920,Épopées!$A$6:$A$59,0))</f>
        <v>46653</v>
      </c>
      <c r="T920" s="53" t="s">
        <v>463</v>
      </c>
    </row>
    <row r="921" customFormat="false" ht="15" hidden="false" customHeight="false" outlineLevel="0" collapsed="false">
      <c r="A921" s="31" t="s">
        <v>2607</v>
      </c>
      <c r="B921" s="31" t="s">
        <v>342</v>
      </c>
      <c r="C921" s="31" t="s">
        <v>390</v>
      </c>
      <c r="D921" s="31" t="s">
        <v>170</v>
      </c>
      <c r="E921" s="31" t="s">
        <v>2608</v>
      </c>
      <c r="F921" s="31" t="s">
        <v>1623</v>
      </c>
      <c r="G921" s="31" t="s">
        <v>461</v>
      </c>
      <c r="H921" s="31" t="s">
        <v>41</v>
      </c>
      <c r="I921" s="31" t="n">
        <f aca="false">VLOOKUP(H921,Paramètres!$A$15:$B$19,2,FALSE())</f>
        <v>1</v>
      </c>
      <c r="J921" s="31" t="n">
        <v>2</v>
      </c>
      <c r="K921" s="50" t="str">
        <f aca="false">C921&amp;"|"&amp;J921</f>
        <v>MOB-H|2</v>
      </c>
      <c r="L921" s="31" t="s">
        <v>2609</v>
      </c>
      <c r="M921" s="31" t="n">
        <v>1</v>
      </c>
      <c r="N921" s="51" t="s">
        <v>462</v>
      </c>
      <c r="O921" s="35" t="s">
        <v>78</v>
      </c>
      <c r="P921" s="52"/>
      <c r="Q921" s="52"/>
      <c r="R921" s="33" t="n">
        <f aca="false">INDEX(Épopées!$L$6:$L$59,MATCH(K921,Épopées!$A$6:$A$59,0))</f>
        <v>46629</v>
      </c>
      <c r="S921" s="33" t="n">
        <f aca="false">INDEX(Épopées!$M$6:$M$59,MATCH(K921,Épopées!$A$6:$A$59,0))</f>
        <v>46653</v>
      </c>
      <c r="T921" s="53" t="s">
        <v>463</v>
      </c>
    </row>
    <row r="922" customFormat="false" ht="15" hidden="false" customHeight="false" outlineLevel="0" collapsed="false">
      <c r="A922" s="31" t="s">
        <v>2610</v>
      </c>
      <c r="B922" s="31" t="s">
        <v>342</v>
      </c>
      <c r="C922" s="31" t="s">
        <v>390</v>
      </c>
      <c r="D922" s="31" t="s">
        <v>170</v>
      </c>
      <c r="E922" s="31" t="s">
        <v>2611</v>
      </c>
      <c r="F922" s="31" t="s">
        <v>1623</v>
      </c>
      <c r="G922" s="31" t="s">
        <v>461</v>
      </c>
      <c r="H922" s="31" t="s">
        <v>43</v>
      </c>
      <c r="I922" s="31" t="n">
        <f aca="false">VLOOKUP(H922,Paramètres!$A$15:$B$19,2,FALSE())</f>
        <v>2</v>
      </c>
      <c r="J922" s="31" t="n">
        <v>2</v>
      </c>
      <c r="K922" s="50" t="str">
        <f aca="false">C922&amp;"|"&amp;J922</f>
        <v>MOB-H|2</v>
      </c>
      <c r="L922" s="31" t="s">
        <v>2612</v>
      </c>
      <c r="M922" s="31" t="n">
        <v>1</v>
      </c>
      <c r="N922" s="51" t="s">
        <v>462</v>
      </c>
      <c r="O922" s="35" t="s">
        <v>78</v>
      </c>
      <c r="P922" s="52"/>
      <c r="Q922" s="52"/>
      <c r="R922" s="33" t="n">
        <f aca="false">INDEX(Épopées!$L$6:$L$59,MATCH(K922,Épopées!$A$6:$A$59,0))</f>
        <v>46629</v>
      </c>
      <c r="S922" s="33" t="n">
        <f aca="false">INDEX(Épopées!$M$6:$M$59,MATCH(K922,Épopées!$A$6:$A$59,0))</f>
        <v>46653</v>
      </c>
      <c r="T922" s="53" t="s">
        <v>463</v>
      </c>
    </row>
    <row r="923" customFormat="false" ht="15" hidden="false" customHeight="false" outlineLevel="0" collapsed="false">
      <c r="A923" s="31" t="s">
        <v>2613</v>
      </c>
      <c r="B923" s="31" t="s">
        <v>342</v>
      </c>
      <c r="C923" s="31" t="s">
        <v>390</v>
      </c>
      <c r="D923" s="31" t="s">
        <v>170</v>
      </c>
      <c r="E923" s="31" t="s">
        <v>2614</v>
      </c>
      <c r="F923" s="31" t="s">
        <v>491</v>
      </c>
      <c r="G923" s="31" t="s">
        <v>466</v>
      </c>
      <c r="H923" s="31" t="s">
        <v>41</v>
      </c>
      <c r="I923" s="31" t="n">
        <f aca="false">VLOOKUP(H923,Paramètres!$A$15:$B$19,2,FALSE())</f>
        <v>1</v>
      </c>
      <c r="J923" s="31" t="n">
        <v>2</v>
      </c>
      <c r="K923" s="50" t="str">
        <f aca="false">C923&amp;"|"&amp;J923</f>
        <v>MOB-H|2</v>
      </c>
      <c r="L923" s="31" t="s">
        <v>2586</v>
      </c>
      <c r="M923" s="31" t="n">
        <v>1</v>
      </c>
      <c r="N923" s="51" t="s">
        <v>462</v>
      </c>
      <c r="O923" s="35" t="s">
        <v>78</v>
      </c>
      <c r="P923" s="52"/>
      <c r="Q923" s="52"/>
      <c r="R923" s="33" t="n">
        <f aca="false">INDEX(Épopées!$L$6:$L$59,MATCH(K923,Épopées!$A$6:$A$59,0))</f>
        <v>46629</v>
      </c>
      <c r="S923" s="33" t="n">
        <f aca="false">INDEX(Épopées!$M$6:$M$59,MATCH(K923,Épopées!$A$6:$A$59,0))</f>
        <v>46653</v>
      </c>
      <c r="T923" s="53" t="s">
        <v>463</v>
      </c>
    </row>
    <row r="924" customFormat="false" ht="15" hidden="false" customHeight="false" outlineLevel="0" collapsed="false">
      <c r="A924" s="31" t="s">
        <v>2615</v>
      </c>
      <c r="B924" s="31" t="s">
        <v>342</v>
      </c>
      <c r="C924" s="31" t="s">
        <v>390</v>
      </c>
      <c r="D924" s="31" t="s">
        <v>170</v>
      </c>
      <c r="E924" s="31" t="s">
        <v>2616</v>
      </c>
      <c r="F924" s="31" t="s">
        <v>1623</v>
      </c>
      <c r="G924" s="31" t="s">
        <v>461</v>
      </c>
      <c r="H924" s="31" t="s">
        <v>41</v>
      </c>
      <c r="I924" s="31" t="n">
        <f aca="false">VLOOKUP(H924,Paramètres!$A$15:$B$19,2,FALSE())</f>
        <v>1</v>
      </c>
      <c r="J924" s="31" t="n">
        <v>2</v>
      </c>
      <c r="K924" s="50" t="str">
        <f aca="false">C924&amp;"|"&amp;J924</f>
        <v>MOB-H|2</v>
      </c>
      <c r="L924" s="31" t="s">
        <v>2604</v>
      </c>
      <c r="M924" s="31" t="n">
        <v>1</v>
      </c>
      <c r="N924" s="51" t="s">
        <v>462</v>
      </c>
      <c r="O924" s="35" t="s">
        <v>78</v>
      </c>
      <c r="P924" s="52"/>
      <c r="Q924" s="52"/>
      <c r="R924" s="33" t="n">
        <f aca="false">INDEX(Épopées!$L$6:$L$59,MATCH(K924,Épopées!$A$6:$A$59,0))</f>
        <v>46629</v>
      </c>
      <c r="S924" s="33" t="n">
        <f aca="false">INDEX(Épopées!$M$6:$M$59,MATCH(K924,Épopées!$A$6:$A$59,0))</f>
        <v>46653</v>
      </c>
      <c r="T924" s="53" t="s">
        <v>463</v>
      </c>
    </row>
    <row r="925" customFormat="false" ht="15" hidden="false" customHeight="false" outlineLevel="0" collapsed="false">
      <c r="A925" s="31" t="s">
        <v>2617</v>
      </c>
      <c r="B925" s="31" t="s">
        <v>342</v>
      </c>
      <c r="C925" s="31" t="s">
        <v>390</v>
      </c>
      <c r="D925" s="31" t="s">
        <v>170</v>
      </c>
      <c r="E925" s="31" t="s">
        <v>2618</v>
      </c>
      <c r="F925" s="31" t="s">
        <v>1623</v>
      </c>
      <c r="G925" s="31" t="s">
        <v>461</v>
      </c>
      <c r="H925" s="31" t="s">
        <v>39</v>
      </c>
      <c r="I925" s="31" t="n">
        <f aca="false">VLOOKUP(H925,Paramètres!$A$15:$B$19,2,FALSE())</f>
        <v>0.5</v>
      </c>
      <c r="J925" s="31" t="n">
        <v>2</v>
      </c>
      <c r="K925" s="50" t="str">
        <f aca="false">C925&amp;"|"&amp;J925</f>
        <v>MOB-H|2</v>
      </c>
      <c r="L925" s="31" t="s">
        <v>2619</v>
      </c>
      <c r="M925" s="31" t="n">
        <v>1</v>
      </c>
      <c r="N925" s="51" t="s">
        <v>462</v>
      </c>
      <c r="O925" s="35" t="s">
        <v>78</v>
      </c>
      <c r="P925" s="52"/>
      <c r="Q925" s="52"/>
      <c r="R925" s="33" t="n">
        <f aca="false">INDEX(Épopées!$L$6:$L$59,MATCH(K925,Épopées!$A$6:$A$59,0))</f>
        <v>46629</v>
      </c>
      <c r="S925" s="33" t="n">
        <f aca="false">INDEX(Épopées!$M$6:$M$59,MATCH(K925,Épopées!$A$6:$A$59,0))</f>
        <v>46653</v>
      </c>
      <c r="T925" s="53" t="s">
        <v>463</v>
      </c>
    </row>
    <row r="926" customFormat="false" ht="15" hidden="false" customHeight="false" outlineLevel="0" collapsed="false">
      <c r="A926" s="31" t="s">
        <v>2620</v>
      </c>
      <c r="B926" s="31" t="s">
        <v>342</v>
      </c>
      <c r="C926" s="31" t="s">
        <v>390</v>
      </c>
      <c r="D926" s="31" t="s">
        <v>170</v>
      </c>
      <c r="E926" s="31" t="s">
        <v>2621</v>
      </c>
      <c r="F926" s="31" t="s">
        <v>1623</v>
      </c>
      <c r="G926" s="31" t="s">
        <v>461</v>
      </c>
      <c r="H926" s="31" t="s">
        <v>39</v>
      </c>
      <c r="I926" s="31" t="n">
        <f aca="false">VLOOKUP(H926,Paramètres!$A$15:$B$19,2,FALSE())</f>
        <v>0.5</v>
      </c>
      <c r="J926" s="31" t="n">
        <v>2</v>
      </c>
      <c r="K926" s="50" t="str">
        <f aca="false">C926&amp;"|"&amp;J926</f>
        <v>MOB-H|2</v>
      </c>
      <c r="L926" s="31" t="s">
        <v>2617</v>
      </c>
      <c r="M926" s="31" t="n">
        <v>1</v>
      </c>
      <c r="N926" s="51" t="s">
        <v>462</v>
      </c>
      <c r="O926" s="35" t="s">
        <v>78</v>
      </c>
      <c r="P926" s="52"/>
      <c r="Q926" s="52"/>
      <c r="R926" s="33" t="n">
        <f aca="false">INDEX(Épopées!$L$6:$L$59,MATCH(K926,Épopées!$A$6:$A$59,0))</f>
        <v>46629</v>
      </c>
      <c r="S926" s="33" t="n">
        <f aca="false">INDEX(Épopées!$M$6:$M$59,MATCH(K926,Épopées!$A$6:$A$59,0))</f>
        <v>46653</v>
      </c>
      <c r="T926" s="53" t="s">
        <v>463</v>
      </c>
    </row>
    <row r="927" customFormat="false" ht="15" hidden="false" customHeight="false" outlineLevel="0" collapsed="false">
      <c r="A927" s="31" t="s">
        <v>2622</v>
      </c>
      <c r="B927" s="31" t="s">
        <v>342</v>
      </c>
      <c r="C927" s="31" t="s">
        <v>390</v>
      </c>
      <c r="D927" s="31" t="s">
        <v>170</v>
      </c>
      <c r="E927" s="31" t="s">
        <v>2623</v>
      </c>
      <c r="F927" s="31" t="s">
        <v>1623</v>
      </c>
      <c r="G927" s="31" t="s">
        <v>461</v>
      </c>
      <c r="H927" s="31" t="s">
        <v>41</v>
      </c>
      <c r="I927" s="31" t="n">
        <f aca="false">VLOOKUP(H927,Paramètres!$A$15:$B$19,2,FALSE())</f>
        <v>1</v>
      </c>
      <c r="J927" s="31" t="n">
        <v>2</v>
      </c>
      <c r="K927" s="50" t="str">
        <f aca="false">C927&amp;"|"&amp;J927</f>
        <v>MOB-H|2</v>
      </c>
      <c r="L927" s="31" t="s">
        <v>2624</v>
      </c>
      <c r="M927" s="31" t="n">
        <v>1</v>
      </c>
      <c r="N927" s="51" t="s">
        <v>462</v>
      </c>
      <c r="O927" s="35" t="s">
        <v>78</v>
      </c>
      <c r="P927" s="52"/>
      <c r="Q927" s="52"/>
      <c r="R927" s="33" t="n">
        <f aca="false">INDEX(Épopées!$L$6:$L$59,MATCH(K927,Épopées!$A$6:$A$59,0))</f>
        <v>46629</v>
      </c>
      <c r="S927" s="33" t="n">
        <f aca="false">INDEX(Épopées!$M$6:$M$59,MATCH(K927,Épopées!$A$6:$A$59,0))</f>
        <v>46653</v>
      </c>
      <c r="T927" s="53" t="s">
        <v>463</v>
      </c>
    </row>
    <row r="928" customFormat="false" ht="15" hidden="false" customHeight="false" outlineLevel="0" collapsed="false">
      <c r="A928" s="31" t="s">
        <v>2625</v>
      </c>
      <c r="B928" s="31" t="s">
        <v>342</v>
      </c>
      <c r="C928" s="31" t="s">
        <v>390</v>
      </c>
      <c r="D928" s="31" t="s">
        <v>170</v>
      </c>
      <c r="E928" s="31" t="s">
        <v>2626</v>
      </c>
      <c r="F928" s="31" t="s">
        <v>1623</v>
      </c>
      <c r="G928" s="31" t="s">
        <v>461</v>
      </c>
      <c r="H928" s="31" t="s">
        <v>43</v>
      </c>
      <c r="I928" s="31" t="n">
        <f aca="false">VLOOKUP(H928,Paramètres!$A$15:$B$19,2,FALSE())</f>
        <v>2</v>
      </c>
      <c r="J928" s="31" t="n">
        <v>2</v>
      </c>
      <c r="K928" s="50" t="str">
        <f aca="false">C928&amp;"|"&amp;J928</f>
        <v>MOB-H|2</v>
      </c>
      <c r="L928" s="31" t="s">
        <v>2604</v>
      </c>
      <c r="M928" s="31" t="n">
        <v>1</v>
      </c>
      <c r="N928" s="51" t="s">
        <v>462</v>
      </c>
      <c r="O928" s="35" t="s">
        <v>78</v>
      </c>
      <c r="P928" s="52"/>
      <c r="Q928" s="52"/>
      <c r="R928" s="33" t="n">
        <f aca="false">INDEX(Épopées!$L$6:$L$59,MATCH(K928,Épopées!$A$6:$A$59,0))</f>
        <v>46629</v>
      </c>
      <c r="S928" s="33" t="n">
        <f aca="false">INDEX(Épopées!$M$6:$M$59,MATCH(K928,Épopées!$A$6:$A$59,0))</f>
        <v>46653</v>
      </c>
      <c r="T928" s="53" t="s">
        <v>463</v>
      </c>
    </row>
    <row r="929" customFormat="false" ht="15" hidden="false" customHeight="false" outlineLevel="0" collapsed="false">
      <c r="A929" s="31" t="s">
        <v>2627</v>
      </c>
      <c r="B929" s="31" t="s">
        <v>342</v>
      </c>
      <c r="C929" s="31" t="s">
        <v>390</v>
      </c>
      <c r="D929" s="31" t="s">
        <v>170</v>
      </c>
      <c r="E929" s="31" t="s">
        <v>2628</v>
      </c>
      <c r="F929" s="31" t="s">
        <v>1623</v>
      </c>
      <c r="G929" s="31" t="s">
        <v>466</v>
      </c>
      <c r="H929" s="31" t="s">
        <v>41</v>
      </c>
      <c r="I929" s="31" t="n">
        <f aca="false">VLOOKUP(H929,Paramètres!$A$15:$B$19,2,FALSE())</f>
        <v>1</v>
      </c>
      <c r="J929" s="31" t="n">
        <v>2</v>
      </c>
      <c r="K929" s="50" t="str">
        <f aca="false">C929&amp;"|"&amp;J929</f>
        <v>MOB-H|2</v>
      </c>
      <c r="L929" s="31" t="s">
        <v>2629</v>
      </c>
      <c r="M929" s="31" t="n">
        <v>1</v>
      </c>
      <c r="N929" s="51" t="s">
        <v>462</v>
      </c>
      <c r="O929" s="35" t="s">
        <v>78</v>
      </c>
      <c r="P929" s="52"/>
      <c r="Q929" s="52"/>
      <c r="R929" s="33" t="n">
        <f aca="false">INDEX(Épopées!$L$6:$L$59,MATCH(K929,Épopées!$A$6:$A$59,0))</f>
        <v>46629</v>
      </c>
      <c r="S929" s="33" t="n">
        <f aca="false">INDEX(Épopées!$M$6:$M$59,MATCH(K929,Épopées!$A$6:$A$59,0))</f>
        <v>46653</v>
      </c>
      <c r="T929" s="53" t="s">
        <v>463</v>
      </c>
    </row>
    <row r="930" customFormat="false" ht="15" hidden="false" customHeight="false" outlineLevel="0" collapsed="false">
      <c r="A930" s="31" t="s">
        <v>2630</v>
      </c>
      <c r="B930" s="31" t="s">
        <v>342</v>
      </c>
      <c r="C930" s="31" t="s">
        <v>390</v>
      </c>
      <c r="D930" s="31" t="s">
        <v>170</v>
      </c>
      <c r="E930" s="31" t="s">
        <v>2631</v>
      </c>
      <c r="F930" s="31" t="s">
        <v>1623</v>
      </c>
      <c r="G930" s="31" t="s">
        <v>461</v>
      </c>
      <c r="H930" s="31" t="s">
        <v>41</v>
      </c>
      <c r="I930" s="31" t="n">
        <f aca="false">VLOOKUP(H930,Paramètres!$A$15:$B$19,2,FALSE())</f>
        <v>1</v>
      </c>
      <c r="J930" s="31" t="n">
        <v>2</v>
      </c>
      <c r="K930" s="50" t="str">
        <f aca="false">C930&amp;"|"&amp;J930</f>
        <v>MOB-H|2</v>
      </c>
      <c r="L930" s="31" t="s">
        <v>2632</v>
      </c>
      <c r="M930" s="31" t="n">
        <v>1</v>
      </c>
      <c r="N930" s="51" t="s">
        <v>462</v>
      </c>
      <c r="O930" s="35" t="s">
        <v>78</v>
      </c>
      <c r="P930" s="52"/>
      <c r="Q930" s="52"/>
      <c r="R930" s="33" t="n">
        <f aca="false">INDEX(Épopées!$L$6:$L$59,MATCH(K930,Épopées!$A$6:$A$59,0))</f>
        <v>46629</v>
      </c>
      <c r="S930" s="33" t="n">
        <f aca="false">INDEX(Épopées!$M$6:$M$59,MATCH(K930,Épopées!$A$6:$A$59,0))</f>
        <v>46653</v>
      </c>
      <c r="T930" s="53" t="s">
        <v>463</v>
      </c>
    </row>
    <row r="931" customFormat="false" ht="15" hidden="false" customHeight="false" outlineLevel="0" collapsed="false">
      <c r="A931" s="31" t="s">
        <v>2633</v>
      </c>
      <c r="B931" s="31" t="s">
        <v>342</v>
      </c>
      <c r="C931" s="31" t="s">
        <v>390</v>
      </c>
      <c r="D931" s="31" t="s">
        <v>170</v>
      </c>
      <c r="E931" s="31" t="s">
        <v>2634</v>
      </c>
      <c r="F931" s="31" t="s">
        <v>1623</v>
      </c>
      <c r="G931" s="31" t="s">
        <v>466</v>
      </c>
      <c r="H931" s="31" t="s">
        <v>41</v>
      </c>
      <c r="I931" s="31" t="n">
        <f aca="false">VLOOKUP(H931,Paramètres!$A$15:$B$19,2,FALSE())</f>
        <v>1</v>
      </c>
      <c r="J931" s="31" t="n">
        <v>2</v>
      </c>
      <c r="K931" s="50" t="str">
        <f aca="false">C931&amp;"|"&amp;J931</f>
        <v>MOB-H|2</v>
      </c>
      <c r="L931" s="31" t="s">
        <v>2630</v>
      </c>
      <c r="M931" s="31" t="n">
        <v>1</v>
      </c>
      <c r="N931" s="51" t="s">
        <v>462</v>
      </c>
      <c r="O931" s="35" t="s">
        <v>78</v>
      </c>
      <c r="P931" s="52"/>
      <c r="Q931" s="52"/>
      <c r="R931" s="33" t="n">
        <f aca="false">INDEX(Épopées!$L$6:$L$59,MATCH(K931,Épopées!$A$6:$A$59,0))</f>
        <v>46629</v>
      </c>
      <c r="S931" s="33" t="n">
        <f aca="false">INDEX(Épopées!$M$6:$M$59,MATCH(K931,Épopées!$A$6:$A$59,0))</f>
        <v>46653</v>
      </c>
      <c r="T931" s="53" t="s">
        <v>463</v>
      </c>
    </row>
    <row r="932" customFormat="false" ht="15" hidden="false" customHeight="false" outlineLevel="0" collapsed="false">
      <c r="A932" s="31" t="s">
        <v>2635</v>
      </c>
      <c r="B932" s="31" t="s">
        <v>342</v>
      </c>
      <c r="C932" s="31" t="s">
        <v>390</v>
      </c>
      <c r="D932" s="31" t="s">
        <v>170</v>
      </c>
      <c r="E932" s="31" t="s">
        <v>2636</v>
      </c>
      <c r="F932" s="31" t="s">
        <v>1623</v>
      </c>
      <c r="G932" s="31" t="s">
        <v>461</v>
      </c>
      <c r="H932" s="31" t="s">
        <v>41</v>
      </c>
      <c r="I932" s="31" t="n">
        <f aca="false">VLOOKUP(H932,Paramètres!$A$15:$B$19,2,FALSE())</f>
        <v>1</v>
      </c>
      <c r="J932" s="31" t="n">
        <v>2</v>
      </c>
      <c r="K932" s="50" t="str">
        <f aca="false">C932&amp;"|"&amp;J932</f>
        <v>MOB-H|2</v>
      </c>
      <c r="L932" s="31" t="s">
        <v>2584</v>
      </c>
      <c r="M932" s="31" t="n">
        <v>1</v>
      </c>
      <c r="N932" s="51" t="s">
        <v>462</v>
      </c>
      <c r="O932" s="35" t="s">
        <v>78</v>
      </c>
      <c r="P932" s="52"/>
      <c r="Q932" s="52"/>
      <c r="R932" s="33" t="n">
        <f aca="false">INDEX(Épopées!$L$6:$L$59,MATCH(K932,Épopées!$A$6:$A$59,0))</f>
        <v>46629</v>
      </c>
      <c r="S932" s="33" t="n">
        <f aca="false">INDEX(Épopées!$M$6:$M$59,MATCH(K932,Épopées!$A$6:$A$59,0))</f>
        <v>46653</v>
      </c>
      <c r="T932" s="53" t="s">
        <v>463</v>
      </c>
    </row>
    <row r="933" customFormat="false" ht="15" hidden="false" customHeight="false" outlineLevel="0" collapsed="false">
      <c r="A933" s="31" t="s">
        <v>2637</v>
      </c>
      <c r="B933" s="31" t="s">
        <v>342</v>
      </c>
      <c r="C933" s="31" t="s">
        <v>390</v>
      </c>
      <c r="D933" s="31" t="s">
        <v>170</v>
      </c>
      <c r="E933" s="31" t="s">
        <v>2638</v>
      </c>
      <c r="F933" s="31" t="s">
        <v>491</v>
      </c>
      <c r="G933" s="31" t="s">
        <v>466</v>
      </c>
      <c r="H933" s="31" t="s">
        <v>43</v>
      </c>
      <c r="I933" s="31" t="n">
        <f aca="false">VLOOKUP(H933,Paramètres!$A$15:$B$19,2,FALSE())</f>
        <v>2</v>
      </c>
      <c r="J933" s="31" t="n">
        <v>2</v>
      </c>
      <c r="K933" s="50" t="str">
        <f aca="false">C933&amp;"|"&amp;J933</f>
        <v>MOB-H|2</v>
      </c>
      <c r="L933" s="31" t="s">
        <v>2586</v>
      </c>
      <c r="M933" s="31" t="n">
        <v>2</v>
      </c>
      <c r="N933" s="51" t="s">
        <v>462</v>
      </c>
      <c r="O933" s="35" t="s">
        <v>78</v>
      </c>
      <c r="P933" s="52"/>
      <c r="Q933" s="52"/>
      <c r="R933" s="33" t="n">
        <f aca="false">INDEX(Épopées!$L$6:$L$59,MATCH(K933,Épopées!$A$6:$A$59,0))</f>
        <v>46629</v>
      </c>
      <c r="S933" s="33" t="n">
        <f aca="false">INDEX(Épopées!$M$6:$M$59,MATCH(K933,Épopées!$A$6:$A$59,0))</f>
        <v>46653</v>
      </c>
      <c r="T933" s="53" t="s">
        <v>463</v>
      </c>
    </row>
    <row r="934" customFormat="false" ht="15" hidden="false" customHeight="false" outlineLevel="0" collapsed="false">
      <c r="A934" s="31" t="s">
        <v>2639</v>
      </c>
      <c r="B934" s="31" t="s">
        <v>342</v>
      </c>
      <c r="C934" s="31" t="s">
        <v>390</v>
      </c>
      <c r="D934" s="31" t="s">
        <v>170</v>
      </c>
      <c r="E934" s="31" t="s">
        <v>2640</v>
      </c>
      <c r="F934" s="31" t="s">
        <v>1623</v>
      </c>
      <c r="G934" s="31" t="s">
        <v>466</v>
      </c>
      <c r="H934" s="31" t="s">
        <v>41</v>
      </c>
      <c r="I934" s="31" t="n">
        <f aca="false">VLOOKUP(H934,Paramètres!$A$15:$B$19,2,FALSE())</f>
        <v>1</v>
      </c>
      <c r="J934" s="31" t="n">
        <v>2</v>
      </c>
      <c r="K934" s="50" t="str">
        <f aca="false">C934&amp;"|"&amp;J934</f>
        <v>MOB-H|2</v>
      </c>
      <c r="L934" s="31" t="s">
        <v>2637</v>
      </c>
      <c r="M934" s="31" t="n">
        <v>1</v>
      </c>
      <c r="N934" s="51" t="s">
        <v>462</v>
      </c>
      <c r="O934" s="35" t="s">
        <v>78</v>
      </c>
      <c r="P934" s="52"/>
      <c r="Q934" s="52"/>
      <c r="R934" s="33" t="n">
        <f aca="false">INDEX(Épopées!$L$6:$L$59,MATCH(K934,Épopées!$A$6:$A$59,0))</f>
        <v>46629</v>
      </c>
      <c r="S934" s="33" t="n">
        <f aca="false">INDEX(Épopées!$M$6:$M$59,MATCH(K934,Épopées!$A$6:$A$59,0))</f>
        <v>46653</v>
      </c>
      <c r="T934" s="53" t="s">
        <v>463</v>
      </c>
    </row>
    <row r="935" customFormat="false" ht="15" hidden="false" customHeight="false" outlineLevel="0" collapsed="false">
      <c r="A935" s="31" t="s">
        <v>2641</v>
      </c>
      <c r="B935" s="31" t="s">
        <v>342</v>
      </c>
      <c r="C935" s="31" t="s">
        <v>390</v>
      </c>
      <c r="D935" s="31" t="s">
        <v>170</v>
      </c>
      <c r="E935" s="31" t="s">
        <v>2642</v>
      </c>
      <c r="F935" s="31" t="s">
        <v>1623</v>
      </c>
      <c r="G935" s="31" t="s">
        <v>461</v>
      </c>
      <c r="H935" s="31" t="s">
        <v>39</v>
      </c>
      <c r="I935" s="31" t="n">
        <f aca="false">VLOOKUP(H935,Paramètres!$A$15:$B$19,2,FALSE())</f>
        <v>0.5</v>
      </c>
      <c r="J935" s="31" t="n">
        <v>2</v>
      </c>
      <c r="K935" s="50" t="str">
        <f aca="false">C935&amp;"|"&amp;J935</f>
        <v>MOB-H|2</v>
      </c>
      <c r="L935" s="31" t="s">
        <v>2643</v>
      </c>
      <c r="M935" s="31" t="n">
        <v>1</v>
      </c>
      <c r="N935" s="51" t="s">
        <v>462</v>
      </c>
      <c r="O935" s="35" t="s">
        <v>78</v>
      </c>
      <c r="P935" s="52"/>
      <c r="Q935" s="52"/>
      <c r="R935" s="33" t="n">
        <f aca="false">INDEX(Épopées!$L$6:$L$59,MATCH(K935,Épopées!$A$6:$A$59,0))</f>
        <v>46629</v>
      </c>
      <c r="S935" s="33" t="n">
        <f aca="false">INDEX(Épopées!$M$6:$M$59,MATCH(K935,Épopées!$A$6:$A$59,0))</f>
        <v>46653</v>
      </c>
      <c r="T935" s="53" t="s">
        <v>463</v>
      </c>
    </row>
    <row r="936" customFormat="false" ht="15" hidden="false" customHeight="false" outlineLevel="0" collapsed="false">
      <c r="A936" s="31" t="s">
        <v>2644</v>
      </c>
      <c r="B936" s="31" t="s">
        <v>342</v>
      </c>
      <c r="C936" s="31" t="s">
        <v>390</v>
      </c>
      <c r="D936" s="31" t="s">
        <v>170</v>
      </c>
      <c r="E936" s="31" t="s">
        <v>2645</v>
      </c>
      <c r="F936" s="31" t="s">
        <v>1623</v>
      </c>
      <c r="G936" s="31" t="s">
        <v>466</v>
      </c>
      <c r="H936" s="31" t="s">
        <v>39</v>
      </c>
      <c r="I936" s="31" t="n">
        <f aca="false">VLOOKUP(H936,Paramètres!$A$15:$B$19,2,FALSE())</f>
        <v>0.5</v>
      </c>
      <c r="J936" s="31" t="n">
        <v>2</v>
      </c>
      <c r="K936" s="50" t="str">
        <f aca="false">C936&amp;"|"&amp;J936</f>
        <v>MOB-H|2</v>
      </c>
      <c r="L936" s="31" t="s">
        <v>2590</v>
      </c>
      <c r="M936" s="31" t="n">
        <v>1</v>
      </c>
      <c r="N936" s="51" t="s">
        <v>462</v>
      </c>
      <c r="O936" s="35" t="s">
        <v>78</v>
      </c>
      <c r="P936" s="52"/>
      <c r="Q936" s="52"/>
      <c r="R936" s="33" t="n">
        <f aca="false">INDEX(Épopées!$L$6:$L$59,MATCH(K936,Épopées!$A$6:$A$59,0))</f>
        <v>46629</v>
      </c>
      <c r="S936" s="33" t="n">
        <f aca="false">INDEX(Épopées!$M$6:$M$59,MATCH(K936,Épopées!$A$6:$A$59,0))</f>
        <v>46653</v>
      </c>
      <c r="T936" s="53" t="s">
        <v>463</v>
      </c>
    </row>
    <row r="937" customFormat="false" ht="15" hidden="false" customHeight="false" outlineLevel="0" collapsed="false">
      <c r="A937" s="31" t="s">
        <v>2646</v>
      </c>
      <c r="B937" s="31" t="s">
        <v>342</v>
      </c>
      <c r="C937" s="31" t="s">
        <v>390</v>
      </c>
      <c r="D937" s="31" t="s">
        <v>170</v>
      </c>
      <c r="E937" s="31" t="s">
        <v>2647</v>
      </c>
      <c r="F937" s="31" t="s">
        <v>491</v>
      </c>
      <c r="G937" s="31" t="s">
        <v>466</v>
      </c>
      <c r="H937" s="31" t="s">
        <v>41</v>
      </c>
      <c r="I937" s="31" t="n">
        <f aca="false">VLOOKUP(H937,Paramètres!$A$15:$B$19,2,FALSE())</f>
        <v>1</v>
      </c>
      <c r="J937" s="31" t="n">
        <v>2</v>
      </c>
      <c r="K937" s="50" t="str">
        <f aca="false">C937&amp;"|"&amp;J937</f>
        <v>MOB-H|2</v>
      </c>
      <c r="L937" s="31" t="s">
        <v>2648</v>
      </c>
      <c r="M937" s="31" t="n">
        <v>3</v>
      </c>
      <c r="N937" s="51" t="s">
        <v>462</v>
      </c>
      <c r="O937" s="35" t="s">
        <v>78</v>
      </c>
      <c r="P937" s="52"/>
      <c r="Q937" s="52"/>
      <c r="R937" s="33" t="n">
        <f aca="false">INDEX(Épopées!$L$6:$L$59,MATCH(K937,Épopées!$A$6:$A$59,0))</f>
        <v>46629</v>
      </c>
      <c r="S937" s="33" t="n">
        <f aca="false">INDEX(Épopées!$M$6:$M$59,MATCH(K937,Épopées!$A$6:$A$59,0))</f>
        <v>46653</v>
      </c>
      <c r="T937" s="53" t="s">
        <v>463</v>
      </c>
    </row>
    <row r="938" customFormat="false" ht="15" hidden="false" customHeight="false" outlineLevel="0" collapsed="false">
      <c r="A938" s="31" t="s">
        <v>2649</v>
      </c>
      <c r="B938" s="31" t="s">
        <v>342</v>
      </c>
      <c r="C938" s="31" t="s">
        <v>390</v>
      </c>
      <c r="D938" s="31" t="s">
        <v>170</v>
      </c>
      <c r="E938" s="31" t="s">
        <v>2650</v>
      </c>
      <c r="F938" s="31" t="s">
        <v>491</v>
      </c>
      <c r="G938" s="31" t="s">
        <v>466</v>
      </c>
      <c r="H938" s="31" t="s">
        <v>39</v>
      </c>
      <c r="I938" s="31" t="n">
        <f aca="false">VLOOKUP(H938,Paramètres!$A$15:$B$19,2,FALSE())</f>
        <v>0.5</v>
      </c>
      <c r="J938" s="31" t="n">
        <v>2</v>
      </c>
      <c r="K938" s="50" t="str">
        <f aca="false">C938&amp;"|"&amp;J938</f>
        <v>MOB-H|2</v>
      </c>
      <c r="L938" s="31" t="s">
        <v>2584</v>
      </c>
      <c r="M938" s="31" t="n">
        <v>2</v>
      </c>
      <c r="N938" s="51" t="s">
        <v>462</v>
      </c>
      <c r="O938" s="35" t="s">
        <v>78</v>
      </c>
      <c r="P938" s="52"/>
      <c r="Q938" s="52"/>
      <c r="R938" s="33" t="n">
        <f aca="false">INDEX(Épopées!$L$6:$L$59,MATCH(K938,Épopées!$A$6:$A$59,0))</f>
        <v>46629</v>
      </c>
      <c r="S938" s="33" t="n">
        <f aca="false">INDEX(Épopées!$M$6:$M$59,MATCH(K938,Épopées!$A$6:$A$59,0))</f>
        <v>46653</v>
      </c>
      <c r="T938" s="53" t="s">
        <v>463</v>
      </c>
    </row>
    <row r="939" customFormat="false" ht="15" hidden="false" customHeight="false" outlineLevel="0" collapsed="false">
      <c r="A939" s="31" t="s">
        <v>2651</v>
      </c>
      <c r="B939" s="31" t="s">
        <v>342</v>
      </c>
      <c r="C939" s="31" t="s">
        <v>390</v>
      </c>
      <c r="D939" s="31" t="s">
        <v>170</v>
      </c>
      <c r="E939" s="31" t="s">
        <v>2652</v>
      </c>
      <c r="F939" s="31" t="s">
        <v>1863</v>
      </c>
      <c r="G939" s="31" t="s">
        <v>612</v>
      </c>
      <c r="H939" s="31" t="s">
        <v>41</v>
      </c>
      <c r="I939" s="31" t="n">
        <f aca="false">VLOOKUP(H939,Paramètres!$A$15:$B$19,2,FALSE())</f>
        <v>1</v>
      </c>
      <c r="J939" s="31" t="n">
        <v>2</v>
      </c>
      <c r="K939" s="50" t="str">
        <f aca="false">C939&amp;"|"&amp;J939</f>
        <v>MOB-H|2</v>
      </c>
      <c r="L939" s="31" t="s">
        <v>2653</v>
      </c>
      <c r="M939" s="31" t="n">
        <v>4</v>
      </c>
      <c r="N939" s="51" t="s">
        <v>462</v>
      </c>
      <c r="O939" s="35" t="s">
        <v>78</v>
      </c>
      <c r="P939" s="52"/>
      <c r="Q939" s="52"/>
      <c r="R939" s="33" t="n">
        <f aca="false">INDEX(Épopées!$L$6:$L$59,MATCH(K939,Épopées!$A$6:$A$59,0))</f>
        <v>46629</v>
      </c>
      <c r="S939" s="33" t="n">
        <f aca="false">INDEX(Épopées!$M$6:$M$59,MATCH(K939,Épopées!$A$6:$A$59,0))</f>
        <v>46653</v>
      </c>
      <c r="T939" s="53" t="s">
        <v>463</v>
      </c>
    </row>
    <row r="940" customFormat="false" ht="15" hidden="false" customHeight="false" outlineLevel="0" collapsed="false">
      <c r="A940" s="31" t="s">
        <v>2654</v>
      </c>
      <c r="B940" s="31" t="s">
        <v>342</v>
      </c>
      <c r="C940" s="31" t="s">
        <v>390</v>
      </c>
      <c r="D940" s="31" t="s">
        <v>170</v>
      </c>
      <c r="E940" s="31" t="s">
        <v>2655</v>
      </c>
      <c r="F940" s="31" t="s">
        <v>1863</v>
      </c>
      <c r="G940" s="31" t="s">
        <v>466</v>
      </c>
      <c r="H940" s="31" t="s">
        <v>41</v>
      </c>
      <c r="I940" s="31" t="n">
        <f aca="false">VLOOKUP(H940,Paramètres!$A$15:$B$19,2,FALSE())</f>
        <v>1</v>
      </c>
      <c r="J940" s="31" t="n">
        <v>2</v>
      </c>
      <c r="K940" s="50" t="str">
        <f aca="false">C940&amp;"|"&amp;J940</f>
        <v>MOB-H|2</v>
      </c>
      <c r="L940" s="31" t="s">
        <v>2656</v>
      </c>
      <c r="M940" s="31" t="n">
        <v>4</v>
      </c>
      <c r="N940" s="51" t="s">
        <v>462</v>
      </c>
      <c r="O940" s="35" t="s">
        <v>78</v>
      </c>
      <c r="P940" s="52"/>
      <c r="Q940" s="52"/>
      <c r="R940" s="33" t="n">
        <f aca="false">INDEX(Épopées!$L$6:$L$59,MATCH(K940,Épopées!$A$6:$A$59,0))</f>
        <v>46629</v>
      </c>
      <c r="S940" s="33" t="n">
        <f aca="false">INDEX(Épopées!$M$6:$M$59,MATCH(K940,Épopées!$A$6:$A$59,0))</f>
        <v>46653</v>
      </c>
      <c r="T940" s="53" t="s">
        <v>463</v>
      </c>
    </row>
    <row r="941" customFormat="false" ht="15" hidden="false" customHeight="false" outlineLevel="0" collapsed="false">
      <c r="A941" s="31" t="s">
        <v>2657</v>
      </c>
      <c r="B941" s="31" t="s">
        <v>342</v>
      </c>
      <c r="C941" s="31" t="s">
        <v>390</v>
      </c>
      <c r="D941" s="31" t="s">
        <v>170</v>
      </c>
      <c r="E941" s="31" t="s">
        <v>2658</v>
      </c>
      <c r="F941" s="31" t="s">
        <v>588</v>
      </c>
      <c r="G941" s="31" t="s">
        <v>466</v>
      </c>
      <c r="H941" s="31" t="s">
        <v>39</v>
      </c>
      <c r="I941" s="31" t="n">
        <f aca="false">VLOOKUP(H941,Paramètres!$A$15:$B$19,2,FALSE())</f>
        <v>0.5</v>
      </c>
      <c r="J941" s="31" t="n">
        <v>2</v>
      </c>
      <c r="K941" s="50" t="str">
        <f aca="false">C941&amp;"|"&amp;J941</f>
        <v>MOB-H|2</v>
      </c>
      <c r="L941" s="31" t="s">
        <v>2597</v>
      </c>
      <c r="M941" s="31" t="n">
        <v>3</v>
      </c>
      <c r="N941" s="51" t="s">
        <v>462</v>
      </c>
      <c r="O941" s="35" t="s">
        <v>78</v>
      </c>
      <c r="P941" s="52"/>
      <c r="Q941" s="52"/>
      <c r="R941" s="33" t="n">
        <f aca="false">INDEX(Épopées!$L$6:$L$59,MATCH(K941,Épopées!$A$6:$A$59,0))</f>
        <v>46629</v>
      </c>
      <c r="S941" s="33" t="n">
        <f aca="false">INDEX(Épopées!$M$6:$M$59,MATCH(K941,Épopées!$A$6:$A$59,0))</f>
        <v>46653</v>
      </c>
      <c r="T941" s="53" t="s">
        <v>463</v>
      </c>
    </row>
    <row r="942" customFormat="false" ht="15" hidden="false" customHeight="false" outlineLevel="0" collapsed="false">
      <c r="A942" s="31" t="s">
        <v>2659</v>
      </c>
      <c r="B942" s="31" t="s">
        <v>342</v>
      </c>
      <c r="C942" s="31" t="s">
        <v>390</v>
      </c>
      <c r="D942" s="31" t="s">
        <v>170</v>
      </c>
      <c r="E942" s="31" t="s">
        <v>2660</v>
      </c>
      <c r="F942" s="31" t="s">
        <v>472</v>
      </c>
      <c r="G942" s="31" t="s">
        <v>466</v>
      </c>
      <c r="H942" s="31" t="s">
        <v>41</v>
      </c>
      <c r="I942" s="31" t="n">
        <f aca="false">VLOOKUP(H942,Paramètres!$A$15:$B$19,2,FALSE())</f>
        <v>1</v>
      </c>
      <c r="J942" s="31" t="n">
        <v>2</v>
      </c>
      <c r="K942" s="50" t="str">
        <f aca="false">C942&amp;"|"&amp;J942</f>
        <v>MOB-H|2</v>
      </c>
      <c r="L942" s="31" t="s">
        <v>2661</v>
      </c>
      <c r="M942" s="31" t="n">
        <v>5</v>
      </c>
      <c r="N942" s="51" t="s">
        <v>462</v>
      </c>
      <c r="O942" s="35" t="s">
        <v>78</v>
      </c>
      <c r="P942" s="52"/>
      <c r="Q942" s="52"/>
      <c r="R942" s="33" t="n">
        <f aca="false">INDEX(Épopées!$L$6:$L$59,MATCH(K942,Épopées!$A$6:$A$59,0))</f>
        <v>46629</v>
      </c>
      <c r="S942" s="33" t="n">
        <f aca="false">INDEX(Épopées!$M$6:$M$59,MATCH(K942,Épopées!$A$6:$A$59,0))</f>
        <v>46653</v>
      </c>
      <c r="T942" s="53" t="s">
        <v>463</v>
      </c>
    </row>
    <row r="943" customFormat="false" ht="15" hidden="false" customHeight="false" outlineLevel="0" collapsed="false">
      <c r="A943" s="31" t="s">
        <v>2662</v>
      </c>
      <c r="B943" s="31" t="s">
        <v>342</v>
      </c>
      <c r="C943" s="31" t="s">
        <v>390</v>
      </c>
      <c r="D943" s="31" t="s">
        <v>170</v>
      </c>
      <c r="E943" s="31" t="s">
        <v>2663</v>
      </c>
      <c r="F943" s="31" t="s">
        <v>472</v>
      </c>
      <c r="G943" s="31" t="s">
        <v>466</v>
      </c>
      <c r="H943" s="31" t="s">
        <v>41</v>
      </c>
      <c r="I943" s="31" t="n">
        <f aca="false">VLOOKUP(H943,Paramètres!$A$15:$B$19,2,FALSE())</f>
        <v>1</v>
      </c>
      <c r="J943" s="31" t="n">
        <v>2</v>
      </c>
      <c r="K943" s="50" t="str">
        <f aca="false">C943&amp;"|"&amp;J943</f>
        <v>MOB-H|2</v>
      </c>
      <c r="L943" s="31" t="s">
        <v>2664</v>
      </c>
      <c r="M943" s="31" t="n">
        <v>4</v>
      </c>
      <c r="N943" s="51" t="s">
        <v>462</v>
      </c>
      <c r="O943" s="35" t="s">
        <v>78</v>
      </c>
      <c r="P943" s="52"/>
      <c r="Q943" s="52"/>
      <c r="R943" s="33" t="n">
        <f aca="false">INDEX(Épopées!$L$6:$L$59,MATCH(K943,Épopées!$A$6:$A$59,0))</f>
        <v>46629</v>
      </c>
      <c r="S943" s="33" t="n">
        <f aca="false">INDEX(Épopées!$M$6:$M$59,MATCH(K943,Épopées!$A$6:$A$59,0))</f>
        <v>46653</v>
      </c>
      <c r="T943" s="53" t="s">
        <v>463</v>
      </c>
    </row>
    <row r="944" customFormat="false" ht="15" hidden="false" customHeight="false" outlineLevel="0" collapsed="false">
      <c r="A944" s="31" t="s">
        <v>2665</v>
      </c>
      <c r="B944" s="31" t="s">
        <v>342</v>
      </c>
      <c r="C944" s="31" t="s">
        <v>392</v>
      </c>
      <c r="D944" s="31" t="s">
        <v>393</v>
      </c>
      <c r="E944" s="31" t="s">
        <v>2666</v>
      </c>
      <c r="F944" s="31" t="s">
        <v>486</v>
      </c>
      <c r="G944" s="31" t="s">
        <v>461</v>
      </c>
      <c r="H944" s="31" t="s">
        <v>41</v>
      </c>
      <c r="I944" s="31" t="n">
        <f aca="false">VLOOKUP(H944,Paramètres!$A$15:$B$19,2,FALSE())</f>
        <v>1</v>
      </c>
      <c r="J944" s="31" t="n">
        <v>2</v>
      </c>
      <c r="K944" s="50" t="str">
        <f aca="false">C944&amp;"|"&amp;J944</f>
        <v>MOB-J|2</v>
      </c>
      <c r="L944" s="31"/>
      <c r="M944" s="31" t="n">
        <v>3</v>
      </c>
      <c r="N944" s="51" t="s">
        <v>462</v>
      </c>
      <c r="O944" s="35" t="s">
        <v>78</v>
      </c>
      <c r="P944" s="52"/>
      <c r="Q944" s="52"/>
      <c r="R944" s="33" t="n">
        <f aca="false">INDEX(Épopées!$L$6:$L$59,MATCH(K944,Épopées!$A$6:$A$59,0))</f>
        <v>46654</v>
      </c>
      <c r="S944" s="33" t="n">
        <f aca="false">INDEX(Épopées!$M$6:$M$59,MATCH(K944,Épopées!$A$6:$A$59,0))</f>
        <v>46673</v>
      </c>
      <c r="T944" s="53" t="s">
        <v>463</v>
      </c>
    </row>
    <row r="945" customFormat="false" ht="15" hidden="false" customHeight="false" outlineLevel="0" collapsed="false">
      <c r="A945" s="31" t="s">
        <v>2667</v>
      </c>
      <c r="B945" s="31" t="s">
        <v>342</v>
      </c>
      <c r="C945" s="31" t="s">
        <v>392</v>
      </c>
      <c r="D945" s="31" t="s">
        <v>393</v>
      </c>
      <c r="E945" s="31" t="s">
        <v>2668</v>
      </c>
      <c r="F945" s="31" t="s">
        <v>460</v>
      </c>
      <c r="G945" s="31" t="s">
        <v>461</v>
      </c>
      <c r="H945" s="31" t="s">
        <v>41</v>
      </c>
      <c r="I945" s="31" t="n">
        <f aca="false">VLOOKUP(H945,Paramètres!$A$15:$B$19,2,FALSE())</f>
        <v>1</v>
      </c>
      <c r="J945" s="31" t="n">
        <v>2</v>
      </c>
      <c r="K945" s="50" t="str">
        <f aca="false">C945&amp;"|"&amp;J945</f>
        <v>MOB-J|2</v>
      </c>
      <c r="L945" s="31" t="s">
        <v>2665</v>
      </c>
      <c r="M945" s="31" t="n">
        <v>4</v>
      </c>
      <c r="N945" s="51" t="s">
        <v>462</v>
      </c>
      <c r="O945" s="35" t="s">
        <v>78</v>
      </c>
      <c r="P945" s="52"/>
      <c r="Q945" s="52"/>
      <c r="R945" s="33" t="n">
        <f aca="false">INDEX(Épopées!$L$6:$L$59,MATCH(K945,Épopées!$A$6:$A$59,0))</f>
        <v>46654</v>
      </c>
      <c r="S945" s="33" t="n">
        <f aca="false">INDEX(Épopées!$M$6:$M$59,MATCH(K945,Épopées!$A$6:$A$59,0))</f>
        <v>46673</v>
      </c>
      <c r="T945" s="53" t="s">
        <v>463</v>
      </c>
    </row>
    <row r="946" customFormat="false" ht="15" hidden="false" customHeight="false" outlineLevel="0" collapsed="false">
      <c r="A946" s="31" t="s">
        <v>2669</v>
      </c>
      <c r="B946" s="31" t="s">
        <v>342</v>
      </c>
      <c r="C946" s="31" t="s">
        <v>392</v>
      </c>
      <c r="D946" s="31" t="s">
        <v>393</v>
      </c>
      <c r="E946" s="31" t="s">
        <v>2670</v>
      </c>
      <c r="F946" s="31" t="s">
        <v>491</v>
      </c>
      <c r="G946" s="31" t="s">
        <v>466</v>
      </c>
      <c r="H946" s="31" t="s">
        <v>39</v>
      </c>
      <c r="I946" s="31" t="n">
        <f aca="false">VLOOKUP(H946,Paramètres!$A$15:$B$19,2,FALSE())</f>
        <v>0.5</v>
      </c>
      <c r="J946" s="31" t="n">
        <v>2</v>
      </c>
      <c r="K946" s="50" t="str">
        <f aca="false">C946&amp;"|"&amp;J946</f>
        <v>MOB-J|2</v>
      </c>
      <c r="L946" s="31" t="s">
        <v>2667</v>
      </c>
      <c r="M946" s="31" t="n">
        <v>2</v>
      </c>
      <c r="N946" s="51" t="s">
        <v>462</v>
      </c>
      <c r="O946" s="35" t="s">
        <v>78</v>
      </c>
      <c r="P946" s="52"/>
      <c r="Q946" s="52"/>
      <c r="R946" s="33" t="n">
        <f aca="false">INDEX(Épopées!$L$6:$L$59,MATCH(K946,Épopées!$A$6:$A$59,0))</f>
        <v>46654</v>
      </c>
      <c r="S946" s="33" t="n">
        <f aca="false">INDEX(Épopées!$M$6:$M$59,MATCH(K946,Épopées!$A$6:$A$59,0))</f>
        <v>46673</v>
      </c>
      <c r="T946" s="53" t="s">
        <v>463</v>
      </c>
    </row>
    <row r="947" customFormat="false" ht="15" hidden="false" customHeight="false" outlineLevel="0" collapsed="false">
      <c r="A947" s="31" t="s">
        <v>2671</v>
      </c>
      <c r="B947" s="31" t="s">
        <v>342</v>
      </c>
      <c r="C947" s="31" t="s">
        <v>392</v>
      </c>
      <c r="D947" s="31" t="s">
        <v>393</v>
      </c>
      <c r="E947" s="31" t="s">
        <v>2672</v>
      </c>
      <c r="F947" s="31" t="s">
        <v>491</v>
      </c>
      <c r="G947" s="31" t="s">
        <v>461</v>
      </c>
      <c r="H947" s="31" t="s">
        <v>43</v>
      </c>
      <c r="I947" s="31" t="n">
        <f aca="false">VLOOKUP(H947,Paramètres!$A$15:$B$19,2,FALSE())</f>
        <v>2</v>
      </c>
      <c r="J947" s="31" t="n">
        <v>2</v>
      </c>
      <c r="K947" s="50" t="str">
        <f aca="false">C947&amp;"|"&amp;J947</f>
        <v>MOB-J|2</v>
      </c>
      <c r="L947" s="31" t="s">
        <v>2673</v>
      </c>
      <c r="M947" s="31" t="n">
        <v>6</v>
      </c>
      <c r="N947" s="51" t="s">
        <v>462</v>
      </c>
      <c r="O947" s="35" t="s">
        <v>78</v>
      </c>
      <c r="P947" s="52"/>
      <c r="Q947" s="52"/>
      <c r="R947" s="33" t="n">
        <f aca="false">INDEX(Épopées!$L$6:$L$59,MATCH(K947,Épopées!$A$6:$A$59,0))</f>
        <v>46654</v>
      </c>
      <c r="S947" s="33" t="n">
        <f aca="false">INDEX(Épopées!$M$6:$M$59,MATCH(K947,Épopées!$A$6:$A$59,0))</f>
        <v>46673</v>
      </c>
      <c r="T947" s="53" t="s">
        <v>463</v>
      </c>
    </row>
    <row r="948" customFormat="false" ht="15" hidden="false" customHeight="false" outlineLevel="0" collapsed="false">
      <c r="A948" s="31" t="s">
        <v>2674</v>
      </c>
      <c r="B948" s="31" t="s">
        <v>342</v>
      </c>
      <c r="C948" s="31" t="s">
        <v>392</v>
      </c>
      <c r="D948" s="31" t="s">
        <v>393</v>
      </c>
      <c r="E948" s="31" t="s">
        <v>2675</v>
      </c>
      <c r="F948" s="31" t="s">
        <v>548</v>
      </c>
      <c r="G948" s="31" t="s">
        <v>466</v>
      </c>
      <c r="H948" s="31" t="s">
        <v>41</v>
      </c>
      <c r="I948" s="31" t="n">
        <f aca="false">VLOOKUP(H948,Paramètres!$A$15:$B$19,2,FALSE())</f>
        <v>1</v>
      </c>
      <c r="J948" s="31" t="n">
        <v>2</v>
      </c>
      <c r="K948" s="50" t="str">
        <f aca="false">C948&amp;"|"&amp;J948</f>
        <v>MOB-J|2</v>
      </c>
      <c r="L948" s="31" t="s">
        <v>2667</v>
      </c>
      <c r="M948" s="31" t="n">
        <v>2</v>
      </c>
      <c r="N948" s="51" t="s">
        <v>462</v>
      </c>
      <c r="O948" s="35" t="s">
        <v>78</v>
      </c>
      <c r="P948" s="52"/>
      <c r="Q948" s="52"/>
      <c r="R948" s="33" t="n">
        <f aca="false">INDEX(Épopées!$L$6:$L$59,MATCH(K948,Épopées!$A$6:$A$59,0))</f>
        <v>46654</v>
      </c>
      <c r="S948" s="33" t="n">
        <f aca="false">INDEX(Épopées!$M$6:$M$59,MATCH(K948,Épopées!$A$6:$A$59,0))</f>
        <v>46673</v>
      </c>
      <c r="T948" s="53" t="s">
        <v>463</v>
      </c>
    </row>
    <row r="949" customFormat="false" ht="15" hidden="false" customHeight="false" outlineLevel="0" collapsed="false">
      <c r="A949" s="31" t="s">
        <v>2676</v>
      </c>
      <c r="B949" s="31" t="s">
        <v>342</v>
      </c>
      <c r="C949" s="31" t="s">
        <v>392</v>
      </c>
      <c r="D949" s="31" t="s">
        <v>393</v>
      </c>
      <c r="E949" s="31" t="s">
        <v>2677</v>
      </c>
      <c r="F949" s="31" t="s">
        <v>1623</v>
      </c>
      <c r="G949" s="31" t="s">
        <v>461</v>
      </c>
      <c r="H949" s="31" t="s">
        <v>43</v>
      </c>
      <c r="I949" s="31" t="n">
        <f aca="false">VLOOKUP(H949,Paramètres!$A$15:$B$19,2,FALSE())</f>
        <v>2</v>
      </c>
      <c r="J949" s="31" t="n">
        <v>2</v>
      </c>
      <c r="K949" s="50" t="str">
        <f aca="false">C949&amp;"|"&amp;J949</f>
        <v>MOB-J|2</v>
      </c>
      <c r="L949" s="31" t="s">
        <v>2678</v>
      </c>
      <c r="M949" s="31" t="n">
        <v>1</v>
      </c>
      <c r="N949" s="51" t="s">
        <v>462</v>
      </c>
      <c r="O949" s="35" t="s">
        <v>78</v>
      </c>
      <c r="P949" s="52"/>
      <c r="Q949" s="52"/>
      <c r="R949" s="33" t="n">
        <f aca="false">INDEX(Épopées!$L$6:$L$59,MATCH(K949,Épopées!$A$6:$A$59,0))</f>
        <v>46654</v>
      </c>
      <c r="S949" s="33" t="n">
        <f aca="false">INDEX(Épopées!$M$6:$M$59,MATCH(K949,Épopées!$A$6:$A$59,0))</f>
        <v>46673</v>
      </c>
      <c r="T949" s="53" t="s">
        <v>463</v>
      </c>
    </row>
    <row r="950" customFormat="false" ht="15" hidden="false" customHeight="false" outlineLevel="0" collapsed="false">
      <c r="A950" s="31" t="s">
        <v>2679</v>
      </c>
      <c r="B950" s="31" t="s">
        <v>342</v>
      </c>
      <c r="C950" s="31" t="s">
        <v>392</v>
      </c>
      <c r="D950" s="31" t="s">
        <v>393</v>
      </c>
      <c r="E950" s="31" t="s">
        <v>2680</v>
      </c>
      <c r="F950" s="31" t="s">
        <v>1863</v>
      </c>
      <c r="G950" s="31" t="s">
        <v>461</v>
      </c>
      <c r="H950" s="31" t="s">
        <v>43</v>
      </c>
      <c r="I950" s="31" t="n">
        <f aca="false">VLOOKUP(H950,Paramètres!$A$15:$B$19,2,FALSE())</f>
        <v>2</v>
      </c>
      <c r="J950" s="31" t="n">
        <v>2</v>
      </c>
      <c r="K950" s="50" t="str">
        <f aca="false">C950&amp;"|"&amp;J950</f>
        <v>MOB-J|2</v>
      </c>
      <c r="L950" s="31" t="s">
        <v>2665</v>
      </c>
      <c r="M950" s="31" t="n">
        <v>3</v>
      </c>
      <c r="N950" s="51" t="s">
        <v>462</v>
      </c>
      <c r="O950" s="35" t="s">
        <v>78</v>
      </c>
      <c r="P950" s="52"/>
      <c r="Q950" s="52"/>
      <c r="R950" s="33" t="n">
        <f aca="false">INDEX(Épopées!$L$6:$L$59,MATCH(K950,Épopées!$A$6:$A$59,0))</f>
        <v>46654</v>
      </c>
      <c r="S950" s="33" t="n">
        <f aca="false">INDEX(Épopées!$M$6:$M$59,MATCH(K950,Épopées!$A$6:$A$59,0))</f>
        <v>46673</v>
      </c>
      <c r="T950" s="53" t="s">
        <v>463</v>
      </c>
    </row>
    <row r="951" customFormat="false" ht="15" hidden="false" customHeight="false" outlineLevel="0" collapsed="false">
      <c r="A951" s="31" t="s">
        <v>2681</v>
      </c>
      <c r="B951" s="31" t="s">
        <v>342</v>
      </c>
      <c r="C951" s="31" t="s">
        <v>392</v>
      </c>
      <c r="D951" s="31" t="s">
        <v>393</v>
      </c>
      <c r="E951" s="31" t="s">
        <v>2682</v>
      </c>
      <c r="F951" s="31" t="s">
        <v>491</v>
      </c>
      <c r="G951" s="31" t="s">
        <v>461</v>
      </c>
      <c r="H951" s="31" t="s">
        <v>41</v>
      </c>
      <c r="I951" s="31" t="n">
        <f aca="false">VLOOKUP(H951,Paramètres!$A$15:$B$19,2,FALSE())</f>
        <v>1</v>
      </c>
      <c r="J951" s="31" t="n">
        <v>2</v>
      </c>
      <c r="K951" s="50" t="str">
        <f aca="false">C951&amp;"|"&amp;J951</f>
        <v>MOB-J|2</v>
      </c>
      <c r="L951" s="31" t="s">
        <v>2671</v>
      </c>
      <c r="M951" s="31" t="n">
        <v>3</v>
      </c>
      <c r="N951" s="51" t="s">
        <v>462</v>
      </c>
      <c r="O951" s="35" t="s">
        <v>78</v>
      </c>
      <c r="P951" s="52"/>
      <c r="Q951" s="52"/>
      <c r="R951" s="33" t="n">
        <f aca="false">INDEX(Épopées!$L$6:$L$59,MATCH(K951,Épopées!$A$6:$A$59,0))</f>
        <v>46654</v>
      </c>
      <c r="S951" s="33" t="n">
        <f aca="false">INDEX(Épopées!$M$6:$M$59,MATCH(K951,Épopées!$A$6:$A$59,0))</f>
        <v>46673</v>
      </c>
      <c r="T951" s="53" t="s">
        <v>463</v>
      </c>
    </row>
    <row r="952" customFormat="false" ht="15" hidden="false" customHeight="false" outlineLevel="0" collapsed="false">
      <c r="A952" s="31" t="s">
        <v>2683</v>
      </c>
      <c r="B952" s="31" t="s">
        <v>342</v>
      </c>
      <c r="C952" s="31" t="s">
        <v>392</v>
      </c>
      <c r="D952" s="31" t="s">
        <v>393</v>
      </c>
      <c r="E952" s="31" t="s">
        <v>2684</v>
      </c>
      <c r="F952" s="31" t="s">
        <v>491</v>
      </c>
      <c r="G952" s="31" t="s">
        <v>466</v>
      </c>
      <c r="H952" s="31" t="s">
        <v>41</v>
      </c>
      <c r="I952" s="31" t="n">
        <f aca="false">VLOOKUP(H952,Paramètres!$A$15:$B$19,2,FALSE())</f>
        <v>1</v>
      </c>
      <c r="J952" s="31" t="n">
        <v>2</v>
      </c>
      <c r="K952" s="50" t="str">
        <f aca="false">C952&amp;"|"&amp;J952</f>
        <v>MOB-J|2</v>
      </c>
      <c r="L952" s="31" t="s">
        <v>2671</v>
      </c>
      <c r="M952" s="31" t="n">
        <v>4</v>
      </c>
      <c r="N952" s="51" t="s">
        <v>462</v>
      </c>
      <c r="O952" s="35" t="s">
        <v>78</v>
      </c>
      <c r="P952" s="52"/>
      <c r="Q952" s="52"/>
      <c r="R952" s="33" t="n">
        <f aca="false">INDEX(Épopées!$L$6:$L$59,MATCH(K952,Épopées!$A$6:$A$59,0))</f>
        <v>46654</v>
      </c>
      <c r="S952" s="33" t="n">
        <f aca="false">INDEX(Épopées!$M$6:$M$59,MATCH(K952,Épopées!$A$6:$A$59,0))</f>
        <v>46673</v>
      </c>
      <c r="T952" s="53" t="s">
        <v>463</v>
      </c>
    </row>
    <row r="953" customFormat="false" ht="15" hidden="false" customHeight="false" outlineLevel="0" collapsed="false">
      <c r="A953" s="31" t="s">
        <v>2685</v>
      </c>
      <c r="B953" s="31" t="s">
        <v>342</v>
      </c>
      <c r="C953" s="31" t="s">
        <v>392</v>
      </c>
      <c r="D953" s="31" t="s">
        <v>393</v>
      </c>
      <c r="E953" s="31" t="s">
        <v>2686</v>
      </c>
      <c r="F953" s="31" t="s">
        <v>1623</v>
      </c>
      <c r="G953" s="31" t="s">
        <v>461</v>
      </c>
      <c r="H953" s="31" t="s">
        <v>41</v>
      </c>
      <c r="I953" s="31" t="n">
        <f aca="false">VLOOKUP(H953,Paramètres!$A$15:$B$19,2,FALSE())</f>
        <v>1</v>
      </c>
      <c r="J953" s="31" t="n">
        <v>2</v>
      </c>
      <c r="K953" s="50" t="str">
        <f aca="false">C953&amp;"|"&amp;J953</f>
        <v>MOB-J|2</v>
      </c>
      <c r="L953" s="31" t="s">
        <v>2687</v>
      </c>
      <c r="M953" s="31" t="n">
        <v>1</v>
      </c>
      <c r="N953" s="51" t="s">
        <v>462</v>
      </c>
      <c r="O953" s="35" t="s">
        <v>78</v>
      </c>
      <c r="P953" s="52"/>
      <c r="Q953" s="52"/>
      <c r="R953" s="33" t="n">
        <f aca="false">INDEX(Épopées!$L$6:$L$59,MATCH(K953,Épopées!$A$6:$A$59,0))</f>
        <v>46654</v>
      </c>
      <c r="S953" s="33" t="n">
        <f aca="false">INDEX(Épopées!$M$6:$M$59,MATCH(K953,Épopées!$A$6:$A$59,0))</f>
        <v>46673</v>
      </c>
      <c r="T953" s="53" t="s">
        <v>463</v>
      </c>
    </row>
    <row r="954" customFormat="false" ht="15" hidden="false" customHeight="false" outlineLevel="0" collapsed="false">
      <c r="A954" s="31" t="s">
        <v>2688</v>
      </c>
      <c r="B954" s="31" t="s">
        <v>342</v>
      </c>
      <c r="C954" s="31" t="s">
        <v>392</v>
      </c>
      <c r="D954" s="31" t="s">
        <v>393</v>
      </c>
      <c r="E954" s="31" t="s">
        <v>2689</v>
      </c>
      <c r="F954" s="31" t="s">
        <v>1623</v>
      </c>
      <c r="G954" s="31" t="s">
        <v>461</v>
      </c>
      <c r="H954" s="31" t="s">
        <v>41</v>
      </c>
      <c r="I954" s="31" t="n">
        <f aca="false">VLOOKUP(H954,Paramètres!$A$15:$B$19,2,FALSE())</f>
        <v>1</v>
      </c>
      <c r="J954" s="31" t="n">
        <v>2</v>
      </c>
      <c r="K954" s="50" t="str">
        <f aca="false">C954&amp;"|"&amp;J954</f>
        <v>MOB-J|2</v>
      </c>
      <c r="L954" s="31" t="s">
        <v>2685</v>
      </c>
      <c r="M954" s="31" t="n">
        <v>1</v>
      </c>
      <c r="N954" s="51" t="s">
        <v>462</v>
      </c>
      <c r="O954" s="35" t="s">
        <v>78</v>
      </c>
      <c r="P954" s="52"/>
      <c r="Q954" s="52"/>
      <c r="R954" s="33" t="n">
        <f aca="false">INDEX(Épopées!$L$6:$L$59,MATCH(K954,Épopées!$A$6:$A$59,0))</f>
        <v>46654</v>
      </c>
      <c r="S954" s="33" t="n">
        <f aca="false">INDEX(Épopées!$M$6:$M$59,MATCH(K954,Épopées!$A$6:$A$59,0))</f>
        <v>46673</v>
      </c>
      <c r="T954" s="53" t="s">
        <v>463</v>
      </c>
    </row>
    <row r="955" customFormat="false" ht="15" hidden="false" customHeight="false" outlineLevel="0" collapsed="false">
      <c r="A955" s="31" t="s">
        <v>2690</v>
      </c>
      <c r="B955" s="31" t="s">
        <v>342</v>
      </c>
      <c r="C955" s="31" t="s">
        <v>392</v>
      </c>
      <c r="D955" s="31" t="s">
        <v>393</v>
      </c>
      <c r="E955" s="31" t="s">
        <v>2691</v>
      </c>
      <c r="F955" s="31" t="s">
        <v>1623</v>
      </c>
      <c r="G955" s="31" t="s">
        <v>466</v>
      </c>
      <c r="H955" s="31" t="s">
        <v>41</v>
      </c>
      <c r="I955" s="31" t="n">
        <f aca="false">VLOOKUP(H955,Paramètres!$A$15:$B$19,2,FALSE())</f>
        <v>1</v>
      </c>
      <c r="J955" s="31" t="n">
        <v>2</v>
      </c>
      <c r="K955" s="50" t="str">
        <f aca="false">C955&amp;"|"&amp;J955</f>
        <v>MOB-J|2</v>
      </c>
      <c r="L955" s="31" t="s">
        <v>2669</v>
      </c>
      <c r="M955" s="31" t="n">
        <v>1</v>
      </c>
      <c r="N955" s="51" t="s">
        <v>462</v>
      </c>
      <c r="O955" s="35" t="s">
        <v>78</v>
      </c>
      <c r="P955" s="52"/>
      <c r="Q955" s="52"/>
      <c r="R955" s="33" t="n">
        <f aca="false">INDEX(Épopées!$L$6:$L$59,MATCH(K955,Épopées!$A$6:$A$59,0))</f>
        <v>46654</v>
      </c>
      <c r="S955" s="33" t="n">
        <f aca="false">INDEX(Épopées!$M$6:$M$59,MATCH(K955,Épopées!$A$6:$A$59,0))</f>
        <v>46673</v>
      </c>
      <c r="T955" s="53" t="s">
        <v>463</v>
      </c>
    </row>
    <row r="956" customFormat="false" ht="15" hidden="false" customHeight="false" outlineLevel="0" collapsed="false">
      <c r="A956" s="31" t="s">
        <v>2692</v>
      </c>
      <c r="B956" s="31" t="s">
        <v>342</v>
      </c>
      <c r="C956" s="31" t="s">
        <v>392</v>
      </c>
      <c r="D956" s="31" t="s">
        <v>393</v>
      </c>
      <c r="E956" s="31" t="s">
        <v>2693</v>
      </c>
      <c r="F956" s="31" t="s">
        <v>1623</v>
      </c>
      <c r="G956" s="31" t="s">
        <v>466</v>
      </c>
      <c r="H956" s="31" t="s">
        <v>41</v>
      </c>
      <c r="I956" s="31" t="n">
        <f aca="false">VLOOKUP(H956,Paramètres!$A$15:$B$19,2,FALSE())</f>
        <v>1</v>
      </c>
      <c r="J956" s="31" t="n">
        <v>2</v>
      </c>
      <c r="K956" s="50" t="str">
        <f aca="false">C956&amp;"|"&amp;J956</f>
        <v>MOB-J|2</v>
      </c>
      <c r="L956" s="31" t="s">
        <v>2690</v>
      </c>
      <c r="M956" s="31" t="n">
        <v>1</v>
      </c>
      <c r="N956" s="51" t="s">
        <v>462</v>
      </c>
      <c r="O956" s="35" t="s">
        <v>78</v>
      </c>
      <c r="P956" s="52"/>
      <c r="Q956" s="52"/>
      <c r="R956" s="33" t="n">
        <f aca="false">INDEX(Épopées!$L$6:$L$59,MATCH(K956,Épopées!$A$6:$A$59,0))</f>
        <v>46654</v>
      </c>
      <c r="S956" s="33" t="n">
        <f aca="false">INDEX(Épopées!$M$6:$M$59,MATCH(K956,Épopées!$A$6:$A$59,0))</f>
        <v>46673</v>
      </c>
      <c r="T956" s="53" t="s">
        <v>463</v>
      </c>
    </row>
    <row r="957" customFormat="false" ht="15" hidden="false" customHeight="false" outlineLevel="0" collapsed="false">
      <c r="A957" s="31" t="s">
        <v>2694</v>
      </c>
      <c r="B957" s="31" t="s">
        <v>342</v>
      </c>
      <c r="C957" s="31" t="s">
        <v>392</v>
      </c>
      <c r="D957" s="31" t="s">
        <v>393</v>
      </c>
      <c r="E957" s="31" t="s">
        <v>2695</v>
      </c>
      <c r="F957" s="31" t="s">
        <v>469</v>
      </c>
      <c r="G957" s="31" t="s">
        <v>461</v>
      </c>
      <c r="H957" s="31" t="s">
        <v>43</v>
      </c>
      <c r="I957" s="31" t="n">
        <f aca="false">VLOOKUP(H957,Paramètres!$A$15:$B$19,2,FALSE())</f>
        <v>2</v>
      </c>
      <c r="J957" s="31" t="n">
        <v>2</v>
      </c>
      <c r="K957" s="50" t="str">
        <f aca="false">C957&amp;"|"&amp;J957</f>
        <v>MOB-J|2</v>
      </c>
      <c r="L957" s="31" t="s">
        <v>2665</v>
      </c>
      <c r="M957" s="31" t="n">
        <v>2</v>
      </c>
      <c r="N957" s="51" t="s">
        <v>462</v>
      </c>
      <c r="O957" s="35" t="s">
        <v>78</v>
      </c>
      <c r="P957" s="52"/>
      <c r="Q957" s="52"/>
      <c r="R957" s="33" t="n">
        <f aca="false">INDEX(Épopées!$L$6:$L$59,MATCH(K957,Épopées!$A$6:$A$59,0))</f>
        <v>46654</v>
      </c>
      <c r="S957" s="33" t="n">
        <f aca="false">INDEX(Épopées!$M$6:$M$59,MATCH(K957,Épopées!$A$6:$A$59,0))</f>
        <v>46673</v>
      </c>
      <c r="T957" s="53" t="s">
        <v>463</v>
      </c>
    </row>
    <row r="958" customFormat="false" ht="15" hidden="false" customHeight="false" outlineLevel="0" collapsed="false">
      <c r="A958" s="31" t="s">
        <v>2696</v>
      </c>
      <c r="B958" s="31" t="s">
        <v>342</v>
      </c>
      <c r="C958" s="31" t="s">
        <v>392</v>
      </c>
      <c r="D958" s="31" t="s">
        <v>393</v>
      </c>
      <c r="E958" s="31" t="s">
        <v>2697</v>
      </c>
      <c r="F958" s="31" t="s">
        <v>1623</v>
      </c>
      <c r="G958" s="31" t="s">
        <v>461</v>
      </c>
      <c r="H958" s="31" t="s">
        <v>39</v>
      </c>
      <c r="I958" s="31" t="n">
        <f aca="false">VLOOKUP(H958,Paramètres!$A$15:$B$19,2,FALSE())</f>
        <v>0.5</v>
      </c>
      <c r="J958" s="31" t="n">
        <v>2</v>
      </c>
      <c r="K958" s="50" t="str">
        <f aca="false">C958&amp;"|"&amp;J958</f>
        <v>MOB-J|2</v>
      </c>
      <c r="L958" s="31" t="s">
        <v>2671</v>
      </c>
      <c r="M958" s="31" t="n">
        <v>1</v>
      </c>
      <c r="N958" s="51" t="s">
        <v>462</v>
      </c>
      <c r="O958" s="35" t="s">
        <v>78</v>
      </c>
      <c r="P958" s="52"/>
      <c r="Q958" s="52"/>
      <c r="R958" s="33" t="n">
        <f aca="false">INDEX(Épopées!$L$6:$L$59,MATCH(K958,Épopées!$A$6:$A$59,0))</f>
        <v>46654</v>
      </c>
      <c r="S958" s="33" t="n">
        <f aca="false">INDEX(Épopées!$M$6:$M$59,MATCH(K958,Épopées!$A$6:$A$59,0))</f>
        <v>46673</v>
      </c>
      <c r="T958" s="53" t="s">
        <v>463</v>
      </c>
    </row>
    <row r="959" customFormat="false" ht="15" hidden="false" customHeight="false" outlineLevel="0" collapsed="false">
      <c r="A959" s="31" t="s">
        <v>2698</v>
      </c>
      <c r="B959" s="31" t="s">
        <v>342</v>
      </c>
      <c r="C959" s="31" t="s">
        <v>392</v>
      </c>
      <c r="D959" s="31" t="s">
        <v>393</v>
      </c>
      <c r="E959" s="31" t="s">
        <v>2699</v>
      </c>
      <c r="F959" s="31" t="s">
        <v>1623</v>
      </c>
      <c r="G959" s="31" t="s">
        <v>461</v>
      </c>
      <c r="H959" s="31" t="s">
        <v>41</v>
      </c>
      <c r="I959" s="31" t="n">
        <f aca="false">VLOOKUP(H959,Paramètres!$A$15:$B$19,2,FALSE())</f>
        <v>1</v>
      </c>
      <c r="J959" s="31" t="n">
        <v>2</v>
      </c>
      <c r="K959" s="50" t="str">
        <f aca="false">C959&amp;"|"&amp;J959</f>
        <v>MOB-J|2</v>
      </c>
      <c r="L959" s="31" t="s">
        <v>2700</v>
      </c>
      <c r="M959" s="31" t="n">
        <v>1</v>
      </c>
      <c r="N959" s="51" t="s">
        <v>462</v>
      </c>
      <c r="O959" s="35" t="s">
        <v>78</v>
      </c>
      <c r="P959" s="52"/>
      <c r="Q959" s="52"/>
      <c r="R959" s="33" t="n">
        <f aca="false">INDEX(Épopées!$L$6:$L$59,MATCH(K959,Épopées!$A$6:$A$59,0))</f>
        <v>46654</v>
      </c>
      <c r="S959" s="33" t="n">
        <f aca="false">INDEX(Épopées!$M$6:$M$59,MATCH(K959,Épopées!$A$6:$A$59,0))</f>
        <v>46673</v>
      </c>
      <c r="T959" s="53" t="s">
        <v>463</v>
      </c>
    </row>
    <row r="960" customFormat="false" ht="15" hidden="false" customHeight="false" outlineLevel="0" collapsed="false">
      <c r="A960" s="31" t="s">
        <v>2701</v>
      </c>
      <c r="B960" s="31" t="s">
        <v>342</v>
      </c>
      <c r="C960" s="31" t="s">
        <v>392</v>
      </c>
      <c r="D960" s="31" t="s">
        <v>393</v>
      </c>
      <c r="E960" s="31" t="s">
        <v>2702</v>
      </c>
      <c r="F960" s="31" t="s">
        <v>579</v>
      </c>
      <c r="G960" s="31" t="s">
        <v>461</v>
      </c>
      <c r="H960" s="31" t="s">
        <v>41</v>
      </c>
      <c r="I960" s="31" t="n">
        <f aca="false">VLOOKUP(H960,Paramètres!$A$15:$B$19,2,FALSE())</f>
        <v>1</v>
      </c>
      <c r="J960" s="31" t="n">
        <v>2</v>
      </c>
      <c r="K960" s="50" t="str">
        <f aca="false">C960&amp;"|"&amp;J960</f>
        <v>MOB-J|2</v>
      </c>
      <c r="L960" s="31" t="s">
        <v>2665</v>
      </c>
      <c r="M960" s="31" t="n">
        <v>2</v>
      </c>
      <c r="N960" s="51" t="s">
        <v>462</v>
      </c>
      <c r="O960" s="35" t="s">
        <v>78</v>
      </c>
      <c r="P960" s="52"/>
      <c r="Q960" s="52"/>
      <c r="R960" s="33" t="n">
        <f aca="false">INDEX(Épopées!$L$6:$L$59,MATCH(K960,Épopées!$A$6:$A$59,0))</f>
        <v>46654</v>
      </c>
      <c r="S960" s="33" t="n">
        <f aca="false">INDEX(Épopées!$M$6:$M$59,MATCH(K960,Épopées!$A$6:$A$59,0))</f>
        <v>46673</v>
      </c>
      <c r="T960" s="53" t="s">
        <v>463</v>
      </c>
    </row>
    <row r="961" customFormat="false" ht="15" hidden="false" customHeight="false" outlineLevel="0" collapsed="false">
      <c r="A961" s="31" t="s">
        <v>2703</v>
      </c>
      <c r="B961" s="31" t="s">
        <v>342</v>
      </c>
      <c r="C961" s="31" t="s">
        <v>392</v>
      </c>
      <c r="D961" s="31" t="s">
        <v>393</v>
      </c>
      <c r="E961" s="31" t="s">
        <v>2704</v>
      </c>
      <c r="F961" s="31" t="s">
        <v>1623</v>
      </c>
      <c r="G961" s="31" t="s">
        <v>461</v>
      </c>
      <c r="H961" s="31" t="s">
        <v>41</v>
      </c>
      <c r="I961" s="31" t="n">
        <f aca="false">VLOOKUP(H961,Paramètres!$A$15:$B$19,2,FALSE())</f>
        <v>1</v>
      </c>
      <c r="J961" s="31" t="n">
        <v>2</v>
      </c>
      <c r="K961" s="50" t="str">
        <f aca="false">C961&amp;"|"&amp;J961</f>
        <v>MOB-J|2</v>
      </c>
      <c r="L961" s="31" t="s">
        <v>2705</v>
      </c>
      <c r="M961" s="31" t="n">
        <v>1</v>
      </c>
      <c r="N961" s="51" t="s">
        <v>462</v>
      </c>
      <c r="O961" s="35" t="s">
        <v>78</v>
      </c>
      <c r="P961" s="52"/>
      <c r="Q961" s="52"/>
      <c r="R961" s="33" t="n">
        <f aca="false">INDEX(Épopées!$L$6:$L$59,MATCH(K961,Épopées!$A$6:$A$59,0))</f>
        <v>46654</v>
      </c>
      <c r="S961" s="33" t="n">
        <f aca="false">INDEX(Épopées!$M$6:$M$59,MATCH(K961,Épopées!$A$6:$A$59,0))</f>
        <v>46673</v>
      </c>
      <c r="T961" s="53" t="s">
        <v>463</v>
      </c>
    </row>
    <row r="962" customFormat="false" ht="15" hidden="false" customHeight="false" outlineLevel="0" collapsed="false">
      <c r="A962" s="31" t="s">
        <v>2705</v>
      </c>
      <c r="B962" s="31" t="s">
        <v>342</v>
      </c>
      <c r="C962" s="31" t="s">
        <v>392</v>
      </c>
      <c r="D962" s="31" t="s">
        <v>393</v>
      </c>
      <c r="E962" s="31" t="s">
        <v>2706</v>
      </c>
      <c r="F962" s="31" t="s">
        <v>460</v>
      </c>
      <c r="G962" s="31" t="s">
        <v>461</v>
      </c>
      <c r="H962" s="31" t="s">
        <v>41</v>
      </c>
      <c r="I962" s="31" t="n">
        <f aca="false">VLOOKUP(H962,Paramètres!$A$15:$B$19,2,FALSE())</f>
        <v>1</v>
      </c>
      <c r="J962" s="31" t="n">
        <v>2</v>
      </c>
      <c r="K962" s="50" t="str">
        <f aca="false">C962&amp;"|"&amp;J962</f>
        <v>MOB-J|2</v>
      </c>
      <c r="L962" s="31" t="s">
        <v>2665</v>
      </c>
      <c r="M962" s="31" t="n">
        <v>2</v>
      </c>
      <c r="N962" s="51" t="s">
        <v>462</v>
      </c>
      <c r="O962" s="35" t="s">
        <v>78</v>
      </c>
      <c r="P962" s="52"/>
      <c r="Q962" s="52"/>
      <c r="R962" s="33" t="n">
        <f aca="false">INDEX(Épopées!$L$6:$L$59,MATCH(K962,Épopées!$A$6:$A$59,0))</f>
        <v>46654</v>
      </c>
      <c r="S962" s="33" t="n">
        <f aca="false">INDEX(Épopées!$M$6:$M$59,MATCH(K962,Épopées!$A$6:$A$59,0))</f>
        <v>46673</v>
      </c>
      <c r="T962" s="53" t="s">
        <v>463</v>
      </c>
    </row>
    <row r="963" customFormat="false" ht="15" hidden="false" customHeight="false" outlineLevel="0" collapsed="false">
      <c r="A963" s="31" t="s">
        <v>2707</v>
      </c>
      <c r="B963" s="31" t="s">
        <v>342</v>
      </c>
      <c r="C963" s="31" t="s">
        <v>392</v>
      </c>
      <c r="D963" s="31" t="s">
        <v>393</v>
      </c>
      <c r="E963" s="31" t="s">
        <v>2708</v>
      </c>
      <c r="F963" s="31" t="s">
        <v>1623</v>
      </c>
      <c r="G963" s="31" t="s">
        <v>461</v>
      </c>
      <c r="H963" s="31" t="s">
        <v>41</v>
      </c>
      <c r="I963" s="31" t="n">
        <f aca="false">VLOOKUP(H963,Paramètres!$A$15:$B$19,2,FALSE())</f>
        <v>1</v>
      </c>
      <c r="J963" s="31" t="n">
        <v>2</v>
      </c>
      <c r="K963" s="50" t="str">
        <f aca="false">C963&amp;"|"&amp;J963</f>
        <v>MOB-J|2</v>
      </c>
      <c r="L963" s="31" t="s">
        <v>2709</v>
      </c>
      <c r="M963" s="31" t="n">
        <v>1</v>
      </c>
      <c r="N963" s="51" t="s">
        <v>462</v>
      </c>
      <c r="O963" s="35" t="s">
        <v>78</v>
      </c>
      <c r="P963" s="52"/>
      <c r="Q963" s="52"/>
      <c r="R963" s="33" t="n">
        <f aca="false">INDEX(Épopées!$L$6:$L$59,MATCH(K963,Épopées!$A$6:$A$59,0))</f>
        <v>46654</v>
      </c>
      <c r="S963" s="33" t="n">
        <f aca="false">INDEX(Épopées!$M$6:$M$59,MATCH(K963,Épopées!$A$6:$A$59,0))</f>
        <v>46673</v>
      </c>
      <c r="T963" s="53" t="s">
        <v>463</v>
      </c>
    </row>
    <row r="964" customFormat="false" ht="15" hidden="false" customHeight="false" outlineLevel="0" collapsed="false">
      <c r="A964" s="31" t="s">
        <v>2710</v>
      </c>
      <c r="B964" s="31" t="s">
        <v>342</v>
      </c>
      <c r="C964" s="31" t="s">
        <v>392</v>
      </c>
      <c r="D964" s="31" t="s">
        <v>393</v>
      </c>
      <c r="E964" s="31" t="s">
        <v>2711</v>
      </c>
      <c r="F964" s="31" t="s">
        <v>1623</v>
      </c>
      <c r="G964" s="31" t="s">
        <v>466</v>
      </c>
      <c r="H964" s="31" t="s">
        <v>39</v>
      </c>
      <c r="I964" s="31" t="n">
        <f aca="false">VLOOKUP(H964,Paramètres!$A$15:$B$19,2,FALSE())</f>
        <v>0.5</v>
      </c>
      <c r="J964" s="31" t="n">
        <v>2</v>
      </c>
      <c r="K964" s="50" t="str">
        <f aca="false">C964&amp;"|"&amp;J964</f>
        <v>MOB-J|2</v>
      </c>
      <c r="L964" s="31" t="s">
        <v>2671</v>
      </c>
      <c r="M964" s="31" t="n">
        <v>1</v>
      </c>
      <c r="N964" s="51" t="s">
        <v>462</v>
      </c>
      <c r="O964" s="35" t="s">
        <v>78</v>
      </c>
      <c r="P964" s="52"/>
      <c r="Q964" s="52"/>
      <c r="R964" s="33" t="n">
        <f aca="false">INDEX(Épopées!$L$6:$L$59,MATCH(K964,Épopées!$A$6:$A$59,0))</f>
        <v>46654</v>
      </c>
      <c r="S964" s="33" t="n">
        <f aca="false">INDEX(Épopées!$M$6:$M$59,MATCH(K964,Épopées!$A$6:$A$59,0))</f>
        <v>46673</v>
      </c>
      <c r="T964" s="53" t="s">
        <v>463</v>
      </c>
    </row>
    <row r="965" customFormat="false" ht="15" hidden="false" customHeight="false" outlineLevel="0" collapsed="false">
      <c r="A965" s="31" t="s">
        <v>2712</v>
      </c>
      <c r="B965" s="31" t="s">
        <v>342</v>
      </c>
      <c r="C965" s="31" t="s">
        <v>392</v>
      </c>
      <c r="D965" s="31" t="s">
        <v>393</v>
      </c>
      <c r="E965" s="31" t="s">
        <v>2713</v>
      </c>
      <c r="F965" s="31" t="s">
        <v>1623</v>
      </c>
      <c r="G965" s="31" t="s">
        <v>466</v>
      </c>
      <c r="H965" s="31" t="s">
        <v>39</v>
      </c>
      <c r="I965" s="31" t="n">
        <f aca="false">VLOOKUP(H965,Paramètres!$A$15:$B$19,2,FALSE())</f>
        <v>0.5</v>
      </c>
      <c r="J965" s="31" t="n">
        <v>2</v>
      </c>
      <c r="K965" s="50" t="str">
        <f aca="false">C965&amp;"|"&amp;J965</f>
        <v>MOB-J|2</v>
      </c>
      <c r="L965" s="31" t="s">
        <v>2671</v>
      </c>
      <c r="M965" s="31" t="n">
        <v>1</v>
      </c>
      <c r="N965" s="51" t="s">
        <v>462</v>
      </c>
      <c r="O965" s="35" t="s">
        <v>78</v>
      </c>
      <c r="P965" s="52"/>
      <c r="Q965" s="52"/>
      <c r="R965" s="33" t="n">
        <f aca="false">INDEX(Épopées!$L$6:$L$59,MATCH(K965,Épopées!$A$6:$A$59,0))</f>
        <v>46654</v>
      </c>
      <c r="S965" s="33" t="n">
        <f aca="false">INDEX(Épopées!$M$6:$M$59,MATCH(K965,Épopées!$A$6:$A$59,0))</f>
        <v>46673</v>
      </c>
      <c r="T965" s="53" t="s">
        <v>463</v>
      </c>
    </row>
    <row r="966" customFormat="false" ht="15" hidden="false" customHeight="false" outlineLevel="0" collapsed="false">
      <c r="A966" s="31" t="s">
        <v>2714</v>
      </c>
      <c r="B966" s="31" t="s">
        <v>342</v>
      </c>
      <c r="C966" s="31" t="s">
        <v>392</v>
      </c>
      <c r="D966" s="31" t="s">
        <v>393</v>
      </c>
      <c r="E966" s="31" t="s">
        <v>2715</v>
      </c>
      <c r="F966" s="31" t="s">
        <v>1863</v>
      </c>
      <c r="G966" s="31" t="s">
        <v>466</v>
      </c>
      <c r="H966" s="31" t="s">
        <v>41</v>
      </c>
      <c r="I966" s="31" t="n">
        <f aca="false">VLOOKUP(H966,Paramètres!$A$15:$B$19,2,FALSE())</f>
        <v>1</v>
      </c>
      <c r="J966" s="31" t="n">
        <v>2</v>
      </c>
      <c r="K966" s="50" t="str">
        <f aca="false">C966&amp;"|"&amp;J966</f>
        <v>MOB-J|2</v>
      </c>
      <c r="L966" s="31" t="s">
        <v>2716</v>
      </c>
      <c r="M966" s="31" t="n">
        <v>4</v>
      </c>
      <c r="N966" s="51" t="s">
        <v>462</v>
      </c>
      <c r="O966" s="35" t="s">
        <v>78</v>
      </c>
      <c r="P966" s="52"/>
      <c r="Q966" s="52"/>
      <c r="R966" s="33" t="n">
        <f aca="false">INDEX(Épopées!$L$6:$L$59,MATCH(K966,Épopées!$A$6:$A$59,0))</f>
        <v>46654</v>
      </c>
      <c r="S966" s="33" t="n">
        <f aca="false">INDEX(Épopées!$M$6:$M$59,MATCH(K966,Épopées!$A$6:$A$59,0))</f>
        <v>46673</v>
      </c>
      <c r="T966" s="53" t="s">
        <v>463</v>
      </c>
    </row>
    <row r="967" customFormat="false" ht="15" hidden="false" customHeight="false" outlineLevel="0" collapsed="false">
      <c r="A967" s="31" t="s">
        <v>2717</v>
      </c>
      <c r="B967" s="31" t="s">
        <v>342</v>
      </c>
      <c r="C967" s="31" t="s">
        <v>392</v>
      </c>
      <c r="D967" s="31" t="s">
        <v>393</v>
      </c>
      <c r="E967" s="31" t="s">
        <v>2718</v>
      </c>
      <c r="F967" s="31" t="s">
        <v>481</v>
      </c>
      <c r="G967" s="31" t="s">
        <v>466</v>
      </c>
      <c r="H967" s="31" t="s">
        <v>39</v>
      </c>
      <c r="I967" s="31" t="n">
        <f aca="false">VLOOKUP(H967,Paramètres!$A$15:$B$19,2,FALSE())</f>
        <v>0.5</v>
      </c>
      <c r="J967" s="31" t="n">
        <v>2</v>
      </c>
      <c r="K967" s="50" t="str">
        <f aca="false">C967&amp;"|"&amp;J967</f>
        <v>MOB-J|2</v>
      </c>
      <c r="L967" s="31" t="s">
        <v>2692</v>
      </c>
      <c r="M967" s="31" t="n">
        <v>4</v>
      </c>
      <c r="N967" s="51" t="s">
        <v>462</v>
      </c>
      <c r="O967" s="35" t="s">
        <v>78</v>
      </c>
      <c r="P967" s="52"/>
      <c r="Q967" s="52"/>
      <c r="R967" s="33" t="n">
        <f aca="false">INDEX(Épopées!$L$6:$L$59,MATCH(K967,Épopées!$A$6:$A$59,0))</f>
        <v>46654</v>
      </c>
      <c r="S967" s="33" t="n">
        <f aca="false">INDEX(Épopées!$M$6:$M$59,MATCH(K967,Épopées!$A$6:$A$59,0))</f>
        <v>46673</v>
      </c>
      <c r="T967" s="53" t="s">
        <v>463</v>
      </c>
    </row>
    <row r="968" customFormat="false" ht="15" hidden="false" customHeight="false" outlineLevel="0" collapsed="false">
      <c r="A968" s="31" t="s">
        <v>2719</v>
      </c>
      <c r="B968" s="31" t="s">
        <v>342</v>
      </c>
      <c r="C968" s="31" t="s">
        <v>392</v>
      </c>
      <c r="D968" s="31" t="s">
        <v>393</v>
      </c>
      <c r="E968" s="31" t="s">
        <v>2720</v>
      </c>
      <c r="F968" s="31" t="s">
        <v>491</v>
      </c>
      <c r="G968" s="31" t="s">
        <v>612</v>
      </c>
      <c r="H968" s="31" t="s">
        <v>39</v>
      </c>
      <c r="I968" s="31" t="n">
        <f aca="false">VLOOKUP(H968,Paramètres!$A$15:$B$19,2,FALSE())</f>
        <v>0.5</v>
      </c>
      <c r="J968" s="31" t="n">
        <v>2</v>
      </c>
      <c r="K968" s="50" t="str">
        <f aca="false">C968&amp;"|"&amp;J968</f>
        <v>MOB-J|2</v>
      </c>
      <c r="L968" s="31" t="s">
        <v>2671</v>
      </c>
      <c r="M968" s="31" t="n">
        <v>6</v>
      </c>
      <c r="N968" s="51" t="s">
        <v>462</v>
      </c>
      <c r="O968" s="35" t="s">
        <v>78</v>
      </c>
      <c r="P968" s="52"/>
      <c r="Q968" s="52"/>
      <c r="R968" s="33" t="n">
        <f aca="false">INDEX(Épopées!$L$6:$L$59,MATCH(K968,Épopées!$A$6:$A$59,0))</f>
        <v>46654</v>
      </c>
      <c r="S968" s="33" t="n">
        <f aca="false">INDEX(Épopées!$M$6:$M$59,MATCH(K968,Épopées!$A$6:$A$59,0))</f>
        <v>46673</v>
      </c>
      <c r="T968" s="53" t="s">
        <v>463</v>
      </c>
    </row>
    <row r="969" customFormat="false" ht="15" hidden="false" customHeight="false" outlineLevel="0" collapsed="false">
      <c r="A969" s="31" t="s">
        <v>2721</v>
      </c>
      <c r="B969" s="31" t="s">
        <v>342</v>
      </c>
      <c r="C969" s="31" t="s">
        <v>392</v>
      </c>
      <c r="D969" s="31" t="s">
        <v>393</v>
      </c>
      <c r="E969" s="31" t="s">
        <v>2722</v>
      </c>
      <c r="F969" s="31" t="s">
        <v>472</v>
      </c>
      <c r="G969" s="31" t="s">
        <v>466</v>
      </c>
      <c r="H969" s="31" t="s">
        <v>41</v>
      </c>
      <c r="I969" s="31" t="n">
        <f aca="false">VLOOKUP(H969,Paramètres!$A$15:$B$19,2,FALSE())</f>
        <v>1</v>
      </c>
      <c r="J969" s="31" t="n">
        <v>2</v>
      </c>
      <c r="K969" s="50" t="str">
        <f aca="false">C969&amp;"|"&amp;J969</f>
        <v>MOB-J|2</v>
      </c>
      <c r="L969" s="31" t="s">
        <v>2723</v>
      </c>
      <c r="M969" s="31" t="n">
        <v>11</v>
      </c>
      <c r="N969" s="51" t="s">
        <v>462</v>
      </c>
      <c r="O969" s="35" t="s">
        <v>78</v>
      </c>
      <c r="P969" s="52"/>
      <c r="Q969" s="52"/>
      <c r="R969" s="33" t="n">
        <f aca="false">INDEX(Épopées!$L$6:$L$59,MATCH(K969,Épopées!$A$6:$A$59,0))</f>
        <v>46654</v>
      </c>
      <c r="S969" s="33" t="n">
        <f aca="false">INDEX(Épopées!$M$6:$M$59,MATCH(K969,Épopées!$A$6:$A$59,0))</f>
        <v>46673</v>
      </c>
      <c r="T969" s="53" t="s">
        <v>463</v>
      </c>
    </row>
    <row r="970" customFormat="false" ht="15" hidden="false" customHeight="false" outlineLevel="0" collapsed="false">
      <c r="A970" s="31" t="s">
        <v>2724</v>
      </c>
      <c r="B970" s="31" t="s">
        <v>342</v>
      </c>
      <c r="C970" s="31" t="s">
        <v>392</v>
      </c>
      <c r="D970" s="31" t="s">
        <v>393</v>
      </c>
      <c r="E970" s="31" t="s">
        <v>2725</v>
      </c>
      <c r="F970" s="31" t="s">
        <v>588</v>
      </c>
      <c r="G970" s="31" t="s">
        <v>466</v>
      </c>
      <c r="H970" s="31" t="s">
        <v>39</v>
      </c>
      <c r="I970" s="31" t="n">
        <f aca="false">VLOOKUP(H970,Paramètres!$A$15:$B$19,2,FALSE())</f>
        <v>0.5</v>
      </c>
      <c r="J970" s="31" t="n">
        <v>2</v>
      </c>
      <c r="K970" s="50" t="str">
        <f aca="false">C970&amp;"|"&amp;J970</f>
        <v>MOB-J|2</v>
      </c>
      <c r="L970" s="31" t="s">
        <v>2676</v>
      </c>
      <c r="M970" s="31" t="n">
        <v>5</v>
      </c>
      <c r="N970" s="51" t="s">
        <v>462</v>
      </c>
      <c r="O970" s="35" t="s">
        <v>78</v>
      </c>
      <c r="P970" s="52"/>
      <c r="Q970" s="52"/>
      <c r="R970" s="33" t="n">
        <f aca="false">INDEX(Épopées!$L$6:$L$59,MATCH(K970,Épopées!$A$6:$A$59,0))</f>
        <v>46654</v>
      </c>
      <c r="S970" s="33" t="n">
        <f aca="false">INDEX(Épopées!$M$6:$M$59,MATCH(K970,Épopées!$A$6:$A$59,0))</f>
        <v>46673</v>
      </c>
      <c r="T970" s="53" t="s">
        <v>463</v>
      </c>
    </row>
    <row r="971" customFormat="false" ht="15" hidden="false" customHeight="false" outlineLevel="0" collapsed="false">
      <c r="A971" s="31" t="s">
        <v>2726</v>
      </c>
      <c r="B971" s="31" t="s">
        <v>342</v>
      </c>
      <c r="C971" s="31" t="s">
        <v>395</v>
      </c>
      <c r="D971" s="31" t="s">
        <v>396</v>
      </c>
      <c r="E971" s="31" t="s">
        <v>2727</v>
      </c>
      <c r="F971" s="31" t="s">
        <v>486</v>
      </c>
      <c r="G971" s="31" t="s">
        <v>461</v>
      </c>
      <c r="H971" s="31" t="s">
        <v>41</v>
      </c>
      <c r="I971" s="31" t="n">
        <f aca="false">VLOOKUP(H971,Paramètres!$A$15:$B$19,2,FALSE())</f>
        <v>1</v>
      </c>
      <c r="J971" s="31" t="n">
        <v>2</v>
      </c>
      <c r="K971" s="50" t="str">
        <f aca="false">C971&amp;"|"&amp;J971</f>
        <v>MOB-K|2</v>
      </c>
      <c r="L971" s="31"/>
      <c r="M971" s="31" t="n">
        <v>4</v>
      </c>
      <c r="N971" s="51" t="s">
        <v>462</v>
      </c>
      <c r="O971" s="35" t="s">
        <v>78</v>
      </c>
      <c r="P971" s="52"/>
      <c r="Q971" s="52"/>
      <c r="R971" s="33" t="n">
        <f aca="false">INDEX(Épopées!$L$6:$L$59,MATCH(K971,Épopées!$A$6:$A$59,0))</f>
        <v>46674</v>
      </c>
      <c r="S971" s="33" t="n">
        <f aca="false">INDEX(Épopées!$M$6:$M$59,MATCH(K971,Épopées!$A$6:$A$59,0))</f>
        <v>46695</v>
      </c>
      <c r="T971" s="53" t="s">
        <v>463</v>
      </c>
    </row>
    <row r="972" customFormat="false" ht="15" hidden="false" customHeight="false" outlineLevel="0" collapsed="false">
      <c r="A972" s="31" t="s">
        <v>2728</v>
      </c>
      <c r="B972" s="31" t="s">
        <v>342</v>
      </c>
      <c r="C972" s="31" t="s">
        <v>395</v>
      </c>
      <c r="D972" s="31" t="s">
        <v>396</v>
      </c>
      <c r="E972" s="31" t="s">
        <v>2729</v>
      </c>
      <c r="F972" s="31" t="s">
        <v>460</v>
      </c>
      <c r="G972" s="31" t="s">
        <v>461</v>
      </c>
      <c r="H972" s="31" t="s">
        <v>41</v>
      </c>
      <c r="I972" s="31" t="n">
        <f aca="false">VLOOKUP(H972,Paramètres!$A$15:$B$19,2,FALSE())</f>
        <v>1</v>
      </c>
      <c r="J972" s="31" t="n">
        <v>2</v>
      </c>
      <c r="K972" s="50" t="str">
        <f aca="false">C972&amp;"|"&amp;J972</f>
        <v>MOB-K|2</v>
      </c>
      <c r="L972" s="31" t="s">
        <v>2726</v>
      </c>
      <c r="M972" s="31" t="n">
        <v>4</v>
      </c>
      <c r="N972" s="51" t="s">
        <v>462</v>
      </c>
      <c r="O972" s="35" t="s">
        <v>78</v>
      </c>
      <c r="P972" s="52"/>
      <c r="Q972" s="52"/>
      <c r="R972" s="33" t="n">
        <f aca="false">INDEX(Épopées!$L$6:$L$59,MATCH(K972,Épopées!$A$6:$A$59,0))</f>
        <v>46674</v>
      </c>
      <c r="S972" s="33" t="n">
        <f aca="false">INDEX(Épopées!$M$6:$M$59,MATCH(K972,Épopées!$A$6:$A$59,0))</f>
        <v>46695</v>
      </c>
      <c r="T972" s="53" t="s">
        <v>463</v>
      </c>
    </row>
    <row r="973" customFormat="false" ht="15" hidden="false" customHeight="false" outlineLevel="0" collapsed="false">
      <c r="A973" s="31" t="s">
        <v>2730</v>
      </c>
      <c r="B973" s="31" t="s">
        <v>342</v>
      </c>
      <c r="C973" s="31" t="s">
        <v>395</v>
      </c>
      <c r="D973" s="31" t="s">
        <v>396</v>
      </c>
      <c r="E973" s="31" t="s">
        <v>2731</v>
      </c>
      <c r="F973" s="31" t="s">
        <v>460</v>
      </c>
      <c r="G973" s="31" t="s">
        <v>461</v>
      </c>
      <c r="H973" s="31" t="s">
        <v>41</v>
      </c>
      <c r="I973" s="31" t="n">
        <f aca="false">VLOOKUP(H973,Paramètres!$A$15:$B$19,2,FALSE())</f>
        <v>1</v>
      </c>
      <c r="J973" s="31" t="n">
        <v>2</v>
      </c>
      <c r="K973" s="50" t="str">
        <f aca="false">C973&amp;"|"&amp;J973</f>
        <v>MOB-K|2</v>
      </c>
      <c r="L973" s="31" t="s">
        <v>2726</v>
      </c>
      <c r="M973" s="31" t="n">
        <v>3</v>
      </c>
      <c r="N973" s="51" t="s">
        <v>462</v>
      </c>
      <c r="O973" s="35" t="s">
        <v>78</v>
      </c>
      <c r="P973" s="52"/>
      <c r="Q973" s="52"/>
      <c r="R973" s="33" t="n">
        <f aca="false">INDEX(Épopées!$L$6:$L$59,MATCH(K973,Épopées!$A$6:$A$59,0))</f>
        <v>46674</v>
      </c>
      <c r="S973" s="33" t="n">
        <f aca="false">INDEX(Épopées!$M$6:$M$59,MATCH(K973,Épopées!$A$6:$A$59,0))</f>
        <v>46695</v>
      </c>
      <c r="T973" s="53" t="s">
        <v>463</v>
      </c>
    </row>
    <row r="974" customFormat="false" ht="15" hidden="false" customHeight="false" outlineLevel="0" collapsed="false">
      <c r="A974" s="31" t="s">
        <v>2732</v>
      </c>
      <c r="B974" s="31" t="s">
        <v>342</v>
      </c>
      <c r="C974" s="31" t="s">
        <v>395</v>
      </c>
      <c r="D974" s="31" t="s">
        <v>396</v>
      </c>
      <c r="E974" s="31" t="s">
        <v>2733</v>
      </c>
      <c r="F974" s="31" t="s">
        <v>460</v>
      </c>
      <c r="G974" s="31" t="s">
        <v>466</v>
      </c>
      <c r="H974" s="31" t="s">
        <v>41</v>
      </c>
      <c r="I974" s="31" t="n">
        <f aca="false">VLOOKUP(H974,Paramètres!$A$15:$B$19,2,FALSE())</f>
        <v>1</v>
      </c>
      <c r="J974" s="31" t="n">
        <v>2</v>
      </c>
      <c r="K974" s="50" t="str">
        <f aca="false">C974&amp;"|"&amp;J974</f>
        <v>MOB-K|2</v>
      </c>
      <c r="L974" s="31" t="s">
        <v>2726</v>
      </c>
      <c r="M974" s="31" t="n">
        <v>3</v>
      </c>
      <c r="N974" s="51" t="s">
        <v>462</v>
      </c>
      <c r="O974" s="35" t="s">
        <v>78</v>
      </c>
      <c r="P974" s="52"/>
      <c r="Q974" s="52"/>
      <c r="R974" s="33" t="n">
        <f aca="false">INDEX(Épopées!$L$6:$L$59,MATCH(K974,Épopées!$A$6:$A$59,0))</f>
        <v>46674</v>
      </c>
      <c r="S974" s="33" t="n">
        <f aca="false">INDEX(Épopées!$M$6:$M$59,MATCH(K974,Épopées!$A$6:$A$59,0))</f>
        <v>46695</v>
      </c>
      <c r="T974" s="53" t="s">
        <v>463</v>
      </c>
    </row>
    <row r="975" customFormat="false" ht="15" hidden="false" customHeight="false" outlineLevel="0" collapsed="false">
      <c r="A975" s="31" t="s">
        <v>2734</v>
      </c>
      <c r="B975" s="31" t="s">
        <v>342</v>
      </c>
      <c r="C975" s="31" t="s">
        <v>395</v>
      </c>
      <c r="D975" s="31" t="s">
        <v>396</v>
      </c>
      <c r="E975" s="31" t="s">
        <v>2735</v>
      </c>
      <c r="F975" s="31" t="s">
        <v>460</v>
      </c>
      <c r="G975" s="31" t="s">
        <v>461</v>
      </c>
      <c r="H975" s="31" t="s">
        <v>39</v>
      </c>
      <c r="I975" s="31" t="n">
        <f aca="false">VLOOKUP(H975,Paramètres!$A$15:$B$19,2,FALSE())</f>
        <v>0.5</v>
      </c>
      <c r="J975" s="31" t="n">
        <v>2</v>
      </c>
      <c r="K975" s="50" t="str">
        <f aca="false">C975&amp;"|"&amp;J975</f>
        <v>MOB-K|2</v>
      </c>
      <c r="L975" s="31" t="s">
        <v>2726</v>
      </c>
      <c r="M975" s="31" t="n">
        <v>3</v>
      </c>
      <c r="N975" s="51" t="s">
        <v>462</v>
      </c>
      <c r="O975" s="35" t="s">
        <v>78</v>
      </c>
      <c r="P975" s="52"/>
      <c r="Q975" s="52"/>
      <c r="R975" s="33" t="n">
        <f aca="false">INDEX(Épopées!$L$6:$L$59,MATCH(K975,Épopées!$A$6:$A$59,0))</f>
        <v>46674</v>
      </c>
      <c r="S975" s="33" t="n">
        <f aca="false">INDEX(Épopées!$M$6:$M$59,MATCH(K975,Épopées!$A$6:$A$59,0))</f>
        <v>46695</v>
      </c>
      <c r="T975" s="53" t="s">
        <v>463</v>
      </c>
    </row>
    <row r="976" customFormat="false" ht="15" hidden="false" customHeight="false" outlineLevel="0" collapsed="false">
      <c r="A976" s="31" t="s">
        <v>2736</v>
      </c>
      <c r="B976" s="31" t="s">
        <v>342</v>
      </c>
      <c r="C976" s="31" t="s">
        <v>395</v>
      </c>
      <c r="D976" s="31" t="s">
        <v>396</v>
      </c>
      <c r="E976" s="31" t="s">
        <v>2737</v>
      </c>
      <c r="F976" s="31" t="s">
        <v>491</v>
      </c>
      <c r="G976" s="31" t="s">
        <v>461</v>
      </c>
      <c r="H976" s="31" t="s">
        <v>43</v>
      </c>
      <c r="I976" s="31" t="n">
        <f aca="false">VLOOKUP(H976,Paramètres!$A$15:$B$19,2,FALSE())</f>
        <v>2</v>
      </c>
      <c r="J976" s="31" t="n">
        <v>2</v>
      </c>
      <c r="K976" s="50" t="str">
        <f aca="false">C976&amp;"|"&amp;J976</f>
        <v>MOB-K|2</v>
      </c>
      <c r="L976" s="31" t="s">
        <v>2728</v>
      </c>
      <c r="M976" s="31" t="n">
        <v>4</v>
      </c>
      <c r="N976" s="51" t="s">
        <v>462</v>
      </c>
      <c r="O976" s="35" t="s">
        <v>78</v>
      </c>
      <c r="P976" s="52"/>
      <c r="Q976" s="52"/>
      <c r="R976" s="33" t="n">
        <f aca="false">INDEX(Épopées!$L$6:$L$59,MATCH(K976,Épopées!$A$6:$A$59,0))</f>
        <v>46674</v>
      </c>
      <c r="S976" s="33" t="n">
        <f aca="false">INDEX(Épopées!$M$6:$M$59,MATCH(K976,Épopées!$A$6:$A$59,0))</f>
        <v>46695</v>
      </c>
      <c r="T976" s="53" t="s">
        <v>463</v>
      </c>
    </row>
    <row r="977" customFormat="false" ht="15" hidden="false" customHeight="false" outlineLevel="0" collapsed="false">
      <c r="A977" s="31" t="s">
        <v>2738</v>
      </c>
      <c r="B977" s="31" t="s">
        <v>342</v>
      </c>
      <c r="C977" s="31" t="s">
        <v>395</v>
      </c>
      <c r="D977" s="31" t="s">
        <v>396</v>
      </c>
      <c r="E977" s="31" t="s">
        <v>2739</v>
      </c>
      <c r="F977" s="31" t="s">
        <v>491</v>
      </c>
      <c r="G977" s="31" t="s">
        <v>461</v>
      </c>
      <c r="H977" s="31" t="s">
        <v>43</v>
      </c>
      <c r="I977" s="31" t="n">
        <f aca="false">VLOOKUP(H977,Paramètres!$A$15:$B$19,2,FALSE())</f>
        <v>2</v>
      </c>
      <c r="J977" s="31" t="n">
        <v>2</v>
      </c>
      <c r="K977" s="50" t="str">
        <f aca="false">C977&amp;"|"&amp;J977</f>
        <v>MOB-K|2</v>
      </c>
      <c r="L977" s="31" t="s">
        <v>2740</v>
      </c>
      <c r="M977" s="31" t="n">
        <v>3</v>
      </c>
      <c r="N977" s="51" t="s">
        <v>462</v>
      </c>
      <c r="O977" s="35" t="s">
        <v>78</v>
      </c>
      <c r="P977" s="52"/>
      <c r="Q977" s="52"/>
      <c r="R977" s="33" t="n">
        <f aca="false">INDEX(Épopées!$L$6:$L$59,MATCH(K977,Épopées!$A$6:$A$59,0))</f>
        <v>46674</v>
      </c>
      <c r="S977" s="33" t="n">
        <f aca="false">INDEX(Épopées!$M$6:$M$59,MATCH(K977,Épopées!$A$6:$A$59,0))</f>
        <v>46695</v>
      </c>
      <c r="T977" s="53" t="s">
        <v>463</v>
      </c>
    </row>
    <row r="978" customFormat="false" ht="15" hidden="false" customHeight="false" outlineLevel="0" collapsed="false">
      <c r="A978" s="31" t="s">
        <v>2741</v>
      </c>
      <c r="B978" s="31" t="s">
        <v>342</v>
      </c>
      <c r="C978" s="31" t="s">
        <v>395</v>
      </c>
      <c r="D978" s="31" t="s">
        <v>396</v>
      </c>
      <c r="E978" s="31" t="s">
        <v>2742</v>
      </c>
      <c r="F978" s="31" t="s">
        <v>1623</v>
      </c>
      <c r="G978" s="31" t="s">
        <v>461</v>
      </c>
      <c r="H978" s="31" t="s">
        <v>43</v>
      </c>
      <c r="I978" s="31" t="n">
        <f aca="false">VLOOKUP(H978,Paramètres!$A$15:$B$19,2,FALSE())</f>
        <v>2</v>
      </c>
      <c r="J978" s="31" t="n">
        <v>2</v>
      </c>
      <c r="K978" s="50" t="str">
        <f aca="false">C978&amp;"|"&amp;J978</f>
        <v>MOB-K|2</v>
      </c>
      <c r="L978" s="31" t="s">
        <v>2736</v>
      </c>
      <c r="M978" s="31" t="n">
        <v>1</v>
      </c>
      <c r="N978" s="51" t="s">
        <v>462</v>
      </c>
      <c r="O978" s="35" t="s">
        <v>78</v>
      </c>
      <c r="P978" s="52"/>
      <c r="Q978" s="52"/>
      <c r="R978" s="33" t="n">
        <f aca="false">INDEX(Épopées!$L$6:$L$59,MATCH(K978,Épopées!$A$6:$A$59,0))</f>
        <v>46674</v>
      </c>
      <c r="S978" s="33" t="n">
        <f aca="false">INDEX(Épopées!$M$6:$M$59,MATCH(K978,Épopées!$A$6:$A$59,0))</f>
        <v>46695</v>
      </c>
      <c r="T978" s="53" t="s">
        <v>463</v>
      </c>
    </row>
    <row r="979" customFormat="false" ht="15" hidden="false" customHeight="false" outlineLevel="0" collapsed="false">
      <c r="A979" s="31" t="s">
        <v>2743</v>
      </c>
      <c r="B979" s="31" t="s">
        <v>342</v>
      </c>
      <c r="C979" s="31" t="s">
        <v>395</v>
      </c>
      <c r="D979" s="31" t="s">
        <v>396</v>
      </c>
      <c r="E979" s="31" t="s">
        <v>2744</v>
      </c>
      <c r="F979" s="31" t="s">
        <v>1623</v>
      </c>
      <c r="G979" s="31" t="s">
        <v>461</v>
      </c>
      <c r="H979" s="31" t="s">
        <v>43</v>
      </c>
      <c r="I979" s="31" t="n">
        <f aca="false">VLOOKUP(H979,Paramètres!$A$15:$B$19,2,FALSE())</f>
        <v>2</v>
      </c>
      <c r="J979" s="31" t="n">
        <v>2</v>
      </c>
      <c r="K979" s="50" t="str">
        <f aca="false">C979&amp;"|"&amp;J979</f>
        <v>MOB-K|2</v>
      </c>
      <c r="L979" s="31" t="s">
        <v>2745</v>
      </c>
      <c r="M979" s="31" t="n">
        <v>1</v>
      </c>
      <c r="N979" s="51" t="s">
        <v>462</v>
      </c>
      <c r="O979" s="35" t="s">
        <v>78</v>
      </c>
      <c r="P979" s="52"/>
      <c r="Q979" s="52"/>
      <c r="R979" s="33" t="n">
        <f aca="false">INDEX(Épopées!$L$6:$L$59,MATCH(K979,Épopées!$A$6:$A$59,0))</f>
        <v>46674</v>
      </c>
      <c r="S979" s="33" t="n">
        <f aca="false">INDEX(Épopées!$M$6:$M$59,MATCH(K979,Épopées!$A$6:$A$59,0))</f>
        <v>46695</v>
      </c>
      <c r="T979" s="53" t="s">
        <v>463</v>
      </c>
    </row>
    <row r="980" customFormat="false" ht="15" hidden="false" customHeight="false" outlineLevel="0" collapsed="false">
      <c r="A980" s="31" t="s">
        <v>2746</v>
      </c>
      <c r="B980" s="31" t="s">
        <v>342</v>
      </c>
      <c r="C980" s="31" t="s">
        <v>395</v>
      </c>
      <c r="D980" s="31" t="s">
        <v>396</v>
      </c>
      <c r="E980" s="31" t="s">
        <v>2747</v>
      </c>
      <c r="F980" s="31" t="s">
        <v>1623</v>
      </c>
      <c r="G980" s="31" t="s">
        <v>461</v>
      </c>
      <c r="H980" s="31" t="s">
        <v>41</v>
      </c>
      <c r="I980" s="31" t="n">
        <f aca="false">VLOOKUP(H980,Paramètres!$A$15:$B$19,2,FALSE())</f>
        <v>1</v>
      </c>
      <c r="J980" s="31" t="n">
        <v>2</v>
      </c>
      <c r="K980" s="50" t="str">
        <f aca="false">C980&amp;"|"&amp;J980</f>
        <v>MOB-K|2</v>
      </c>
      <c r="L980" s="31" t="s">
        <v>2738</v>
      </c>
      <c r="M980" s="31" t="n">
        <v>1</v>
      </c>
      <c r="N980" s="51" t="s">
        <v>462</v>
      </c>
      <c r="O980" s="35" t="s">
        <v>78</v>
      </c>
      <c r="P980" s="52"/>
      <c r="Q980" s="52"/>
      <c r="R980" s="33" t="n">
        <f aca="false">INDEX(Épopées!$L$6:$L$59,MATCH(K980,Épopées!$A$6:$A$59,0))</f>
        <v>46674</v>
      </c>
      <c r="S980" s="33" t="n">
        <f aca="false">INDEX(Épopées!$M$6:$M$59,MATCH(K980,Épopées!$A$6:$A$59,0))</f>
        <v>46695</v>
      </c>
      <c r="T980" s="53" t="s">
        <v>463</v>
      </c>
    </row>
    <row r="981" customFormat="false" ht="15" hidden="false" customHeight="false" outlineLevel="0" collapsed="false">
      <c r="A981" s="31" t="s">
        <v>2748</v>
      </c>
      <c r="B981" s="31" t="s">
        <v>342</v>
      </c>
      <c r="C981" s="31" t="s">
        <v>395</v>
      </c>
      <c r="D981" s="31" t="s">
        <v>396</v>
      </c>
      <c r="E981" s="31" t="s">
        <v>2749</v>
      </c>
      <c r="F981" s="31" t="s">
        <v>469</v>
      </c>
      <c r="G981" s="31" t="s">
        <v>466</v>
      </c>
      <c r="H981" s="31" t="s">
        <v>39</v>
      </c>
      <c r="I981" s="31" t="n">
        <f aca="false">VLOOKUP(H981,Paramètres!$A$15:$B$19,2,FALSE())</f>
        <v>0.5</v>
      </c>
      <c r="J981" s="31" t="n">
        <v>2</v>
      </c>
      <c r="K981" s="50" t="str">
        <f aca="false">C981&amp;"|"&amp;J981</f>
        <v>MOB-K|2</v>
      </c>
      <c r="L981" s="31" t="s">
        <v>2730</v>
      </c>
      <c r="M981" s="31" t="n">
        <v>1</v>
      </c>
      <c r="N981" s="51" t="s">
        <v>462</v>
      </c>
      <c r="O981" s="35" t="s">
        <v>78</v>
      </c>
      <c r="P981" s="52"/>
      <c r="Q981" s="52"/>
      <c r="R981" s="33" t="n">
        <f aca="false">INDEX(Épopées!$L$6:$L$59,MATCH(K981,Épopées!$A$6:$A$59,0))</f>
        <v>46674</v>
      </c>
      <c r="S981" s="33" t="n">
        <f aca="false">INDEX(Épopées!$M$6:$M$59,MATCH(K981,Épopées!$A$6:$A$59,0))</f>
        <v>46695</v>
      </c>
      <c r="T981" s="53" t="s">
        <v>463</v>
      </c>
    </row>
    <row r="982" customFormat="false" ht="15" hidden="false" customHeight="false" outlineLevel="0" collapsed="false">
      <c r="A982" s="31" t="s">
        <v>2750</v>
      </c>
      <c r="B982" s="31" t="s">
        <v>342</v>
      </c>
      <c r="C982" s="31" t="s">
        <v>395</v>
      </c>
      <c r="D982" s="31" t="s">
        <v>396</v>
      </c>
      <c r="E982" s="31" t="s">
        <v>2751</v>
      </c>
      <c r="F982" s="31" t="s">
        <v>1623</v>
      </c>
      <c r="G982" s="31" t="s">
        <v>461</v>
      </c>
      <c r="H982" s="31" t="s">
        <v>41</v>
      </c>
      <c r="I982" s="31" t="n">
        <f aca="false">VLOOKUP(H982,Paramètres!$A$15:$B$19,2,FALSE())</f>
        <v>1</v>
      </c>
      <c r="J982" s="31" t="n">
        <v>2</v>
      </c>
      <c r="K982" s="50" t="str">
        <f aca="false">C982&amp;"|"&amp;J982</f>
        <v>MOB-K|2</v>
      </c>
      <c r="L982" s="31" t="s">
        <v>2743</v>
      </c>
      <c r="M982" s="31" t="n">
        <v>1</v>
      </c>
      <c r="N982" s="51" t="s">
        <v>462</v>
      </c>
      <c r="O982" s="35" t="s">
        <v>78</v>
      </c>
      <c r="P982" s="52"/>
      <c r="Q982" s="52"/>
      <c r="R982" s="33" t="n">
        <f aca="false">INDEX(Épopées!$L$6:$L$59,MATCH(K982,Épopées!$A$6:$A$59,0))</f>
        <v>46674</v>
      </c>
      <c r="S982" s="33" t="n">
        <f aca="false">INDEX(Épopées!$M$6:$M$59,MATCH(K982,Épopées!$A$6:$A$59,0))</f>
        <v>46695</v>
      </c>
      <c r="T982" s="53" t="s">
        <v>463</v>
      </c>
    </row>
    <row r="983" customFormat="false" ht="15" hidden="false" customHeight="false" outlineLevel="0" collapsed="false">
      <c r="A983" s="31" t="s">
        <v>2752</v>
      </c>
      <c r="B983" s="31" t="s">
        <v>342</v>
      </c>
      <c r="C983" s="31" t="s">
        <v>395</v>
      </c>
      <c r="D983" s="31" t="s">
        <v>396</v>
      </c>
      <c r="E983" s="31" t="s">
        <v>2753</v>
      </c>
      <c r="F983" s="31" t="s">
        <v>1623</v>
      </c>
      <c r="G983" s="31" t="s">
        <v>461</v>
      </c>
      <c r="H983" s="31" t="s">
        <v>41</v>
      </c>
      <c r="I983" s="31" t="n">
        <f aca="false">VLOOKUP(H983,Paramètres!$A$15:$B$19,2,FALSE())</f>
        <v>1</v>
      </c>
      <c r="J983" s="31" t="n">
        <v>2</v>
      </c>
      <c r="K983" s="50" t="str">
        <f aca="false">C983&amp;"|"&amp;J983</f>
        <v>MOB-K|2</v>
      </c>
      <c r="L983" s="31" t="s">
        <v>2754</v>
      </c>
      <c r="M983" s="31" t="n">
        <v>1</v>
      </c>
      <c r="N983" s="51" t="s">
        <v>462</v>
      </c>
      <c r="O983" s="35" t="s">
        <v>78</v>
      </c>
      <c r="P983" s="52"/>
      <c r="Q983" s="52"/>
      <c r="R983" s="33" t="n">
        <f aca="false">INDEX(Épopées!$L$6:$L$59,MATCH(K983,Épopées!$A$6:$A$59,0))</f>
        <v>46674</v>
      </c>
      <c r="S983" s="33" t="n">
        <f aca="false">INDEX(Épopées!$M$6:$M$59,MATCH(K983,Épopées!$A$6:$A$59,0))</f>
        <v>46695</v>
      </c>
      <c r="T983" s="53" t="s">
        <v>463</v>
      </c>
    </row>
    <row r="984" customFormat="false" ht="15" hidden="false" customHeight="false" outlineLevel="0" collapsed="false">
      <c r="A984" s="31" t="s">
        <v>2755</v>
      </c>
      <c r="B984" s="31" t="s">
        <v>342</v>
      </c>
      <c r="C984" s="31" t="s">
        <v>395</v>
      </c>
      <c r="D984" s="31" t="s">
        <v>396</v>
      </c>
      <c r="E984" s="31" t="s">
        <v>2756</v>
      </c>
      <c r="F984" s="31" t="s">
        <v>1623</v>
      </c>
      <c r="G984" s="31" t="s">
        <v>466</v>
      </c>
      <c r="H984" s="31" t="s">
        <v>39</v>
      </c>
      <c r="I984" s="31" t="n">
        <f aca="false">VLOOKUP(H984,Paramètres!$A$15:$B$19,2,FALSE())</f>
        <v>0.5</v>
      </c>
      <c r="J984" s="31" t="n">
        <v>2</v>
      </c>
      <c r="K984" s="50" t="str">
        <f aca="false">C984&amp;"|"&amp;J984</f>
        <v>MOB-K|2</v>
      </c>
      <c r="L984" s="31" t="s">
        <v>2757</v>
      </c>
      <c r="M984" s="31" t="n">
        <v>1</v>
      </c>
      <c r="N984" s="51" t="s">
        <v>462</v>
      </c>
      <c r="O984" s="35" t="s">
        <v>78</v>
      </c>
      <c r="P984" s="52"/>
      <c r="Q984" s="52"/>
      <c r="R984" s="33" t="n">
        <f aca="false">INDEX(Épopées!$L$6:$L$59,MATCH(K984,Épopées!$A$6:$A$59,0))</f>
        <v>46674</v>
      </c>
      <c r="S984" s="33" t="n">
        <f aca="false">INDEX(Épopées!$M$6:$M$59,MATCH(K984,Épopées!$A$6:$A$59,0))</f>
        <v>46695</v>
      </c>
      <c r="T984" s="53" t="s">
        <v>463</v>
      </c>
    </row>
    <row r="985" customFormat="false" ht="15" hidden="false" customHeight="false" outlineLevel="0" collapsed="false">
      <c r="A985" s="31" t="s">
        <v>2758</v>
      </c>
      <c r="B985" s="31" t="s">
        <v>342</v>
      </c>
      <c r="C985" s="31" t="s">
        <v>395</v>
      </c>
      <c r="D985" s="31" t="s">
        <v>396</v>
      </c>
      <c r="E985" s="31" t="s">
        <v>2759</v>
      </c>
      <c r="F985" s="31" t="s">
        <v>491</v>
      </c>
      <c r="G985" s="31" t="s">
        <v>466</v>
      </c>
      <c r="H985" s="31" t="s">
        <v>41</v>
      </c>
      <c r="I985" s="31" t="n">
        <f aca="false">VLOOKUP(H985,Paramètres!$A$15:$B$19,2,FALSE())</f>
        <v>1</v>
      </c>
      <c r="J985" s="31" t="n">
        <v>2</v>
      </c>
      <c r="K985" s="50" t="str">
        <f aca="false">C985&amp;"|"&amp;J985</f>
        <v>MOB-K|2</v>
      </c>
      <c r="L985" s="31" t="s">
        <v>2726</v>
      </c>
      <c r="M985" s="31" t="n">
        <v>3</v>
      </c>
      <c r="N985" s="51" t="s">
        <v>462</v>
      </c>
      <c r="O985" s="35" t="s">
        <v>78</v>
      </c>
      <c r="P985" s="52"/>
      <c r="Q985" s="52"/>
      <c r="R985" s="33" t="n">
        <f aca="false">INDEX(Épopées!$L$6:$L$59,MATCH(K985,Épopées!$A$6:$A$59,0))</f>
        <v>46674</v>
      </c>
      <c r="S985" s="33" t="n">
        <f aca="false">INDEX(Épopées!$M$6:$M$59,MATCH(K985,Épopées!$A$6:$A$59,0))</f>
        <v>46695</v>
      </c>
      <c r="T985" s="53" t="s">
        <v>463</v>
      </c>
    </row>
    <row r="986" customFormat="false" ht="15" hidden="false" customHeight="false" outlineLevel="0" collapsed="false">
      <c r="A986" s="31" t="s">
        <v>2760</v>
      </c>
      <c r="B986" s="31" t="s">
        <v>342</v>
      </c>
      <c r="C986" s="31" t="s">
        <v>395</v>
      </c>
      <c r="D986" s="31" t="s">
        <v>396</v>
      </c>
      <c r="E986" s="31" t="s">
        <v>2761</v>
      </c>
      <c r="F986" s="31" t="s">
        <v>1623</v>
      </c>
      <c r="G986" s="31" t="s">
        <v>461</v>
      </c>
      <c r="H986" s="31" t="s">
        <v>39</v>
      </c>
      <c r="I986" s="31" t="n">
        <f aca="false">VLOOKUP(H986,Paramètres!$A$15:$B$19,2,FALSE())</f>
        <v>0.5</v>
      </c>
      <c r="J986" s="31" t="n">
        <v>2</v>
      </c>
      <c r="K986" s="50" t="str">
        <f aca="false">C986&amp;"|"&amp;J986</f>
        <v>MOB-K|2</v>
      </c>
      <c r="L986" s="31" t="s">
        <v>2743</v>
      </c>
      <c r="M986" s="31" t="n">
        <v>1</v>
      </c>
      <c r="N986" s="51" t="s">
        <v>462</v>
      </c>
      <c r="O986" s="35" t="s">
        <v>78</v>
      </c>
      <c r="P986" s="52"/>
      <c r="Q986" s="52"/>
      <c r="R986" s="33" t="n">
        <f aca="false">INDEX(Épopées!$L$6:$L$59,MATCH(K986,Épopées!$A$6:$A$59,0))</f>
        <v>46674</v>
      </c>
      <c r="S986" s="33" t="n">
        <f aca="false">INDEX(Épopées!$M$6:$M$59,MATCH(K986,Épopées!$A$6:$A$59,0))</f>
        <v>46695</v>
      </c>
      <c r="T986" s="53" t="s">
        <v>463</v>
      </c>
    </row>
    <row r="987" customFormat="false" ht="15" hidden="false" customHeight="false" outlineLevel="0" collapsed="false">
      <c r="A987" s="31" t="s">
        <v>2762</v>
      </c>
      <c r="B987" s="31" t="s">
        <v>342</v>
      </c>
      <c r="C987" s="31" t="s">
        <v>395</v>
      </c>
      <c r="D987" s="31" t="s">
        <v>396</v>
      </c>
      <c r="E987" s="31" t="s">
        <v>2763</v>
      </c>
      <c r="F987" s="31" t="s">
        <v>1623</v>
      </c>
      <c r="G987" s="31" t="s">
        <v>466</v>
      </c>
      <c r="H987" s="31" t="s">
        <v>41</v>
      </c>
      <c r="I987" s="31" t="n">
        <f aca="false">VLOOKUP(H987,Paramètres!$A$15:$B$19,2,FALSE())</f>
        <v>1</v>
      </c>
      <c r="J987" s="31" t="n">
        <v>2</v>
      </c>
      <c r="K987" s="50" t="str">
        <f aca="false">C987&amp;"|"&amp;J987</f>
        <v>MOB-K|2</v>
      </c>
      <c r="L987" s="31" t="s">
        <v>2764</v>
      </c>
      <c r="M987" s="31" t="n">
        <v>1</v>
      </c>
      <c r="N987" s="51" t="s">
        <v>462</v>
      </c>
      <c r="O987" s="35" t="s">
        <v>78</v>
      </c>
      <c r="P987" s="52"/>
      <c r="Q987" s="52"/>
      <c r="R987" s="33" t="n">
        <f aca="false">INDEX(Épopées!$L$6:$L$59,MATCH(K987,Épopées!$A$6:$A$59,0))</f>
        <v>46674</v>
      </c>
      <c r="S987" s="33" t="n">
        <f aca="false">INDEX(Épopées!$M$6:$M$59,MATCH(K987,Épopées!$A$6:$A$59,0))</f>
        <v>46695</v>
      </c>
      <c r="T987" s="53" t="s">
        <v>463</v>
      </c>
    </row>
    <row r="988" customFormat="false" ht="15" hidden="false" customHeight="false" outlineLevel="0" collapsed="false">
      <c r="A988" s="31" t="s">
        <v>2765</v>
      </c>
      <c r="B988" s="31" t="s">
        <v>342</v>
      </c>
      <c r="C988" s="31" t="s">
        <v>395</v>
      </c>
      <c r="D988" s="31" t="s">
        <v>396</v>
      </c>
      <c r="E988" s="31" t="s">
        <v>2766</v>
      </c>
      <c r="F988" s="31" t="s">
        <v>1623</v>
      </c>
      <c r="G988" s="31" t="s">
        <v>466</v>
      </c>
      <c r="H988" s="31" t="s">
        <v>41</v>
      </c>
      <c r="I988" s="31" t="n">
        <f aca="false">VLOOKUP(H988,Paramètres!$A$15:$B$19,2,FALSE())</f>
        <v>1</v>
      </c>
      <c r="J988" s="31" t="n">
        <v>2</v>
      </c>
      <c r="K988" s="50" t="str">
        <f aca="false">C988&amp;"|"&amp;J988</f>
        <v>MOB-K|2</v>
      </c>
      <c r="L988" s="31" t="s">
        <v>2762</v>
      </c>
      <c r="M988" s="31" t="n">
        <v>1</v>
      </c>
      <c r="N988" s="51" t="s">
        <v>462</v>
      </c>
      <c r="O988" s="35" t="s">
        <v>78</v>
      </c>
      <c r="P988" s="52"/>
      <c r="Q988" s="52"/>
      <c r="R988" s="33" t="n">
        <f aca="false">INDEX(Épopées!$L$6:$L$59,MATCH(K988,Épopées!$A$6:$A$59,0))</f>
        <v>46674</v>
      </c>
      <c r="S988" s="33" t="n">
        <f aca="false">INDEX(Épopées!$M$6:$M$59,MATCH(K988,Épopées!$A$6:$A$59,0))</f>
        <v>46695</v>
      </c>
      <c r="T988" s="53" t="s">
        <v>463</v>
      </c>
    </row>
    <row r="989" customFormat="false" ht="15" hidden="false" customHeight="false" outlineLevel="0" collapsed="false">
      <c r="A989" s="31" t="s">
        <v>2767</v>
      </c>
      <c r="B989" s="31" t="s">
        <v>342</v>
      </c>
      <c r="C989" s="31" t="s">
        <v>395</v>
      </c>
      <c r="D989" s="31" t="s">
        <v>396</v>
      </c>
      <c r="E989" s="31" t="s">
        <v>2768</v>
      </c>
      <c r="F989" s="31" t="s">
        <v>1623</v>
      </c>
      <c r="G989" s="31" t="s">
        <v>466</v>
      </c>
      <c r="H989" s="31" t="s">
        <v>41</v>
      </c>
      <c r="I989" s="31" t="n">
        <f aca="false">VLOOKUP(H989,Paramètres!$A$15:$B$19,2,FALSE())</f>
        <v>1</v>
      </c>
      <c r="J989" s="31" t="n">
        <v>2</v>
      </c>
      <c r="K989" s="50" t="str">
        <f aca="false">C989&amp;"|"&amp;J989</f>
        <v>MOB-K|2</v>
      </c>
      <c r="L989" s="31" t="s">
        <v>2762</v>
      </c>
      <c r="M989" s="31" t="n">
        <v>1</v>
      </c>
      <c r="N989" s="51" t="s">
        <v>462</v>
      </c>
      <c r="O989" s="35" t="s">
        <v>78</v>
      </c>
      <c r="P989" s="52"/>
      <c r="Q989" s="52"/>
      <c r="R989" s="33" t="n">
        <f aca="false">INDEX(Épopées!$L$6:$L$59,MATCH(K989,Épopées!$A$6:$A$59,0))</f>
        <v>46674</v>
      </c>
      <c r="S989" s="33" t="n">
        <f aca="false">INDEX(Épopées!$M$6:$M$59,MATCH(K989,Épopées!$A$6:$A$59,0))</f>
        <v>46695</v>
      </c>
      <c r="T989" s="53" t="s">
        <v>463</v>
      </c>
    </row>
    <row r="990" customFormat="false" ht="15" hidden="false" customHeight="false" outlineLevel="0" collapsed="false">
      <c r="A990" s="31" t="s">
        <v>2769</v>
      </c>
      <c r="B990" s="31" t="s">
        <v>342</v>
      </c>
      <c r="C990" s="31" t="s">
        <v>395</v>
      </c>
      <c r="D990" s="31" t="s">
        <v>396</v>
      </c>
      <c r="E990" s="31" t="s">
        <v>2770</v>
      </c>
      <c r="F990" s="31" t="s">
        <v>1623</v>
      </c>
      <c r="G990" s="31" t="s">
        <v>466</v>
      </c>
      <c r="H990" s="31" t="s">
        <v>41</v>
      </c>
      <c r="I990" s="31" t="n">
        <f aca="false">VLOOKUP(H990,Paramètres!$A$15:$B$19,2,FALSE())</f>
        <v>1</v>
      </c>
      <c r="J990" s="31" t="n">
        <v>2</v>
      </c>
      <c r="K990" s="50" t="str">
        <f aca="false">C990&amp;"|"&amp;J990</f>
        <v>MOB-K|2</v>
      </c>
      <c r="L990" s="31" t="s">
        <v>2771</v>
      </c>
      <c r="M990" s="31" t="n">
        <v>1</v>
      </c>
      <c r="N990" s="51" t="s">
        <v>462</v>
      </c>
      <c r="O990" s="35" t="s">
        <v>78</v>
      </c>
      <c r="P990" s="52"/>
      <c r="Q990" s="52"/>
      <c r="R990" s="33" t="n">
        <f aca="false">INDEX(Épopées!$L$6:$L$59,MATCH(K990,Épopées!$A$6:$A$59,0))</f>
        <v>46674</v>
      </c>
      <c r="S990" s="33" t="n">
        <f aca="false">INDEX(Épopées!$M$6:$M$59,MATCH(K990,Épopées!$A$6:$A$59,0))</f>
        <v>46695</v>
      </c>
      <c r="T990" s="53" t="s">
        <v>463</v>
      </c>
    </row>
    <row r="991" customFormat="false" ht="15" hidden="false" customHeight="false" outlineLevel="0" collapsed="false">
      <c r="A991" s="31" t="s">
        <v>2772</v>
      </c>
      <c r="B991" s="31" t="s">
        <v>342</v>
      </c>
      <c r="C991" s="31" t="s">
        <v>395</v>
      </c>
      <c r="D991" s="31" t="s">
        <v>396</v>
      </c>
      <c r="E991" s="31" t="s">
        <v>2773</v>
      </c>
      <c r="F991" s="31" t="s">
        <v>1623</v>
      </c>
      <c r="G991" s="31" t="s">
        <v>466</v>
      </c>
      <c r="H991" s="31" t="s">
        <v>39</v>
      </c>
      <c r="I991" s="31" t="n">
        <f aca="false">VLOOKUP(H991,Paramètres!$A$15:$B$19,2,FALSE())</f>
        <v>0.5</v>
      </c>
      <c r="J991" s="31" t="n">
        <v>2</v>
      </c>
      <c r="K991" s="50" t="str">
        <f aca="false">C991&amp;"|"&amp;J991</f>
        <v>MOB-K|2</v>
      </c>
      <c r="L991" s="31" t="s">
        <v>2736</v>
      </c>
      <c r="M991" s="31" t="n">
        <v>1</v>
      </c>
      <c r="N991" s="51" t="s">
        <v>462</v>
      </c>
      <c r="O991" s="35" t="s">
        <v>78</v>
      </c>
      <c r="P991" s="52"/>
      <c r="Q991" s="52"/>
      <c r="R991" s="33" t="n">
        <f aca="false">INDEX(Épopées!$L$6:$L$59,MATCH(K991,Épopées!$A$6:$A$59,0))</f>
        <v>46674</v>
      </c>
      <c r="S991" s="33" t="n">
        <f aca="false">INDEX(Épopées!$M$6:$M$59,MATCH(K991,Épopées!$A$6:$A$59,0))</f>
        <v>46695</v>
      </c>
      <c r="T991" s="53" t="s">
        <v>463</v>
      </c>
    </row>
    <row r="992" customFormat="false" ht="15" hidden="false" customHeight="false" outlineLevel="0" collapsed="false">
      <c r="A992" s="31" t="s">
        <v>2774</v>
      </c>
      <c r="B992" s="31" t="s">
        <v>342</v>
      </c>
      <c r="C992" s="31" t="s">
        <v>395</v>
      </c>
      <c r="D992" s="31" t="s">
        <v>396</v>
      </c>
      <c r="E992" s="31" t="s">
        <v>2775</v>
      </c>
      <c r="F992" s="31" t="s">
        <v>1623</v>
      </c>
      <c r="G992" s="31" t="s">
        <v>466</v>
      </c>
      <c r="H992" s="31" t="s">
        <v>39</v>
      </c>
      <c r="I992" s="31" t="n">
        <f aca="false">VLOOKUP(H992,Paramètres!$A$15:$B$19,2,FALSE())</f>
        <v>0.5</v>
      </c>
      <c r="J992" s="31" t="n">
        <v>2</v>
      </c>
      <c r="K992" s="50" t="str">
        <f aca="false">C992&amp;"|"&amp;J992</f>
        <v>MOB-K|2</v>
      </c>
      <c r="L992" s="31" t="s">
        <v>2776</v>
      </c>
      <c r="M992" s="31" t="n">
        <v>1</v>
      </c>
      <c r="N992" s="51" t="s">
        <v>462</v>
      </c>
      <c r="O992" s="35" t="s">
        <v>78</v>
      </c>
      <c r="P992" s="52"/>
      <c r="Q992" s="52"/>
      <c r="R992" s="33" t="n">
        <f aca="false">INDEX(Épopées!$L$6:$L$59,MATCH(K992,Épopées!$A$6:$A$59,0))</f>
        <v>46674</v>
      </c>
      <c r="S992" s="33" t="n">
        <f aca="false">INDEX(Épopées!$M$6:$M$59,MATCH(K992,Épopées!$A$6:$A$59,0))</f>
        <v>46695</v>
      </c>
      <c r="T992" s="53" t="s">
        <v>463</v>
      </c>
    </row>
    <row r="993" customFormat="false" ht="15" hidden="false" customHeight="false" outlineLevel="0" collapsed="false">
      <c r="A993" s="31" t="s">
        <v>2777</v>
      </c>
      <c r="B993" s="31" t="s">
        <v>342</v>
      </c>
      <c r="C993" s="31" t="s">
        <v>395</v>
      </c>
      <c r="D993" s="31" t="s">
        <v>396</v>
      </c>
      <c r="E993" s="31" t="s">
        <v>2778</v>
      </c>
      <c r="F993" s="31" t="s">
        <v>1623</v>
      </c>
      <c r="G993" s="31" t="s">
        <v>466</v>
      </c>
      <c r="H993" s="31" t="s">
        <v>43</v>
      </c>
      <c r="I993" s="31" t="n">
        <f aca="false">VLOOKUP(H993,Paramètres!$A$15:$B$19,2,FALSE())</f>
        <v>2</v>
      </c>
      <c r="J993" s="31" t="n">
        <v>2</v>
      </c>
      <c r="K993" s="50" t="str">
        <f aca="false">C993&amp;"|"&amp;J993</f>
        <v>MOB-K|2</v>
      </c>
      <c r="L993" s="31" t="s">
        <v>2779</v>
      </c>
      <c r="M993" s="31" t="n">
        <v>1</v>
      </c>
      <c r="N993" s="51" t="s">
        <v>462</v>
      </c>
      <c r="O993" s="35" t="s">
        <v>78</v>
      </c>
      <c r="P993" s="52"/>
      <c r="Q993" s="52"/>
      <c r="R993" s="33" t="n">
        <f aca="false">INDEX(Épopées!$L$6:$L$59,MATCH(K993,Épopées!$A$6:$A$59,0))</f>
        <v>46674</v>
      </c>
      <c r="S993" s="33" t="n">
        <f aca="false">INDEX(Épopées!$M$6:$M$59,MATCH(K993,Épopées!$A$6:$A$59,0))</f>
        <v>46695</v>
      </c>
      <c r="T993" s="53" t="s">
        <v>463</v>
      </c>
    </row>
    <row r="994" customFormat="false" ht="15" hidden="false" customHeight="false" outlineLevel="0" collapsed="false">
      <c r="A994" s="31" t="s">
        <v>2779</v>
      </c>
      <c r="B994" s="31" t="s">
        <v>342</v>
      </c>
      <c r="C994" s="31" t="s">
        <v>395</v>
      </c>
      <c r="D994" s="31" t="s">
        <v>396</v>
      </c>
      <c r="E994" s="31" t="s">
        <v>2780</v>
      </c>
      <c r="F994" s="31" t="s">
        <v>460</v>
      </c>
      <c r="G994" s="31" t="s">
        <v>466</v>
      </c>
      <c r="H994" s="31" t="s">
        <v>39</v>
      </c>
      <c r="I994" s="31" t="n">
        <f aca="false">VLOOKUP(H994,Paramètres!$A$15:$B$19,2,FALSE())</f>
        <v>0.5</v>
      </c>
      <c r="J994" s="31" t="n">
        <v>2</v>
      </c>
      <c r="K994" s="50" t="str">
        <f aca="false">C994&amp;"|"&amp;J994</f>
        <v>MOB-K|2</v>
      </c>
      <c r="L994" s="31" t="s">
        <v>2726</v>
      </c>
      <c r="M994" s="31" t="n">
        <v>2</v>
      </c>
      <c r="N994" s="51" t="s">
        <v>462</v>
      </c>
      <c r="O994" s="35" t="s">
        <v>78</v>
      </c>
      <c r="P994" s="52"/>
      <c r="Q994" s="52"/>
      <c r="R994" s="33" t="n">
        <f aca="false">INDEX(Épopées!$L$6:$L$59,MATCH(K994,Épopées!$A$6:$A$59,0))</f>
        <v>46674</v>
      </c>
      <c r="S994" s="33" t="n">
        <f aca="false">INDEX(Épopées!$M$6:$M$59,MATCH(K994,Épopées!$A$6:$A$59,0))</f>
        <v>46695</v>
      </c>
      <c r="T994" s="53" t="s">
        <v>463</v>
      </c>
    </row>
    <row r="995" customFormat="false" ht="15" hidden="false" customHeight="false" outlineLevel="0" collapsed="false">
      <c r="A995" s="31" t="s">
        <v>2781</v>
      </c>
      <c r="B995" s="31" t="s">
        <v>342</v>
      </c>
      <c r="C995" s="31" t="s">
        <v>395</v>
      </c>
      <c r="D995" s="31" t="s">
        <v>396</v>
      </c>
      <c r="E995" s="31" t="s">
        <v>2782</v>
      </c>
      <c r="F995" s="31" t="s">
        <v>1623</v>
      </c>
      <c r="G995" s="31" t="s">
        <v>466</v>
      </c>
      <c r="H995" s="31" t="s">
        <v>41</v>
      </c>
      <c r="I995" s="31" t="n">
        <f aca="false">VLOOKUP(H995,Paramètres!$A$15:$B$19,2,FALSE())</f>
        <v>1</v>
      </c>
      <c r="J995" s="31" t="n">
        <v>2</v>
      </c>
      <c r="K995" s="50" t="str">
        <f aca="false">C995&amp;"|"&amp;J995</f>
        <v>MOB-K|2</v>
      </c>
      <c r="L995" s="31" t="s">
        <v>2777</v>
      </c>
      <c r="M995" s="31" t="n">
        <v>1</v>
      </c>
      <c r="N995" s="51" t="s">
        <v>462</v>
      </c>
      <c r="O995" s="35" t="s">
        <v>78</v>
      </c>
      <c r="P995" s="52"/>
      <c r="Q995" s="52"/>
      <c r="R995" s="33" t="n">
        <f aca="false">INDEX(Épopées!$L$6:$L$59,MATCH(K995,Épopées!$A$6:$A$59,0))</f>
        <v>46674</v>
      </c>
      <c r="S995" s="33" t="n">
        <f aca="false">INDEX(Épopées!$M$6:$M$59,MATCH(K995,Épopées!$A$6:$A$59,0))</f>
        <v>46695</v>
      </c>
      <c r="T995" s="53" t="s">
        <v>463</v>
      </c>
    </row>
    <row r="996" customFormat="false" ht="15" hidden="false" customHeight="false" outlineLevel="0" collapsed="false">
      <c r="A996" s="31" t="s">
        <v>2783</v>
      </c>
      <c r="B996" s="31" t="s">
        <v>342</v>
      </c>
      <c r="C996" s="31" t="s">
        <v>395</v>
      </c>
      <c r="D996" s="31" t="s">
        <v>396</v>
      </c>
      <c r="E996" s="31" t="s">
        <v>2784</v>
      </c>
      <c r="F996" s="31" t="s">
        <v>1623</v>
      </c>
      <c r="G996" s="31" t="s">
        <v>466</v>
      </c>
      <c r="H996" s="31" t="s">
        <v>39</v>
      </c>
      <c r="I996" s="31" t="n">
        <f aca="false">VLOOKUP(H996,Paramètres!$A$15:$B$19,2,FALSE())</f>
        <v>0.5</v>
      </c>
      <c r="J996" s="31" t="n">
        <v>2</v>
      </c>
      <c r="K996" s="50" t="str">
        <f aca="false">C996&amp;"|"&amp;J996</f>
        <v>MOB-K|2</v>
      </c>
      <c r="L996" s="31" t="s">
        <v>2777</v>
      </c>
      <c r="M996" s="31" t="n">
        <v>1</v>
      </c>
      <c r="N996" s="51" t="s">
        <v>462</v>
      </c>
      <c r="O996" s="35" t="s">
        <v>78</v>
      </c>
      <c r="P996" s="52"/>
      <c r="Q996" s="52"/>
      <c r="R996" s="33" t="n">
        <f aca="false">INDEX(Épopées!$L$6:$L$59,MATCH(K996,Épopées!$A$6:$A$59,0))</f>
        <v>46674</v>
      </c>
      <c r="S996" s="33" t="n">
        <f aca="false">INDEX(Épopées!$M$6:$M$59,MATCH(K996,Épopées!$A$6:$A$59,0))</f>
        <v>46695</v>
      </c>
      <c r="T996" s="53" t="s">
        <v>463</v>
      </c>
    </row>
    <row r="997" customFormat="false" ht="15" hidden="false" customHeight="false" outlineLevel="0" collapsed="false">
      <c r="A997" s="31" t="s">
        <v>2785</v>
      </c>
      <c r="B997" s="31" t="s">
        <v>342</v>
      </c>
      <c r="C997" s="31" t="s">
        <v>395</v>
      </c>
      <c r="D997" s="31" t="s">
        <v>396</v>
      </c>
      <c r="E997" s="31" t="s">
        <v>2786</v>
      </c>
      <c r="F997" s="31" t="s">
        <v>469</v>
      </c>
      <c r="G997" s="31" t="s">
        <v>466</v>
      </c>
      <c r="H997" s="31" t="s">
        <v>41</v>
      </c>
      <c r="I997" s="31" t="n">
        <f aca="false">VLOOKUP(H997,Paramètres!$A$15:$B$19,2,FALSE())</f>
        <v>1</v>
      </c>
      <c r="J997" s="31" t="n">
        <v>2</v>
      </c>
      <c r="K997" s="50" t="str">
        <f aca="false">C997&amp;"|"&amp;J997</f>
        <v>MOB-K|2</v>
      </c>
      <c r="L997" s="31" t="s">
        <v>2730</v>
      </c>
      <c r="M997" s="31" t="n">
        <v>3</v>
      </c>
      <c r="N997" s="51" t="s">
        <v>462</v>
      </c>
      <c r="O997" s="35" t="s">
        <v>78</v>
      </c>
      <c r="P997" s="52"/>
      <c r="Q997" s="52"/>
      <c r="R997" s="33" t="n">
        <f aca="false">INDEX(Épopées!$L$6:$L$59,MATCH(K997,Épopées!$A$6:$A$59,0))</f>
        <v>46674</v>
      </c>
      <c r="S997" s="33" t="n">
        <f aca="false">INDEX(Épopées!$M$6:$M$59,MATCH(K997,Épopées!$A$6:$A$59,0))</f>
        <v>46695</v>
      </c>
      <c r="T997" s="53" t="s">
        <v>463</v>
      </c>
    </row>
    <row r="998" customFormat="false" ht="15" hidden="false" customHeight="false" outlineLevel="0" collapsed="false">
      <c r="A998" s="31" t="s">
        <v>2787</v>
      </c>
      <c r="B998" s="31" t="s">
        <v>342</v>
      </c>
      <c r="C998" s="31" t="s">
        <v>395</v>
      </c>
      <c r="D998" s="31" t="s">
        <v>396</v>
      </c>
      <c r="E998" s="31" t="s">
        <v>2788</v>
      </c>
      <c r="F998" s="31" t="s">
        <v>548</v>
      </c>
      <c r="G998" s="31" t="s">
        <v>466</v>
      </c>
      <c r="H998" s="31" t="s">
        <v>41</v>
      </c>
      <c r="I998" s="31" t="n">
        <f aca="false">VLOOKUP(H998,Paramètres!$A$15:$B$19,2,FALSE())</f>
        <v>1</v>
      </c>
      <c r="J998" s="31" t="n">
        <v>2</v>
      </c>
      <c r="K998" s="50" t="str">
        <f aca="false">C998&amp;"|"&amp;J998</f>
        <v>MOB-K|2</v>
      </c>
      <c r="L998" s="31" t="s">
        <v>2738</v>
      </c>
      <c r="M998" s="31" t="n">
        <v>4</v>
      </c>
      <c r="N998" s="51" t="s">
        <v>462</v>
      </c>
      <c r="O998" s="35" t="s">
        <v>78</v>
      </c>
      <c r="P998" s="52"/>
      <c r="Q998" s="52"/>
      <c r="R998" s="33" t="n">
        <f aca="false">INDEX(Épopées!$L$6:$L$59,MATCH(K998,Épopées!$A$6:$A$59,0))</f>
        <v>46674</v>
      </c>
      <c r="S998" s="33" t="n">
        <f aca="false">INDEX(Épopées!$M$6:$M$59,MATCH(K998,Épopées!$A$6:$A$59,0))</f>
        <v>46695</v>
      </c>
      <c r="T998" s="53" t="s">
        <v>463</v>
      </c>
    </row>
    <row r="999" customFormat="false" ht="15" hidden="false" customHeight="false" outlineLevel="0" collapsed="false">
      <c r="A999" s="31" t="s">
        <v>2789</v>
      </c>
      <c r="B999" s="31" t="s">
        <v>342</v>
      </c>
      <c r="C999" s="31" t="s">
        <v>395</v>
      </c>
      <c r="D999" s="31" t="s">
        <v>396</v>
      </c>
      <c r="E999" s="31" t="s">
        <v>2790</v>
      </c>
      <c r="F999" s="31" t="s">
        <v>491</v>
      </c>
      <c r="G999" s="31" t="s">
        <v>466</v>
      </c>
      <c r="H999" s="31" t="s">
        <v>41</v>
      </c>
      <c r="I999" s="31" t="n">
        <f aca="false">VLOOKUP(H999,Paramètres!$A$15:$B$19,2,FALSE())</f>
        <v>1</v>
      </c>
      <c r="J999" s="31" t="n">
        <v>2</v>
      </c>
      <c r="K999" s="50" t="str">
        <f aca="false">C999&amp;"|"&amp;J999</f>
        <v>MOB-K|2</v>
      </c>
      <c r="L999" s="31" t="s">
        <v>2728</v>
      </c>
      <c r="M999" s="31" t="n">
        <v>3</v>
      </c>
      <c r="N999" s="51" t="s">
        <v>462</v>
      </c>
      <c r="O999" s="35" t="s">
        <v>78</v>
      </c>
      <c r="P999" s="52"/>
      <c r="Q999" s="52"/>
      <c r="R999" s="33" t="n">
        <f aca="false">INDEX(Épopées!$L$6:$L$59,MATCH(K999,Épopées!$A$6:$A$59,0))</f>
        <v>46674</v>
      </c>
      <c r="S999" s="33" t="n">
        <f aca="false">INDEX(Épopées!$M$6:$M$59,MATCH(K999,Épopées!$A$6:$A$59,0))</f>
        <v>46695</v>
      </c>
      <c r="T999" s="53" t="s">
        <v>463</v>
      </c>
    </row>
    <row r="1000" customFormat="false" ht="15" hidden="false" customHeight="false" outlineLevel="0" collapsed="false">
      <c r="A1000" s="31" t="s">
        <v>2791</v>
      </c>
      <c r="B1000" s="31" t="s">
        <v>342</v>
      </c>
      <c r="C1000" s="31" t="s">
        <v>395</v>
      </c>
      <c r="D1000" s="31" t="s">
        <v>396</v>
      </c>
      <c r="E1000" s="31" t="s">
        <v>2792</v>
      </c>
      <c r="F1000" s="31" t="s">
        <v>1863</v>
      </c>
      <c r="G1000" s="31" t="s">
        <v>466</v>
      </c>
      <c r="H1000" s="31" t="s">
        <v>41</v>
      </c>
      <c r="I1000" s="31" t="n">
        <f aca="false">VLOOKUP(H1000,Paramètres!$A$15:$B$19,2,FALSE())</f>
        <v>1</v>
      </c>
      <c r="J1000" s="31" t="n">
        <v>2</v>
      </c>
      <c r="K1000" s="50" t="str">
        <f aca="false">C1000&amp;"|"&amp;J1000</f>
        <v>MOB-K|2</v>
      </c>
      <c r="L1000" s="31" t="s">
        <v>2793</v>
      </c>
      <c r="M1000" s="31" t="n">
        <v>16</v>
      </c>
      <c r="N1000" s="51" t="s">
        <v>462</v>
      </c>
      <c r="O1000" s="35" t="s">
        <v>78</v>
      </c>
      <c r="P1000" s="52"/>
      <c r="Q1000" s="52"/>
      <c r="R1000" s="33" t="n">
        <f aca="false">INDEX(Épopées!$L$6:$L$59,MATCH(K1000,Épopées!$A$6:$A$59,0))</f>
        <v>46674</v>
      </c>
      <c r="S1000" s="33" t="n">
        <f aca="false">INDEX(Épopées!$M$6:$M$59,MATCH(K1000,Épopées!$A$6:$A$59,0))</f>
        <v>46695</v>
      </c>
      <c r="T1000" s="53" t="s">
        <v>463</v>
      </c>
    </row>
    <row r="1001" customFormat="false" ht="15" hidden="false" customHeight="false" outlineLevel="0" collapsed="false">
      <c r="A1001" s="31" t="s">
        <v>2794</v>
      </c>
      <c r="B1001" s="31" t="s">
        <v>342</v>
      </c>
      <c r="C1001" s="31" t="s">
        <v>395</v>
      </c>
      <c r="D1001" s="31" t="s">
        <v>396</v>
      </c>
      <c r="E1001" s="31" t="s">
        <v>2795</v>
      </c>
      <c r="F1001" s="31" t="s">
        <v>472</v>
      </c>
      <c r="G1001" s="31" t="s">
        <v>466</v>
      </c>
      <c r="H1001" s="31" t="s">
        <v>41</v>
      </c>
      <c r="I1001" s="31" t="n">
        <f aca="false">VLOOKUP(H1001,Paramètres!$A$15:$B$19,2,FALSE())</f>
        <v>1</v>
      </c>
      <c r="J1001" s="31" t="n">
        <v>2</v>
      </c>
      <c r="K1001" s="50" t="str">
        <f aca="false">C1001&amp;"|"&amp;J1001</f>
        <v>MOB-K|2</v>
      </c>
      <c r="L1001" s="31" t="s">
        <v>2796</v>
      </c>
      <c r="M1001" s="31" t="n">
        <v>16</v>
      </c>
      <c r="N1001" s="51" t="s">
        <v>462</v>
      </c>
      <c r="O1001" s="35" t="s">
        <v>78</v>
      </c>
      <c r="P1001" s="52"/>
      <c r="Q1001" s="52"/>
      <c r="R1001" s="33" t="n">
        <f aca="false">INDEX(Épopées!$L$6:$L$59,MATCH(K1001,Épopées!$A$6:$A$59,0))</f>
        <v>46674</v>
      </c>
      <c r="S1001" s="33" t="n">
        <f aca="false">INDEX(Épopées!$M$6:$M$59,MATCH(K1001,Épopées!$A$6:$A$59,0))</f>
        <v>46695</v>
      </c>
      <c r="T1001" s="53" t="s">
        <v>463</v>
      </c>
    </row>
    <row r="1002" customFormat="false" ht="15" hidden="false" customHeight="false" outlineLevel="0" collapsed="false">
      <c r="A1002" s="31" t="s">
        <v>2797</v>
      </c>
      <c r="B1002" s="31" t="s">
        <v>342</v>
      </c>
      <c r="C1002" s="31" t="s">
        <v>398</v>
      </c>
      <c r="D1002" s="31" t="s">
        <v>177</v>
      </c>
      <c r="E1002" s="31" t="s">
        <v>2798</v>
      </c>
      <c r="F1002" s="31" t="s">
        <v>486</v>
      </c>
      <c r="G1002" s="31" t="s">
        <v>461</v>
      </c>
      <c r="H1002" s="31" t="s">
        <v>41</v>
      </c>
      <c r="I1002" s="31" t="n">
        <f aca="false">VLOOKUP(H1002,Paramètres!$A$15:$B$19,2,FALSE())</f>
        <v>1</v>
      </c>
      <c r="J1002" s="31" t="n">
        <v>2</v>
      </c>
      <c r="K1002" s="50" t="str">
        <f aca="false">C1002&amp;"|"&amp;J1002</f>
        <v>MOB-P|2</v>
      </c>
      <c r="L1002" s="31"/>
      <c r="M1002" s="31" t="n">
        <v>4</v>
      </c>
      <c r="N1002" s="51" t="s">
        <v>462</v>
      </c>
      <c r="O1002" s="35" t="s">
        <v>78</v>
      </c>
      <c r="P1002" s="52"/>
      <c r="Q1002" s="52"/>
      <c r="R1002" s="33" t="n">
        <f aca="false">INDEX(Épopées!$L$6:$L$59,MATCH(K1002,Épopées!$A$6:$A$59,0))</f>
        <v>46696</v>
      </c>
      <c r="S1002" s="33" t="n">
        <f aca="false">INDEX(Épopées!$M$6:$M$59,MATCH(K1002,Épopées!$A$6:$A$59,0))</f>
        <v>46710</v>
      </c>
      <c r="T1002" s="53" t="s">
        <v>463</v>
      </c>
    </row>
    <row r="1003" customFormat="false" ht="15" hidden="false" customHeight="false" outlineLevel="0" collapsed="false">
      <c r="A1003" s="31" t="s">
        <v>2799</v>
      </c>
      <c r="B1003" s="31" t="s">
        <v>342</v>
      </c>
      <c r="C1003" s="31" t="s">
        <v>398</v>
      </c>
      <c r="D1003" s="31" t="s">
        <v>177</v>
      </c>
      <c r="E1003" s="31" t="s">
        <v>2800</v>
      </c>
      <c r="F1003" s="31" t="s">
        <v>460</v>
      </c>
      <c r="G1003" s="31" t="s">
        <v>461</v>
      </c>
      <c r="H1003" s="31" t="s">
        <v>41</v>
      </c>
      <c r="I1003" s="31" t="n">
        <f aca="false">VLOOKUP(H1003,Paramètres!$A$15:$B$19,2,FALSE())</f>
        <v>1</v>
      </c>
      <c r="J1003" s="31" t="n">
        <v>2</v>
      </c>
      <c r="K1003" s="50" t="str">
        <f aca="false">C1003&amp;"|"&amp;J1003</f>
        <v>MOB-P|2</v>
      </c>
      <c r="L1003" s="31" t="s">
        <v>2797</v>
      </c>
      <c r="M1003" s="31" t="n">
        <v>4</v>
      </c>
      <c r="N1003" s="51" t="s">
        <v>462</v>
      </c>
      <c r="O1003" s="35" t="s">
        <v>78</v>
      </c>
      <c r="P1003" s="52"/>
      <c r="Q1003" s="52"/>
      <c r="R1003" s="33" t="n">
        <f aca="false">INDEX(Épopées!$L$6:$L$59,MATCH(K1003,Épopées!$A$6:$A$59,0))</f>
        <v>46696</v>
      </c>
      <c r="S1003" s="33" t="n">
        <f aca="false">INDEX(Épopées!$M$6:$M$59,MATCH(K1003,Épopées!$A$6:$A$59,0))</f>
        <v>46710</v>
      </c>
      <c r="T1003" s="53" t="s">
        <v>463</v>
      </c>
    </row>
    <row r="1004" customFormat="false" ht="15" hidden="false" customHeight="false" outlineLevel="0" collapsed="false">
      <c r="A1004" s="31" t="s">
        <v>2801</v>
      </c>
      <c r="B1004" s="31" t="s">
        <v>342</v>
      </c>
      <c r="C1004" s="31" t="s">
        <v>398</v>
      </c>
      <c r="D1004" s="31" t="s">
        <v>177</v>
      </c>
      <c r="E1004" s="31" t="s">
        <v>2802</v>
      </c>
      <c r="F1004" s="31" t="s">
        <v>491</v>
      </c>
      <c r="G1004" s="31" t="s">
        <v>461</v>
      </c>
      <c r="H1004" s="31" t="s">
        <v>39</v>
      </c>
      <c r="I1004" s="31" t="n">
        <f aca="false">VLOOKUP(H1004,Paramètres!$A$15:$B$19,2,FALSE())</f>
        <v>0.5</v>
      </c>
      <c r="J1004" s="31" t="n">
        <v>2</v>
      </c>
      <c r="K1004" s="50" t="str">
        <f aca="false">C1004&amp;"|"&amp;J1004</f>
        <v>MOB-P|2</v>
      </c>
      <c r="L1004" s="31" t="s">
        <v>2799</v>
      </c>
      <c r="M1004" s="31" t="n">
        <v>3</v>
      </c>
      <c r="N1004" s="51" t="s">
        <v>462</v>
      </c>
      <c r="O1004" s="35" t="s">
        <v>78</v>
      </c>
      <c r="P1004" s="52"/>
      <c r="Q1004" s="52"/>
      <c r="R1004" s="33" t="n">
        <f aca="false">INDEX(Épopées!$L$6:$L$59,MATCH(K1004,Épopées!$A$6:$A$59,0))</f>
        <v>46696</v>
      </c>
      <c r="S1004" s="33" t="n">
        <f aca="false">INDEX(Épopées!$M$6:$M$59,MATCH(K1004,Épopées!$A$6:$A$59,0))</f>
        <v>46710</v>
      </c>
      <c r="T1004" s="53" t="s">
        <v>463</v>
      </c>
    </row>
    <row r="1005" customFormat="false" ht="15" hidden="false" customHeight="false" outlineLevel="0" collapsed="false">
      <c r="A1005" s="31" t="s">
        <v>2803</v>
      </c>
      <c r="B1005" s="31" t="s">
        <v>342</v>
      </c>
      <c r="C1005" s="31" t="s">
        <v>398</v>
      </c>
      <c r="D1005" s="31" t="s">
        <v>177</v>
      </c>
      <c r="E1005" s="31" t="s">
        <v>2804</v>
      </c>
      <c r="F1005" s="31" t="s">
        <v>491</v>
      </c>
      <c r="G1005" s="31" t="s">
        <v>461</v>
      </c>
      <c r="H1005" s="31" t="s">
        <v>41</v>
      </c>
      <c r="I1005" s="31" t="n">
        <f aca="false">VLOOKUP(H1005,Paramètres!$A$15:$B$19,2,FALSE())</f>
        <v>1</v>
      </c>
      <c r="J1005" s="31" t="n">
        <v>2</v>
      </c>
      <c r="K1005" s="50" t="str">
        <f aca="false">C1005&amp;"|"&amp;J1005</f>
        <v>MOB-P|2</v>
      </c>
      <c r="L1005" s="31" t="s">
        <v>2801</v>
      </c>
      <c r="M1005" s="31" t="n">
        <v>4</v>
      </c>
      <c r="N1005" s="51" t="s">
        <v>462</v>
      </c>
      <c r="O1005" s="35" t="s">
        <v>78</v>
      </c>
      <c r="P1005" s="52"/>
      <c r="Q1005" s="52"/>
      <c r="R1005" s="33" t="n">
        <f aca="false">INDEX(Épopées!$L$6:$L$59,MATCH(K1005,Épopées!$A$6:$A$59,0))</f>
        <v>46696</v>
      </c>
      <c r="S1005" s="33" t="n">
        <f aca="false">INDEX(Épopées!$M$6:$M$59,MATCH(K1005,Épopées!$A$6:$A$59,0))</f>
        <v>46710</v>
      </c>
      <c r="T1005" s="53" t="s">
        <v>463</v>
      </c>
    </row>
    <row r="1006" customFormat="false" ht="15" hidden="false" customHeight="false" outlineLevel="0" collapsed="false">
      <c r="A1006" s="31" t="s">
        <v>2805</v>
      </c>
      <c r="B1006" s="31" t="s">
        <v>342</v>
      </c>
      <c r="C1006" s="31" t="s">
        <v>398</v>
      </c>
      <c r="D1006" s="31" t="s">
        <v>177</v>
      </c>
      <c r="E1006" s="31" t="s">
        <v>2806</v>
      </c>
      <c r="F1006" s="31" t="s">
        <v>1623</v>
      </c>
      <c r="G1006" s="31" t="s">
        <v>461</v>
      </c>
      <c r="H1006" s="31" t="s">
        <v>43</v>
      </c>
      <c r="I1006" s="31" t="n">
        <f aca="false">VLOOKUP(H1006,Paramètres!$A$15:$B$19,2,FALSE())</f>
        <v>2</v>
      </c>
      <c r="J1006" s="31" t="n">
        <v>2</v>
      </c>
      <c r="K1006" s="50" t="str">
        <f aca="false">C1006&amp;"|"&amp;J1006</f>
        <v>MOB-P|2</v>
      </c>
      <c r="L1006" s="31" t="s">
        <v>2803</v>
      </c>
      <c r="M1006" s="31" t="n">
        <v>1</v>
      </c>
      <c r="N1006" s="51" t="s">
        <v>462</v>
      </c>
      <c r="O1006" s="35" t="s">
        <v>78</v>
      </c>
      <c r="P1006" s="52"/>
      <c r="Q1006" s="52"/>
      <c r="R1006" s="33" t="n">
        <f aca="false">INDEX(Épopées!$L$6:$L$59,MATCH(K1006,Épopées!$A$6:$A$59,0))</f>
        <v>46696</v>
      </c>
      <c r="S1006" s="33" t="n">
        <f aca="false">INDEX(Épopées!$M$6:$M$59,MATCH(K1006,Épopées!$A$6:$A$59,0))</f>
        <v>46710</v>
      </c>
      <c r="T1006" s="53" t="s">
        <v>463</v>
      </c>
    </row>
    <row r="1007" customFormat="false" ht="15" hidden="false" customHeight="false" outlineLevel="0" collapsed="false">
      <c r="A1007" s="31" t="s">
        <v>2807</v>
      </c>
      <c r="B1007" s="31" t="s">
        <v>342</v>
      </c>
      <c r="C1007" s="31" t="s">
        <v>398</v>
      </c>
      <c r="D1007" s="31" t="s">
        <v>177</v>
      </c>
      <c r="E1007" s="31" t="s">
        <v>2808</v>
      </c>
      <c r="F1007" s="31" t="s">
        <v>491</v>
      </c>
      <c r="G1007" s="31" t="s">
        <v>466</v>
      </c>
      <c r="H1007" s="31" t="s">
        <v>41</v>
      </c>
      <c r="I1007" s="31" t="n">
        <f aca="false">VLOOKUP(H1007,Paramètres!$A$15:$B$19,2,FALSE())</f>
        <v>1</v>
      </c>
      <c r="J1007" s="31" t="n">
        <v>2</v>
      </c>
      <c r="K1007" s="50" t="str">
        <f aca="false">C1007&amp;"|"&amp;J1007</f>
        <v>MOB-P|2</v>
      </c>
      <c r="L1007" s="31" t="s">
        <v>2797</v>
      </c>
      <c r="M1007" s="31" t="n">
        <v>2</v>
      </c>
      <c r="N1007" s="51" t="s">
        <v>462</v>
      </c>
      <c r="O1007" s="35" t="s">
        <v>78</v>
      </c>
      <c r="P1007" s="52"/>
      <c r="Q1007" s="52"/>
      <c r="R1007" s="33" t="n">
        <f aca="false">INDEX(Épopées!$L$6:$L$59,MATCH(K1007,Épopées!$A$6:$A$59,0))</f>
        <v>46696</v>
      </c>
      <c r="S1007" s="33" t="n">
        <f aca="false">INDEX(Épopées!$M$6:$M$59,MATCH(K1007,Épopées!$A$6:$A$59,0))</f>
        <v>46710</v>
      </c>
      <c r="T1007" s="53" t="s">
        <v>463</v>
      </c>
    </row>
    <row r="1008" customFormat="false" ht="15" hidden="false" customHeight="false" outlineLevel="0" collapsed="false">
      <c r="A1008" s="31" t="s">
        <v>2809</v>
      </c>
      <c r="B1008" s="31" t="s">
        <v>342</v>
      </c>
      <c r="C1008" s="31" t="s">
        <v>398</v>
      </c>
      <c r="D1008" s="31" t="s">
        <v>177</v>
      </c>
      <c r="E1008" s="31" t="s">
        <v>2810</v>
      </c>
      <c r="F1008" s="31" t="s">
        <v>1623</v>
      </c>
      <c r="G1008" s="31" t="s">
        <v>466</v>
      </c>
      <c r="H1008" s="31" t="s">
        <v>43</v>
      </c>
      <c r="I1008" s="31" t="n">
        <f aca="false">VLOOKUP(H1008,Paramètres!$A$15:$B$19,2,FALSE())</f>
        <v>2</v>
      </c>
      <c r="J1008" s="31" t="n">
        <v>2</v>
      </c>
      <c r="K1008" s="50" t="str">
        <f aca="false">C1008&amp;"|"&amp;J1008</f>
        <v>MOB-P|2</v>
      </c>
      <c r="L1008" s="31" t="s">
        <v>2811</v>
      </c>
      <c r="M1008" s="31" t="n">
        <v>1</v>
      </c>
      <c r="N1008" s="51" t="s">
        <v>462</v>
      </c>
      <c r="O1008" s="35" t="s">
        <v>78</v>
      </c>
      <c r="P1008" s="52"/>
      <c r="Q1008" s="52"/>
      <c r="R1008" s="33" t="n">
        <f aca="false">INDEX(Épopées!$L$6:$L$59,MATCH(K1008,Épopées!$A$6:$A$59,0))</f>
        <v>46696</v>
      </c>
      <c r="S1008" s="33" t="n">
        <f aca="false">INDEX(Épopées!$M$6:$M$59,MATCH(K1008,Épopées!$A$6:$A$59,0))</f>
        <v>46710</v>
      </c>
      <c r="T1008" s="53" t="s">
        <v>463</v>
      </c>
    </row>
    <row r="1009" customFormat="false" ht="15" hidden="false" customHeight="false" outlineLevel="0" collapsed="false">
      <c r="A1009" s="31" t="s">
        <v>2812</v>
      </c>
      <c r="B1009" s="31" t="s">
        <v>342</v>
      </c>
      <c r="C1009" s="31" t="s">
        <v>398</v>
      </c>
      <c r="D1009" s="31" t="s">
        <v>177</v>
      </c>
      <c r="E1009" s="31" t="s">
        <v>2813</v>
      </c>
      <c r="F1009" s="31" t="s">
        <v>1623</v>
      </c>
      <c r="G1009" s="31" t="s">
        <v>461</v>
      </c>
      <c r="H1009" s="31" t="s">
        <v>41</v>
      </c>
      <c r="I1009" s="31" t="n">
        <f aca="false">VLOOKUP(H1009,Paramètres!$A$15:$B$19,2,FALSE())</f>
        <v>1</v>
      </c>
      <c r="J1009" s="31" t="n">
        <v>2</v>
      </c>
      <c r="K1009" s="50" t="str">
        <f aca="false">C1009&amp;"|"&amp;J1009</f>
        <v>MOB-P|2</v>
      </c>
      <c r="L1009" s="31" t="s">
        <v>2803</v>
      </c>
      <c r="M1009" s="31" t="n">
        <v>1</v>
      </c>
      <c r="N1009" s="51" t="s">
        <v>462</v>
      </c>
      <c r="O1009" s="35" t="s">
        <v>78</v>
      </c>
      <c r="P1009" s="52"/>
      <c r="Q1009" s="52"/>
      <c r="R1009" s="33" t="n">
        <f aca="false">INDEX(Épopées!$L$6:$L$59,MATCH(K1009,Épopées!$A$6:$A$59,0))</f>
        <v>46696</v>
      </c>
      <c r="S1009" s="33" t="n">
        <f aca="false">INDEX(Épopées!$M$6:$M$59,MATCH(K1009,Épopées!$A$6:$A$59,0))</f>
        <v>46710</v>
      </c>
      <c r="T1009" s="53" t="s">
        <v>463</v>
      </c>
    </row>
    <row r="1010" customFormat="false" ht="15" hidden="false" customHeight="false" outlineLevel="0" collapsed="false">
      <c r="A1010" s="31" t="s">
        <v>2814</v>
      </c>
      <c r="B1010" s="31" t="s">
        <v>342</v>
      </c>
      <c r="C1010" s="31" t="s">
        <v>398</v>
      </c>
      <c r="D1010" s="31" t="s">
        <v>177</v>
      </c>
      <c r="E1010" s="31" t="s">
        <v>2815</v>
      </c>
      <c r="F1010" s="31" t="s">
        <v>491</v>
      </c>
      <c r="G1010" s="31" t="s">
        <v>466</v>
      </c>
      <c r="H1010" s="31" t="s">
        <v>41</v>
      </c>
      <c r="I1010" s="31" t="n">
        <f aca="false">VLOOKUP(H1010,Paramètres!$A$15:$B$19,2,FALSE())</f>
        <v>1</v>
      </c>
      <c r="J1010" s="31" t="n">
        <v>2</v>
      </c>
      <c r="K1010" s="50" t="str">
        <f aca="false">C1010&amp;"|"&amp;J1010</f>
        <v>MOB-P|2</v>
      </c>
      <c r="L1010" s="31" t="s">
        <v>2797</v>
      </c>
      <c r="M1010" s="31" t="n">
        <v>3</v>
      </c>
      <c r="N1010" s="51" t="s">
        <v>462</v>
      </c>
      <c r="O1010" s="35" t="s">
        <v>78</v>
      </c>
      <c r="P1010" s="52"/>
      <c r="Q1010" s="52"/>
      <c r="R1010" s="33" t="n">
        <f aca="false">INDEX(Épopées!$L$6:$L$59,MATCH(K1010,Épopées!$A$6:$A$59,0))</f>
        <v>46696</v>
      </c>
      <c r="S1010" s="33" t="n">
        <f aca="false">INDEX(Épopées!$M$6:$M$59,MATCH(K1010,Épopées!$A$6:$A$59,0))</f>
        <v>46710</v>
      </c>
      <c r="T1010" s="53" t="s">
        <v>463</v>
      </c>
    </row>
    <row r="1011" customFormat="false" ht="15" hidden="false" customHeight="false" outlineLevel="0" collapsed="false">
      <c r="A1011" s="31" t="s">
        <v>2816</v>
      </c>
      <c r="B1011" s="31" t="s">
        <v>342</v>
      </c>
      <c r="C1011" s="31" t="s">
        <v>398</v>
      </c>
      <c r="D1011" s="31" t="s">
        <v>177</v>
      </c>
      <c r="E1011" s="31" t="s">
        <v>2817</v>
      </c>
      <c r="F1011" s="31" t="s">
        <v>1623</v>
      </c>
      <c r="G1011" s="31" t="s">
        <v>466</v>
      </c>
      <c r="H1011" s="31" t="s">
        <v>41</v>
      </c>
      <c r="I1011" s="31" t="n">
        <f aca="false">VLOOKUP(H1011,Paramètres!$A$15:$B$19,2,FALSE())</f>
        <v>1</v>
      </c>
      <c r="J1011" s="31" t="n">
        <v>2</v>
      </c>
      <c r="K1011" s="50" t="str">
        <f aca="false">C1011&amp;"|"&amp;J1011</f>
        <v>MOB-P|2</v>
      </c>
      <c r="L1011" s="31" t="s">
        <v>2812</v>
      </c>
      <c r="M1011" s="31" t="n">
        <v>1</v>
      </c>
      <c r="N1011" s="51" t="s">
        <v>462</v>
      </c>
      <c r="O1011" s="35" t="s">
        <v>78</v>
      </c>
      <c r="P1011" s="52"/>
      <c r="Q1011" s="52"/>
      <c r="R1011" s="33" t="n">
        <f aca="false">INDEX(Épopées!$L$6:$L$59,MATCH(K1011,Épopées!$A$6:$A$59,0))</f>
        <v>46696</v>
      </c>
      <c r="S1011" s="33" t="n">
        <f aca="false">INDEX(Épopées!$M$6:$M$59,MATCH(K1011,Épopées!$A$6:$A$59,0))</f>
        <v>46710</v>
      </c>
      <c r="T1011" s="53" t="s">
        <v>463</v>
      </c>
    </row>
    <row r="1012" customFormat="false" ht="15" hidden="false" customHeight="false" outlineLevel="0" collapsed="false">
      <c r="A1012" s="31" t="s">
        <v>2818</v>
      </c>
      <c r="B1012" s="31" t="s">
        <v>342</v>
      </c>
      <c r="C1012" s="31" t="s">
        <v>398</v>
      </c>
      <c r="D1012" s="31" t="s">
        <v>177</v>
      </c>
      <c r="E1012" s="31" t="s">
        <v>2819</v>
      </c>
      <c r="F1012" s="31" t="s">
        <v>1623</v>
      </c>
      <c r="G1012" s="31" t="s">
        <v>466</v>
      </c>
      <c r="H1012" s="31" t="s">
        <v>39</v>
      </c>
      <c r="I1012" s="31" t="n">
        <f aca="false">VLOOKUP(H1012,Paramètres!$A$15:$B$19,2,FALSE())</f>
        <v>0.5</v>
      </c>
      <c r="J1012" s="31" t="n">
        <v>2</v>
      </c>
      <c r="K1012" s="50" t="str">
        <f aca="false">C1012&amp;"|"&amp;J1012</f>
        <v>MOB-P|2</v>
      </c>
      <c r="L1012" s="31" t="s">
        <v>2820</v>
      </c>
      <c r="M1012" s="31" t="n">
        <v>1</v>
      </c>
      <c r="N1012" s="51" t="s">
        <v>462</v>
      </c>
      <c r="O1012" s="35" t="s">
        <v>78</v>
      </c>
      <c r="P1012" s="52"/>
      <c r="Q1012" s="52"/>
      <c r="R1012" s="33" t="n">
        <f aca="false">INDEX(Épopées!$L$6:$L$59,MATCH(K1012,Épopées!$A$6:$A$59,0))</f>
        <v>46696</v>
      </c>
      <c r="S1012" s="33" t="n">
        <f aca="false">INDEX(Épopées!$M$6:$M$59,MATCH(K1012,Épopées!$A$6:$A$59,0))</f>
        <v>46710</v>
      </c>
      <c r="T1012" s="53" t="s">
        <v>463</v>
      </c>
    </row>
    <row r="1013" customFormat="false" ht="15" hidden="false" customHeight="false" outlineLevel="0" collapsed="false">
      <c r="A1013" s="31" t="s">
        <v>2821</v>
      </c>
      <c r="B1013" s="31" t="s">
        <v>342</v>
      </c>
      <c r="C1013" s="31" t="s">
        <v>398</v>
      </c>
      <c r="D1013" s="31" t="s">
        <v>177</v>
      </c>
      <c r="E1013" s="31" t="s">
        <v>2822</v>
      </c>
      <c r="F1013" s="31" t="s">
        <v>1623</v>
      </c>
      <c r="G1013" s="31" t="s">
        <v>466</v>
      </c>
      <c r="H1013" s="31" t="s">
        <v>41</v>
      </c>
      <c r="I1013" s="31" t="n">
        <f aca="false">VLOOKUP(H1013,Paramètres!$A$15:$B$19,2,FALSE())</f>
        <v>1</v>
      </c>
      <c r="J1013" s="31" t="n">
        <v>2</v>
      </c>
      <c r="K1013" s="50" t="str">
        <f aca="false">C1013&amp;"|"&amp;J1013</f>
        <v>MOB-P|2</v>
      </c>
      <c r="L1013" s="31" t="s">
        <v>2823</v>
      </c>
      <c r="M1013" s="31" t="n">
        <v>1</v>
      </c>
      <c r="N1013" s="51" t="s">
        <v>462</v>
      </c>
      <c r="O1013" s="35" t="s">
        <v>78</v>
      </c>
      <c r="P1013" s="52"/>
      <c r="Q1013" s="52"/>
      <c r="R1013" s="33" t="n">
        <f aca="false">INDEX(Épopées!$L$6:$L$59,MATCH(K1013,Épopées!$A$6:$A$59,0))</f>
        <v>46696</v>
      </c>
      <c r="S1013" s="33" t="n">
        <f aca="false">INDEX(Épopées!$M$6:$M$59,MATCH(K1013,Épopées!$A$6:$A$59,0))</f>
        <v>46710</v>
      </c>
      <c r="T1013" s="53" t="s">
        <v>463</v>
      </c>
    </row>
    <row r="1014" customFormat="false" ht="15" hidden="false" customHeight="false" outlineLevel="0" collapsed="false">
      <c r="A1014" s="31" t="s">
        <v>2824</v>
      </c>
      <c r="B1014" s="31" t="s">
        <v>342</v>
      </c>
      <c r="C1014" s="31" t="s">
        <v>398</v>
      </c>
      <c r="D1014" s="31" t="s">
        <v>177</v>
      </c>
      <c r="E1014" s="31" t="s">
        <v>2825</v>
      </c>
      <c r="F1014" s="31" t="s">
        <v>1623</v>
      </c>
      <c r="G1014" s="31" t="s">
        <v>461</v>
      </c>
      <c r="H1014" s="31" t="s">
        <v>43</v>
      </c>
      <c r="I1014" s="31" t="n">
        <f aca="false">VLOOKUP(H1014,Paramètres!$A$15:$B$19,2,FALSE())</f>
        <v>2</v>
      </c>
      <c r="J1014" s="31" t="n">
        <v>2</v>
      </c>
      <c r="K1014" s="50" t="str">
        <f aca="false">C1014&amp;"|"&amp;J1014</f>
        <v>MOB-P|2</v>
      </c>
      <c r="L1014" s="31" t="s">
        <v>2826</v>
      </c>
      <c r="M1014" s="31" t="n">
        <v>1</v>
      </c>
      <c r="N1014" s="51" t="s">
        <v>462</v>
      </c>
      <c r="O1014" s="35" t="s">
        <v>78</v>
      </c>
      <c r="P1014" s="52"/>
      <c r="Q1014" s="52"/>
      <c r="R1014" s="33" t="n">
        <f aca="false">INDEX(Épopées!$L$6:$L$59,MATCH(K1014,Épopées!$A$6:$A$59,0))</f>
        <v>46696</v>
      </c>
      <c r="S1014" s="33" t="n">
        <f aca="false">INDEX(Épopées!$M$6:$M$59,MATCH(K1014,Épopées!$A$6:$A$59,0))</f>
        <v>46710</v>
      </c>
      <c r="T1014" s="53" t="s">
        <v>463</v>
      </c>
    </row>
    <row r="1015" customFormat="false" ht="15" hidden="false" customHeight="false" outlineLevel="0" collapsed="false">
      <c r="A1015" s="31" t="s">
        <v>2827</v>
      </c>
      <c r="B1015" s="31" t="s">
        <v>342</v>
      </c>
      <c r="C1015" s="31" t="s">
        <v>398</v>
      </c>
      <c r="D1015" s="31" t="s">
        <v>177</v>
      </c>
      <c r="E1015" s="31" t="s">
        <v>2828</v>
      </c>
      <c r="F1015" s="31" t="s">
        <v>1623</v>
      </c>
      <c r="G1015" s="31" t="s">
        <v>461</v>
      </c>
      <c r="H1015" s="31" t="s">
        <v>41</v>
      </c>
      <c r="I1015" s="31" t="n">
        <f aca="false">VLOOKUP(H1015,Paramètres!$A$15:$B$19,2,FALSE())</f>
        <v>1</v>
      </c>
      <c r="J1015" s="31" t="n">
        <v>2</v>
      </c>
      <c r="K1015" s="50" t="str">
        <f aca="false">C1015&amp;"|"&amp;J1015</f>
        <v>MOB-P|2</v>
      </c>
      <c r="L1015" s="31" t="s">
        <v>2824</v>
      </c>
      <c r="M1015" s="31" t="n">
        <v>1</v>
      </c>
      <c r="N1015" s="51" t="s">
        <v>462</v>
      </c>
      <c r="O1015" s="35" t="s">
        <v>78</v>
      </c>
      <c r="P1015" s="52"/>
      <c r="Q1015" s="52"/>
      <c r="R1015" s="33" t="n">
        <f aca="false">INDEX(Épopées!$L$6:$L$59,MATCH(K1015,Épopées!$A$6:$A$59,0))</f>
        <v>46696</v>
      </c>
      <c r="S1015" s="33" t="n">
        <f aca="false">INDEX(Épopées!$M$6:$M$59,MATCH(K1015,Épopées!$A$6:$A$59,0))</f>
        <v>46710</v>
      </c>
      <c r="T1015" s="53" t="s">
        <v>463</v>
      </c>
    </row>
    <row r="1016" customFormat="false" ht="15" hidden="false" customHeight="false" outlineLevel="0" collapsed="false">
      <c r="A1016" s="31" t="s">
        <v>2829</v>
      </c>
      <c r="B1016" s="31" t="s">
        <v>342</v>
      </c>
      <c r="C1016" s="31" t="s">
        <v>398</v>
      </c>
      <c r="D1016" s="31" t="s">
        <v>177</v>
      </c>
      <c r="E1016" s="31" t="s">
        <v>2830</v>
      </c>
      <c r="F1016" s="31" t="s">
        <v>1623</v>
      </c>
      <c r="G1016" s="31" t="s">
        <v>466</v>
      </c>
      <c r="H1016" s="31" t="s">
        <v>41</v>
      </c>
      <c r="I1016" s="31" t="n">
        <f aca="false">VLOOKUP(H1016,Paramètres!$A$15:$B$19,2,FALSE())</f>
        <v>1</v>
      </c>
      <c r="J1016" s="31" t="n">
        <v>2</v>
      </c>
      <c r="K1016" s="50" t="str">
        <f aca="false">C1016&amp;"|"&amp;J1016</f>
        <v>MOB-P|2</v>
      </c>
      <c r="L1016" s="31" t="s">
        <v>2824</v>
      </c>
      <c r="M1016" s="31" t="n">
        <v>1</v>
      </c>
      <c r="N1016" s="51" t="s">
        <v>462</v>
      </c>
      <c r="O1016" s="35" t="s">
        <v>78</v>
      </c>
      <c r="P1016" s="52"/>
      <c r="Q1016" s="52"/>
      <c r="R1016" s="33" t="n">
        <f aca="false">INDEX(Épopées!$L$6:$L$59,MATCH(K1016,Épopées!$A$6:$A$59,0))</f>
        <v>46696</v>
      </c>
      <c r="S1016" s="33" t="n">
        <f aca="false">INDEX(Épopées!$M$6:$M$59,MATCH(K1016,Épopées!$A$6:$A$59,0))</f>
        <v>46710</v>
      </c>
      <c r="T1016" s="53" t="s">
        <v>463</v>
      </c>
    </row>
    <row r="1017" customFormat="false" ht="15" hidden="false" customHeight="false" outlineLevel="0" collapsed="false">
      <c r="A1017" s="31" t="s">
        <v>2831</v>
      </c>
      <c r="B1017" s="31" t="s">
        <v>342</v>
      </c>
      <c r="C1017" s="31" t="s">
        <v>398</v>
      </c>
      <c r="D1017" s="31" t="s">
        <v>177</v>
      </c>
      <c r="E1017" s="31" t="s">
        <v>2832</v>
      </c>
      <c r="F1017" s="31" t="s">
        <v>1623</v>
      </c>
      <c r="G1017" s="31" t="s">
        <v>466</v>
      </c>
      <c r="H1017" s="31" t="s">
        <v>41</v>
      </c>
      <c r="I1017" s="31" t="n">
        <f aca="false">VLOOKUP(H1017,Paramètres!$A$15:$B$19,2,FALSE())</f>
        <v>1</v>
      </c>
      <c r="J1017" s="31" t="n">
        <v>2</v>
      </c>
      <c r="K1017" s="50" t="str">
        <f aca="false">C1017&amp;"|"&amp;J1017</f>
        <v>MOB-P|2</v>
      </c>
      <c r="L1017" s="31" t="s">
        <v>2803</v>
      </c>
      <c r="M1017" s="31" t="n">
        <v>1</v>
      </c>
      <c r="N1017" s="51" t="s">
        <v>462</v>
      </c>
      <c r="O1017" s="35" t="s">
        <v>78</v>
      </c>
      <c r="P1017" s="52"/>
      <c r="Q1017" s="52"/>
      <c r="R1017" s="33" t="n">
        <f aca="false">INDEX(Épopées!$L$6:$L$59,MATCH(K1017,Épopées!$A$6:$A$59,0))</f>
        <v>46696</v>
      </c>
      <c r="S1017" s="33" t="n">
        <f aca="false">INDEX(Épopées!$M$6:$M$59,MATCH(K1017,Épopées!$A$6:$A$59,0))</f>
        <v>46710</v>
      </c>
      <c r="T1017" s="53" t="s">
        <v>463</v>
      </c>
    </row>
    <row r="1018" customFormat="false" ht="15" hidden="false" customHeight="false" outlineLevel="0" collapsed="false">
      <c r="A1018" s="31" t="s">
        <v>2833</v>
      </c>
      <c r="B1018" s="31" t="s">
        <v>342</v>
      </c>
      <c r="C1018" s="31" t="s">
        <v>398</v>
      </c>
      <c r="D1018" s="31" t="s">
        <v>177</v>
      </c>
      <c r="E1018" s="31" t="s">
        <v>2834</v>
      </c>
      <c r="F1018" s="31" t="s">
        <v>1623</v>
      </c>
      <c r="G1018" s="31" t="s">
        <v>466</v>
      </c>
      <c r="H1018" s="31" t="s">
        <v>41</v>
      </c>
      <c r="I1018" s="31" t="n">
        <f aca="false">VLOOKUP(H1018,Paramètres!$A$15:$B$19,2,FALSE())</f>
        <v>1</v>
      </c>
      <c r="J1018" s="31" t="n">
        <v>2</v>
      </c>
      <c r="K1018" s="50" t="str">
        <f aca="false">C1018&amp;"|"&amp;J1018</f>
        <v>MOB-P|2</v>
      </c>
      <c r="L1018" s="31" t="s">
        <v>2803</v>
      </c>
      <c r="M1018" s="31" t="n">
        <v>1</v>
      </c>
      <c r="N1018" s="51" t="s">
        <v>462</v>
      </c>
      <c r="O1018" s="35" t="s">
        <v>78</v>
      </c>
      <c r="P1018" s="52"/>
      <c r="Q1018" s="52"/>
      <c r="R1018" s="33" t="n">
        <f aca="false">INDEX(Épopées!$L$6:$L$59,MATCH(K1018,Épopées!$A$6:$A$59,0))</f>
        <v>46696</v>
      </c>
      <c r="S1018" s="33" t="n">
        <f aca="false">INDEX(Épopées!$M$6:$M$59,MATCH(K1018,Épopées!$A$6:$A$59,0))</f>
        <v>46710</v>
      </c>
      <c r="T1018" s="53" t="s">
        <v>463</v>
      </c>
    </row>
    <row r="1019" customFormat="false" ht="15" hidden="false" customHeight="false" outlineLevel="0" collapsed="false">
      <c r="A1019" s="31" t="s">
        <v>2835</v>
      </c>
      <c r="B1019" s="31" t="s">
        <v>342</v>
      </c>
      <c r="C1019" s="31" t="s">
        <v>398</v>
      </c>
      <c r="D1019" s="31" t="s">
        <v>177</v>
      </c>
      <c r="E1019" s="31" t="s">
        <v>2836</v>
      </c>
      <c r="F1019" s="31" t="s">
        <v>491</v>
      </c>
      <c r="G1019" s="31" t="s">
        <v>612</v>
      </c>
      <c r="H1019" s="31" t="s">
        <v>39</v>
      </c>
      <c r="I1019" s="31" t="n">
        <f aca="false">VLOOKUP(H1019,Paramètres!$A$15:$B$19,2,FALSE())</f>
        <v>0.5</v>
      </c>
      <c r="J1019" s="31" t="n">
        <v>2</v>
      </c>
      <c r="K1019" s="50" t="str">
        <f aca="false">C1019&amp;"|"&amp;J1019</f>
        <v>MOB-P|2</v>
      </c>
      <c r="L1019" s="31" t="s">
        <v>2805</v>
      </c>
      <c r="M1019" s="31" t="n">
        <v>2</v>
      </c>
      <c r="N1019" s="51" t="s">
        <v>462</v>
      </c>
      <c r="O1019" s="35" t="s">
        <v>78</v>
      </c>
      <c r="P1019" s="52"/>
      <c r="Q1019" s="52"/>
      <c r="R1019" s="33" t="n">
        <f aca="false">INDEX(Épopées!$L$6:$L$59,MATCH(K1019,Épopées!$A$6:$A$59,0))</f>
        <v>46696</v>
      </c>
      <c r="S1019" s="33" t="n">
        <f aca="false">INDEX(Épopées!$M$6:$M$59,MATCH(K1019,Épopées!$A$6:$A$59,0))</f>
        <v>46710</v>
      </c>
      <c r="T1019" s="53" t="s">
        <v>463</v>
      </c>
    </row>
    <row r="1020" customFormat="false" ht="15" hidden="false" customHeight="false" outlineLevel="0" collapsed="false">
      <c r="A1020" s="31" t="s">
        <v>2837</v>
      </c>
      <c r="B1020" s="31" t="s">
        <v>342</v>
      </c>
      <c r="C1020" s="31" t="s">
        <v>398</v>
      </c>
      <c r="D1020" s="31" t="s">
        <v>177</v>
      </c>
      <c r="E1020" s="31" t="s">
        <v>2838</v>
      </c>
      <c r="F1020" s="31" t="s">
        <v>579</v>
      </c>
      <c r="G1020" s="31" t="s">
        <v>466</v>
      </c>
      <c r="H1020" s="31" t="s">
        <v>39</v>
      </c>
      <c r="I1020" s="31" t="n">
        <f aca="false">VLOOKUP(H1020,Paramètres!$A$15:$B$19,2,FALSE())</f>
        <v>0.5</v>
      </c>
      <c r="J1020" s="31" t="n">
        <v>2</v>
      </c>
      <c r="K1020" s="50" t="str">
        <f aca="false">C1020&amp;"|"&amp;J1020</f>
        <v>MOB-P|2</v>
      </c>
      <c r="L1020" s="31" t="s">
        <v>2839</v>
      </c>
      <c r="M1020" s="31" t="n">
        <v>2</v>
      </c>
      <c r="N1020" s="51" t="s">
        <v>462</v>
      </c>
      <c r="O1020" s="35" t="s">
        <v>78</v>
      </c>
      <c r="P1020" s="52"/>
      <c r="Q1020" s="52"/>
      <c r="R1020" s="33" t="n">
        <f aca="false">INDEX(Épopées!$L$6:$L$59,MATCH(K1020,Épopées!$A$6:$A$59,0))</f>
        <v>46696</v>
      </c>
      <c r="S1020" s="33" t="n">
        <f aca="false">INDEX(Épopées!$M$6:$M$59,MATCH(K1020,Épopées!$A$6:$A$59,0))</f>
        <v>46710</v>
      </c>
      <c r="T1020" s="53" t="s">
        <v>463</v>
      </c>
    </row>
    <row r="1021" customFormat="false" ht="15" hidden="false" customHeight="false" outlineLevel="0" collapsed="false">
      <c r="A1021" s="31" t="s">
        <v>2840</v>
      </c>
      <c r="B1021" s="31" t="s">
        <v>342</v>
      </c>
      <c r="C1021" s="31" t="s">
        <v>398</v>
      </c>
      <c r="D1021" s="31" t="s">
        <v>177</v>
      </c>
      <c r="E1021" s="31" t="s">
        <v>2841</v>
      </c>
      <c r="F1021" s="31" t="s">
        <v>588</v>
      </c>
      <c r="G1021" s="31" t="s">
        <v>466</v>
      </c>
      <c r="H1021" s="31" t="s">
        <v>39</v>
      </c>
      <c r="I1021" s="31" t="n">
        <f aca="false">VLOOKUP(H1021,Paramètres!$A$15:$B$19,2,FALSE())</f>
        <v>0.5</v>
      </c>
      <c r="J1021" s="31" t="n">
        <v>2</v>
      </c>
      <c r="K1021" s="50" t="str">
        <f aca="false">C1021&amp;"|"&amp;J1021</f>
        <v>MOB-P|2</v>
      </c>
      <c r="L1021" s="31" t="s">
        <v>2842</v>
      </c>
      <c r="M1021" s="31" t="n">
        <v>3</v>
      </c>
      <c r="N1021" s="51" t="s">
        <v>462</v>
      </c>
      <c r="O1021" s="35" t="s">
        <v>78</v>
      </c>
      <c r="P1021" s="52"/>
      <c r="Q1021" s="52"/>
      <c r="R1021" s="33" t="n">
        <f aca="false">INDEX(Épopées!$L$6:$L$59,MATCH(K1021,Épopées!$A$6:$A$59,0))</f>
        <v>46696</v>
      </c>
      <c r="S1021" s="33" t="n">
        <f aca="false">INDEX(Épopées!$M$6:$M$59,MATCH(K1021,Épopées!$A$6:$A$59,0))</f>
        <v>46710</v>
      </c>
      <c r="T1021" s="53" t="s">
        <v>463</v>
      </c>
    </row>
    <row r="1022" customFormat="false" ht="15" hidden="false" customHeight="false" outlineLevel="0" collapsed="false">
      <c r="A1022" s="31" t="s">
        <v>2843</v>
      </c>
      <c r="B1022" s="31" t="s">
        <v>342</v>
      </c>
      <c r="C1022" s="31" t="s">
        <v>398</v>
      </c>
      <c r="D1022" s="31" t="s">
        <v>177</v>
      </c>
      <c r="E1022" s="31" t="s">
        <v>2844</v>
      </c>
      <c r="F1022" s="31" t="s">
        <v>472</v>
      </c>
      <c r="G1022" s="31" t="s">
        <v>466</v>
      </c>
      <c r="H1022" s="31" t="s">
        <v>41</v>
      </c>
      <c r="I1022" s="31" t="n">
        <f aca="false">VLOOKUP(H1022,Paramètres!$A$15:$B$19,2,FALSE())</f>
        <v>1</v>
      </c>
      <c r="J1022" s="31" t="n">
        <v>2</v>
      </c>
      <c r="K1022" s="50" t="str">
        <f aca="false">C1022&amp;"|"&amp;J1022</f>
        <v>MOB-P|2</v>
      </c>
      <c r="L1022" s="31" t="s">
        <v>2845</v>
      </c>
      <c r="M1022" s="31" t="n">
        <v>5</v>
      </c>
      <c r="N1022" s="51" t="s">
        <v>462</v>
      </c>
      <c r="O1022" s="35" t="s">
        <v>78</v>
      </c>
      <c r="P1022" s="52"/>
      <c r="Q1022" s="52"/>
      <c r="R1022" s="33" t="n">
        <f aca="false">INDEX(Épopées!$L$6:$L$59,MATCH(K1022,Épopées!$A$6:$A$59,0))</f>
        <v>46696</v>
      </c>
      <c r="S1022" s="33" t="n">
        <f aca="false">INDEX(Épopées!$M$6:$M$59,MATCH(K1022,Épopées!$A$6:$A$59,0))</f>
        <v>46710</v>
      </c>
      <c r="T1022" s="53" t="s">
        <v>463</v>
      </c>
    </row>
    <row r="1023" customFormat="false" ht="15" hidden="false" customHeight="false" outlineLevel="0" collapsed="false">
      <c r="A1023" s="31" t="s">
        <v>2846</v>
      </c>
      <c r="B1023" s="31" t="s">
        <v>342</v>
      </c>
      <c r="C1023" s="31" t="s">
        <v>400</v>
      </c>
      <c r="D1023" s="31" t="s">
        <v>197</v>
      </c>
      <c r="E1023" s="31" t="s">
        <v>2847</v>
      </c>
      <c r="F1023" s="31" t="s">
        <v>486</v>
      </c>
      <c r="G1023" s="31" t="s">
        <v>461</v>
      </c>
      <c r="H1023" s="31" t="s">
        <v>41</v>
      </c>
      <c r="I1023" s="31" t="n">
        <f aca="false">VLOOKUP(H1023,Paramètres!$A$15:$B$19,2,FALSE())</f>
        <v>1</v>
      </c>
      <c r="J1023" s="31" t="n">
        <v>3</v>
      </c>
      <c r="K1023" s="50" t="str">
        <f aca="false">C1023&amp;"|"&amp;J1023</f>
        <v>MOB-I|3</v>
      </c>
      <c r="L1023" s="31"/>
      <c r="M1023" s="31" t="n">
        <v>4</v>
      </c>
      <c r="N1023" s="51" t="s">
        <v>462</v>
      </c>
      <c r="O1023" s="35" t="s">
        <v>78</v>
      </c>
      <c r="P1023" s="52"/>
      <c r="Q1023" s="52"/>
      <c r="R1023" s="33" t="n">
        <f aca="false">INDEX(Épopées!$L$6:$L$59,MATCH(K1023,Épopées!$A$6:$A$59,0))</f>
        <v>46713</v>
      </c>
      <c r="S1023" s="33" t="n">
        <f aca="false">INDEX(Épopées!$M$6:$M$59,MATCH(K1023,Épopées!$A$6:$A$59,0))</f>
        <v>46727</v>
      </c>
      <c r="T1023" s="53" t="s">
        <v>463</v>
      </c>
    </row>
    <row r="1024" customFormat="false" ht="15" hidden="false" customHeight="false" outlineLevel="0" collapsed="false">
      <c r="A1024" s="31" t="s">
        <v>2848</v>
      </c>
      <c r="B1024" s="31" t="s">
        <v>342</v>
      </c>
      <c r="C1024" s="31" t="s">
        <v>400</v>
      </c>
      <c r="D1024" s="31" t="s">
        <v>197</v>
      </c>
      <c r="E1024" s="31" t="s">
        <v>2849</v>
      </c>
      <c r="F1024" s="31" t="s">
        <v>460</v>
      </c>
      <c r="G1024" s="31" t="s">
        <v>461</v>
      </c>
      <c r="H1024" s="31" t="s">
        <v>41</v>
      </c>
      <c r="I1024" s="31" t="n">
        <f aca="false">VLOOKUP(H1024,Paramètres!$A$15:$B$19,2,FALSE())</f>
        <v>1</v>
      </c>
      <c r="J1024" s="31" t="n">
        <v>3</v>
      </c>
      <c r="K1024" s="50" t="str">
        <f aca="false">C1024&amp;"|"&amp;J1024</f>
        <v>MOB-I|3</v>
      </c>
      <c r="L1024" s="31" t="s">
        <v>2846</v>
      </c>
      <c r="M1024" s="31" t="n">
        <v>3</v>
      </c>
      <c r="N1024" s="51" t="s">
        <v>462</v>
      </c>
      <c r="O1024" s="35" t="s">
        <v>78</v>
      </c>
      <c r="P1024" s="52"/>
      <c r="Q1024" s="52"/>
      <c r="R1024" s="33" t="n">
        <f aca="false">INDEX(Épopées!$L$6:$L$59,MATCH(K1024,Épopées!$A$6:$A$59,0))</f>
        <v>46713</v>
      </c>
      <c r="S1024" s="33" t="n">
        <f aca="false">INDEX(Épopées!$M$6:$M$59,MATCH(K1024,Épopées!$A$6:$A$59,0))</f>
        <v>46727</v>
      </c>
      <c r="T1024" s="53" t="s">
        <v>463</v>
      </c>
    </row>
    <row r="1025" customFormat="false" ht="15" hidden="false" customHeight="false" outlineLevel="0" collapsed="false">
      <c r="A1025" s="31" t="s">
        <v>2850</v>
      </c>
      <c r="B1025" s="31" t="s">
        <v>342</v>
      </c>
      <c r="C1025" s="31" t="s">
        <v>400</v>
      </c>
      <c r="D1025" s="31" t="s">
        <v>197</v>
      </c>
      <c r="E1025" s="31" t="s">
        <v>2851</v>
      </c>
      <c r="F1025" s="31" t="s">
        <v>491</v>
      </c>
      <c r="G1025" s="31" t="s">
        <v>461</v>
      </c>
      <c r="H1025" s="31" t="s">
        <v>39</v>
      </c>
      <c r="I1025" s="31" t="n">
        <f aca="false">VLOOKUP(H1025,Paramètres!$A$15:$B$19,2,FALSE())</f>
        <v>0.5</v>
      </c>
      <c r="J1025" s="31" t="n">
        <v>3</v>
      </c>
      <c r="K1025" s="50" t="str">
        <f aca="false">C1025&amp;"|"&amp;J1025</f>
        <v>MOB-I|3</v>
      </c>
      <c r="L1025" s="31" t="s">
        <v>2848</v>
      </c>
      <c r="M1025" s="31" t="n">
        <v>3</v>
      </c>
      <c r="N1025" s="51" t="s">
        <v>462</v>
      </c>
      <c r="O1025" s="35" t="s">
        <v>78</v>
      </c>
      <c r="P1025" s="52"/>
      <c r="Q1025" s="52"/>
      <c r="R1025" s="33" t="n">
        <f aca="false">INDEX(Épopées!$L$6:$L$59,MATCH(K1025,Épopées!$A$6:$A$59,0))</f>
        <v>46713</v>
      </c>
      <c r="S1025" s="33" t="n">
        <f aca="false">INDEX(Épopées!$M$6:$M$59,MATCH(K1025,Épopées!$A$6:$A$59,0))</f>
        <v>46727</v>
      </c>
      <c r="T1025" s="53" t="s">
        <v>463</v>
      </c>
    </row>
    <row r="1026" customFormat="false" ht="15" hidden="false" customHeight="false" outlineLevel="0" collapsed="false">
      <c r="A1026" s="31" t="s">
        <v>2852</v>
      </c>
      <c r="B1026" s="31" t="s">
        <v>342</v>
      </c>
      <c r="C1026" s="31" t="s">
        <v>400</v>
      </c>
      <c r="D1026" s="31" t="s">
        <v>197</v>
      </c>
      <c r="E1026" s="31" t="s">
        <v>2853</v>
      </c>
      <c r="F1026" s="31" t="s">
        <v>491</v>
      </c>
      <c r="G1026" s="31" t="s">
        <v>461</v>
      </c>
      <c r="H1026" s="31" t="s">
        <v>43</v>
      </c>
      <c r="I1026" s="31" t="n">
        <f aca="false">VLOOKUP(H1026,Paramètres!$A$15:$B$19,2,FALSE())</f>
        <v>2</v>
      </c>
      <c r="J1026" s="31" t="n">
        <v>3</v>
      </c>
      <c r="K1026" s="50" t="str">
        <f aca="false">C1026&amp;"|"&amp;J1026</f>
        <v>MOB-I|3</v>
      </c>
      <c r="L1026" s="31" t="s">
        <v>2850</v>
      </c>
      <c r="M1026" s="31" t="n">
        <v>6</v>
      </c>
      <c r="N1026" s="51" t="s">
        <v>462</v>
      </c>
      <c r="O1026" s="35" t="s">
        <v>78</v>
      </c>
      <c r="P1026" s="52"/>
      <c r="Q1026" s="52"/>
      <c r="R1026" s="33" t="n">
        <f aca="false">INDEX(Épopées!$L$6:$L$59,MATCH(K1026,Épopées!$A$6:$A$59,0))</f>
        <v>46713</v>
      </c>
      <c r="S1026" s="33" t="n">
        <f aca="false">INDEX(Épopées!$M$6:$M$59,MATCH(K1026,Épopées!$A$6:$A$59,0))</f>
        <v>46727</v>
      </c>
      <c r="T1026" s="53" t="s">
        <v>463</v>
      </c>
    </row>
    <row r="1027" customFormat="false" ht="15" hidden="false" customHeight="false" outlineLevel="0" collapsed="false">
      <c r="A1027" s="31" t="s">
        <v>2854</v>
      </c>
      <c r="B1027" s="31" t="s">
        <v>342</v>
      </c>
      <c r="C1027" s="31" t="s">
        <v>400</v>
      </c>
      <c r="D1027" s="31" t="s">
        <v>197</v>
      </c>
      <c r="E1027" s="31" t="s">
        <v>2855</v>
      </c>
      <c r="F1027" s="31" t="s">
        <v>491</v>
      </c>
      <c r="G1027" s="31" t="s">
        <v>461</v>
      </c>
      <c r="H1027" s="31" t="s">
        <v>41</v>
      </c>
      <c r="I1027" s="31" t="n">
        <f aca="false">VLOOKUP(H1027,Paramètres!$A$15:$B$19,2,FALSE())</f>
        <v>1</v>
      </c>
      <c r="J1027" s="31" t="n">
        <v>3</v>
      </c>
      <c r="K1027" s="50" t="str">
        <f aca="false">C1027&amp;"|"&amp;J1027</f>
        <v>MOB-I|3</v>
      </c>
      <c r="L1027" s="31" t="s">
        <v>2846</v>
      </c>
      <c r="M1027" s="31" t="n">
        <v>3</v>
      </c>
      <c r="N1027" s="51" t="s">
        <v>462</v>
      </c>
      <c r="O1027" s="35" t="s">
        <v>78</v>
      </c>
      <c r="P1027" s="52"/>
      <c r="Q1027" s="52"/>
      <c r="R1027" s="33" t="n">
        <f aca="false">INDEX(Épopées!$L$6:$L$59,MATCH(K1027,Épopées!$A$6:$A$59,0))</f>
        <v>46713</v>
      </c>
      <c r="S1027" s="33" t="n">
        <f aca="false">INDEX(Épopées!$M$6:$M$59,MATCH(K1027,Épopées!$A$6:$A$59,0))</f>
        <v>46727</v>
      </c>
      <c r="T1027" s="53" t="s">
        <v>463</v>
      </c>
    </row>
    <row r="1028" customFormat="false" ht="15" hidden="false" customHeight="false" outlineLevel="0" collapsed="false">
      <c r="A1028" s="31" t="s">
        <v>2856</v>
      </c>
      <c r="B1028" s="31" t="s">
        <v>342</v>
      </c>
      <c r="C1028" s="31" t="s">
        <v>400</v>
      </c>
      <c r="D1028" s="31" t="s">
        <v>197</v>
      </c>
      <c r="E1028" s="31" t="s">
        <v>2857</v>
      </c>
      <c r="F1028" s="31" t="s">
        <v>1623</v>
      </c>
      <c r="G1028" s="31" t="s">
        <v>466</v>
      </c>
      <c r="H1028" s="31" t="s">
        <v>39</v>
      </c>
      <c r="I1028" s="31" t="n">
        <f aca="false">VLOOKUP(H1028,Paramètres!$A$15:$B$19,2,FALSE())</f>
        <v>0.5</v>
      </c>
      <c r="J1028" s="31" t="n">
        <v>3</v>
      </c>
      <c r="K1028" s="50" t="str">
        <f aca="false">C1028&amp;"|"&amp;J1028</f>
        <v>MOB-I|3</v>
      </c>
      <c r="L1028" s="31" t="s">
        <v>2852</v>
      </c>
      <c r="M1028" s="31" t="n">
        <v>1</v>
      </c>
      <c r="N1028" s="51" t="s">
        <v>462</v>
      </c>
      <c r="O1028" s="35" t="s">
        <v>78</v>
      </c>
      <c r="P1028" s="52"/>
      <c r="Q1028" s="52"/>
      <c r="R1028" s="33" t="n">
        <f aca="false">INDEX(Épopées!$L$6:$L$59,MATCH(K1028,Épopées!$A$6:$A$59,0))</f>
        <v>46713</v>
      </c>
      <c r="S1028" s="33" t="n">
        <f aca="false">INDEX(Épopées!$M$6:$M$59,MATCH(K1028,Épopées!$A$6:$A$59,0))</f>
        <v>46727</v>
      </c>
      <c r="T1028" s="53" t="s">
        <v>463</v>
      </c>
    </row>
    <row r="1029" customFormat="false" ht="15" hidden="false" customHeight="false" outlineLevel="0" collapsed="false">
      <c r="A1029" s="31" t="s">
        <v>2858</v>
      </c>
      <c r="B1029" s="31" t="s">
        <v>342</v>
      </c>
      <c r="C1029" s="31" t="s">
        <v>400</v>
      </c>
      <c r="D1029" s="31" t="s">
        <v>197</v>
      </c>
      <c r="E1029" s="31" t="s">
        <v>2859</v>
      </c>
      <c r="F1029" s="31" t="s">
        <v>1623</v>
      </c>
      <c r="G1029" s="31" t="s">
        <v>461</v>
      </c>
      <c r="H1029" s="31" t="s">
        <v>41</v>
      </c>
      <c r="I1029" s="31" t="n">
        <f aca="false">VLOOKUP(H1029,Paramètres!$A$15:$B$19,2,FALSE())</f>
        <v>1</v>
      </c>
      <c r="J1029" s="31" t="n">
        <v>3</v>
      </c>
      <c r="K1029" s="50" t="str">
        <f aca="false">C1029&amp;"|"&amp;J1029</f>
        <v>MOB-I|3</v>
      </c>
      <c r="L1029" s="31" t="s">
        <v>2860</v>
      </c>
      <c r="M1029" s="31" t="n">
        <v>1</v>
      </c>
      <c r="N1029" s="51" t="s">
        <v>462</v>
      </c>
      <c r="O1029" s="35" t="s">
        <v>78</v>
      </c>
      <c r="P1029" s="52"/>
      <c r="Q1029" s="52"/>
      <c r="R1029" s="33" t="n">
        <f aca="false">INDEX(Épopées!$L$6:$L$59,MATCH(K1029,Épopées!$A$6:$A$59,0))</f>
        <v>46713</v>
      </c>
      <c r="S1029" s="33" t="n">
        <f aca="false">INDEX(Épopées!$M$6:$M$59,MATCH(K1029,Épopées!$A$6:$A$59,0))</f>
        <v>46727</v>
      </c>
      <c r="T1029" s="53" t="s">
        <v>463</v>
      </c>
    </row>
    <row r="1030" customFormat="false" ht="15" hidden="false" customHeight="false" outlineLevel="0" collapsed="false">
      <c r="A1030" s="31" t="s">
        <v>2861</v>
      </c>
      <c r="B1030" s="31" t="s">
        <v>342</v>
      </c>
      <c r="C1030" s="31" t="s">
        <v>400</v>
      </c>
      <c r="D1030" s="31" t="s">
        <v>197</v>
      </c>
      <c r="E1030" s="31" t="s">
        <v>2862</v>
      </c>
      <c r="F1030" s="31" t="s">
        <v>1623</v>
      </c>
      <c r="G1030" s="31" t="s">
        <v>461</v>
      </c>
      <c r="H1030" s="31" t="s">
        <v>41</v>
      </c>
      <c r="I1030" s="31" t="n">
        <f aca="false">VLOOKUP(H1030,Paramètres!$A$15:$B$19,2,FALSE())</f>
        <v>1</v>
      </c>
      <c r="J1030" s="31" t="n">
        <v>3</v>
      </c>
      <c r="K1030" s="50" t="str">
        <f aca="false">C1030&amp;"|"&amp;J1030</f>
        <v>MOB-I|3</v>
      </c>
      <c r="L1030" s="31" t="s">
        <v>2858</v>
      </c>
      <c r="M1030" s="31" t="n">
        <v>1</v>
      </c>
      <c r="N1030" s="51" t="s">
        <v>462</v>
      </c>
      <c r="O1030" s="35" t="s">
        <v>78</v>
      </c>
      <c r="P1030" s="52"/>
      <c r="Q1030" s="52"/>
      <c r="R1030" s="33" t="n">
        <f aca="false">INDEX(Épopées!$L$6:$L$59,MATCH(K1030,Épopées!$A$6:$A$59,0))</f>
        <v>46713</v>
      </c>
      <c r="S1030" s="33" t="n">
        <f aca="false">INDEX(Épopées!$M$6:$M$59,MATCH(K1030,Épopées!$A$6:$A$59,0))</f>
        <v>46727</v>
      </c>
      <c r="T1030" s="53" t="s">
        <v>463</v>
      </c>
    </row>
    <row r="1031" customFormat="false" ht="15" hidden="false" customHeight="false" outlineLevel="0" collapsed="false">
      <c r="A1031" s="31" t="s">
        <v>2863</v>
      </c>
      <c r="B1031" s="31" t="s">
        <v>342</v>
      </c>
      <c r="C1031" s="31" t="s">
        <v>400</v>
      </c>
      <c r="D1031" s="31" t="s">
        <v>197</v>
      </c>
      <c r="E1031" s="31" t="s">
        <v>2864</v>
      </c>
      <c r="F1031" s="31" t="s">
        <v>1623</v>
      </c>
      <c r="G1031" s="31" t="s">
        <v>461</v>
      </c>
      <c r="H1031" s="31" t="s">
        <v>41</v>
      </c>
      <c r="I1031" s="31" t="n">
        <f aca="false">VLOOKUP(H1031,Paramètres!$A$15:$B$19,2,FALSE())</f>
        <v>1</v>
      </c>
      <c r="J1031" s="31" t="n">
        <v>3</v>
      </c>
      <c r="K1031" s="50" t="str">
        <f aca="false">C1031&amp;"|"&amp;J1031</f>
        <v>MOB-I|3</v>
      </c>
      <c r="L1031" s="31" t="s">
        <v>2861</v>
      </c>
      <c r="M1031" s="31" t="n">
        <v>1</v>
      </c>
      <c r="N1031" s="51" t="s">
        <v>462</v>
      </c>
      <c r="O1031" s="35" t="s">
        <v>78</v>
      </c>
      <c r="P1031" s="52"/>
      <c r="Q1031" s="52"/>
      <c r="R1031" s="33" t="n">
        <f aca="false">INDEX(Épopées!$L$6:$L$59,MATCH(K1031,Épopées!$A$6:$A$59,0))</f>
        <v>46713</v>
      </c>
      <c r="S1031" s="33" t="n">
        <f aca="false">INDEX(Épopées!$M$6:$M$59,MATCH(K1031,Épopées!$A$6:$A$59,0))</f>
        <v>46727</v>
      </c>
      <c r="T1031" s="53" t="s">
        <v>463</v>
      </c>
    </row>
    <row r="1032" customFormat="false" ht="15" hidden="false" customHeight="false" outlineLevel="0" collapsed="false">
      <c r="A1032" s="31" t="s">
        <v>2865</v>
      </c>
      <c r="B1032" s="31" t="s">
        <v>342</v>
      </c>
      <c r="C1032" s="31" t="s">
        <v>400</v>
      </c>
      <c r="D1032" s="31" t="s">
        <v>197</v>
      </c>
      <c r="E1032" s="31" t="s">
        <v>2866</v>
      </c>
      <c r="F1032" s="31" t="s">
        <v>491</v>
      </c>
      <c r="G1032" s="31" t="s">
        <v>466</v>
      </c>
      <c r="H1032" s="31" t="s">
        <v>39</v>
      </c>
      <c r="I1032" s="31" t="n">
        <f aca="false">VLOOKUP(H1032,Paramètres!$A$15:$B$19,2,FALSE())</f>
        <v>0.5</v>
      </c>
      <c r="J1032" s="31" t="n">
        <v>3</v>
      </c>
      <c r="K1032" s="50" t="str">
        <f aca="false">C1032&amp;"|"&amp;J1032</f>
        <v>MOB-I|3</v>
      </c>
      <c r="L1032" s="31" t="s">
        <v>2852</v>
      </c>
      <c r="M1032" s="31" t="n">
        <v>3</v>
      </c>
      <c r="N1032" s="51" t="s">
        <v>462</v>
      </c>
      <c r="O1032" s="35" t="s">
        <v>78</v>
      </c>
      <c r="P1032" s="52"/>
      <c r="Q1032" s="52"/>
      <c r="R1032" s="33" t="n">
        <f aca="false">INDEX(Épopées!$L$6:$L$59,MATCH(K1032,Épopées!$A$6:$A$59,0))</f>
        <v>46713</v>
      </c>
      <c r="S1032" s="33" t="n">
        <f aca="false">INDEX(Épopées!$M$6:$M$59,MATCH(K1032,Épopées!$A$6:$A$59,0))</f>
        <v>46727</v>
      </c>
      <c r="T1032" s="53" t="s">
        <v>463</v>
      </c>
    </row>
    <row r="1033" customFormat="false" ht="15" hidden="false" customHeight="false" outlineLevel="0" collapsed="false">
      <c r="A1033" s="31" t="s">
        <v>2867</v>
      </c>
      <c r="B1033" s="31" t="s">
        <v>342</v>
      </c>
      <c r="C1033" s="31" t="s">
        <v>400</v>
      </c>
      <c r="D1033" s="31" t="s">
        <v>197</v>
      </c>
      <c r="E1033" s="31" t="s">
        <v>2868</v>
      </c>
      <c r="F1033" s="31" t="s">
        <v>1623</v>
      </c>
      <c r="G1033" s="31" t="s">
        <v>461</v>
      </c>
      <c r="H1033" s="31" t="s">
        <v>43</v>
      </c>
      <c r="I1033" s="31" t="n">
        <f aca="false">VLOOKUP(H1033,Paramètres!$A$15:$B$19,2,FALSE())</f>
        <v>2</v>
      </c>
      <c r="J1033" s="31" t="n">
        <v>3</v>
      </c>
      <c r="K1033" s="50" t="str">
        <f aca="false">C1033&amp;"|"&amp;J1033</f>
        <v>MOB-I|3</v>
      </c>
      <c r="L1033" s="31" t="s">
        <v>2869</v>
      </c>
      <c r="M1033" s="31" t="n">
        <v>1</v>
      </c>
      <c r="N1033" s="51" t="s">
        <v>462</v>
      </c>
      <c r="O1033" s="35" t="s">
        <v>78</v>
      </c>
      <c r="P1033" s="52"/>
      <c r="Q1033" s="52"/>
      <c r="R1033" s="33" t="n">
        <f aca="false">INDEX(Épopées!$L$6:$L$59,MATCH(K1033,Épopées!$A$6:$A$59,0))</f>
        <v>46713</v>
      </c>
      <c r="S1033" s="33" t="n">
        <f aca="false">INDEX(Épopées!$M$6:$M$59,MATCH(K1033,Épopées!$A$6:$A$59,0))</f>
        <v>46727</v>
      </c>
      <c r="T1033" s="53" t="s">
        <v>463</v>
      </c>
    </row>
    <row r="1034" customFormat="false" ht="15" hidden="false" customHeight="false" outlineLevel="0" collapsed="false">
      <c r="A1034" s="31" t="s">
        <v>2870</v>
      </c>
      <c r="B1034" s="31" t="s">
        <v>342</v>
      </c>
      <c r="C1034" s="31" t="s">
        <v>400</v>
      </c>
      <c r="D1034" s="31" t="s">
        <v>197</v>
      </c>
      <c r="E1034" s="31" t="s">
        <v>2871</v>
      </c>
      <c r="F1034" s="31" t="s">
        <v>1623</v>
      </c>
      <c r="G1034" s="31" t="s">
        <v>461</v>
      </c>
      <c r="H1034" s="31" t="s">
        <v>43</v>
      </c>
      <c r="I1034" s="31" t="n">
        <f aca="false">VLOOKUP(H1034,Paramètres!$A$15:$B$19,2,FALSE())</f>
        <v>2</v>
      </c>
      <c r="J1034" s="31" t="n">
        <v>3</v>
      </c>
      <c r="K1034" s="50" t="str">
        <f aca="false">C1034&amp;"|"&amp;J1034</f>
        <v>MOB-I|3</v>
      </c>
      <c r="L1034" s="31" t="s">
        <v>2872</v>
      </c>
      <c r="M1034" s="31" t="n">
        <v>1</v>
      </c>
      <c r="N1034" s="51" t="s">
        <v>462</v>
      </c>
      <c r="O1034" s="35" t="s">
        <v>78</v>
      </c>
      <c r="P1034" s="52"/>
      <c r="Q1034" s="52"/>
      <c r="R1034" s="33" t="n">
        <f aca="false">INDEX(Épopées!$L$6:$L$59,MATCH(K1034,Épopées!$A$6:$A$59,0))</f>
        <v>46713</v>
      </c>
      <c r="S1034" s="33" t="n">
        <f aca="false">INDEX(Épopées!$M$6:$M$59,MATCH(K1034,Épopées!$A$6:$A$59,0))</f>
        <v>46727</v>
      </c>
      <c r="T1034" s="53" t="s">
        <v>463</v>
      </c>
    </row>
    <row r="1035" customFormat="false" ht="15" hidden="false" customHeight="false" outlineLevel="0" collapsed="false">
      <c r="A1035" s="31" t="s">
        <v>2873</v>
      </c>
      <c r="B1035" s="31" t="s">
        <v>342</v>
      </c>
      <c r="C1035" s="31" t="s">
        <v>400</v>
      </c>
      <c r="D1035" s="31" t="s">
        <v>197</v>
      </c>
      <c r="E1035" s="31" t="s">
        <v>2874</v>
      </c>
      <c r="F1035" s="31" t="s">
        <v>1623</v>
      </c>
      <c r="G1035" s="31" t="s">
        <v>461</v>
      </c>
      <c r="H1035" s="31" t="s">
        <v>39</v>
      </c>
      <c r="I1035" s="31" t="n">
        <f aca="false">VLOOKUP(H1035,Paramètres!$A$15:$B$19,2,FALSE())</f>
        <v>0.5</v>
      </c>
      <c r="J1035" s="31" t="n">
        <v>3</v>
      </c>
      <c r="K1035" s="50" t="str">
        <f aca="false">C1035&amp;"|"&amp;J1035</f>
        <v>MOB-I|3</v>
      </c>
      <c r="L1035" s="31" t="s">
        <v>2870</v>
      </c>
      <c r="M1035" s="31" t="n">
        <v>1</v>
      </c>
      <c r="N1035" s="51" t="s">
        <v>462</v>
      </c>
      <c r="O1035" s="35" t="s">
        <v>78</v>
      </c>
      <c r="P1035" s="52"/>
      <c r="Q1035" s="52"/>
      <c r="R1035" s="33" t="n">
        <f aca="false">INDEX(Épopées!$L$6:$L$59,MATCH(K1035,Épopées!$A$6:$A$59,0))</f>
        <v>46713</v>
      </c>
      <c r="S1035" s="33" t="n">
        <f aca="false">INDEX(Épopées!$M$6:$M$59,MATCH(K1035,Épopées!$A$6:$A$59,0))</f>
        <v>46727</v>
      </c>
      <c r="T1035" s="53" t="s">
        <v>463</v>
      </c>
    </row>
    <row r="1036" customFormat="false" ht="15" hidden="false" customHeight="false" outlineLevel="0" collapsed="false">
      <c r="A1036" s="31" t="s">
        <v>2875</v>
      </c>
      <c r="B1036" s="31" t="s">
        <v>342</v>
      </c>
      <c r="C1036" s="31" t="s">
        <v>400</v>
      </c>
      <c r="D1036" s="31" t="s">
        <v>197</v>
      </c>
      <c r="E1036" s="31" t="s">
        <v>2876</v>
      </c>
      <c r="F1036" s="31" t="s">
        <v>1623</v>
      </c>
      <c r="G1036" s="31" t="s">
        <v>466</v>
      </c>
      <c r="H1036" s="31" t="s">
        <v>41</v>
      </c>
      <c r="I1036" s="31" t="n">
        <f aca="false">VLOOKUP(H1036,Paramètres!$A$15:$B$19,2,FALSE())</f>
        <v>1</v>
      </c>
      <c r="J1036" s="31" t="n">
        <v>3</v>
      </c>
      <c r="K1036" s="50" t="str">
        <f aca="false">C1036&amp;"|"&amp;J1036</f>
        <v>MOB-I|3</v>
      </c>
      <c r="L1036" s="31" t="s">
        <v>2852</v>
      </c>
      <c r="M1036" s="31" t="n">
        <v>1</v>
      </c>
      <c r="N1036" s="51" t="s">
        <v>462</v>
      </c>
      <c r="O1036" s="35" t="s">
        <v>78</v>
      </c>
      <c r="P1036" s="52"/>
      <c r="Q1036" s="52"/>
      <c r="R1036" s="33" t="n">
        <f aca="false">INDEX(Épopées!$L$6:$L$59,MATCH(K1036,Épopées!$A$6:$A$59,0))</f>
        <v>46713</v>
      </c>
      <c r="S1036" s="33" t="n">
        <f aca="false">INDEX(Épopées!$M$6:$M$59,MATCH(K1036,Épopées!$A$6:$A$59,0))</f>
        <v>46727</v>
      </c>
      <c r="T1036" s="53" t="s">
        <v>463</v>
      </c>
    </row>
    <row r="1037" customFormat="false" ht="15" hidden="false" customHeight="false" outlineLevel="0" collapsed="false">
      <c r="A1037" s="31" t="s">
        <v>2877</v>
      </c>
      <c r="B1037" s="31" t="s">
        <v>342</v>
      </c>
      <c r="C1037" s="31" t="s">
        <v>400</v>
      </c>
      <c r="D1037" s="31" t="s">
        <v>197</v>
      </c>
      <c r="E1037" s="31" t="s">
        <v>2878</v>
      </c>
      <c r="F1037" s="31" t="s">
        <v>1623</v>
      </c>
      <c r="G1037" s="31" t="s">
        <v>466</v>
      </c>
      <c r="H1037" s="31" t="s">
        <v>43</v>
      </c>
      <c r="I1037" s="31" t="n">
        <f aca="false">VLOOKUP(H1037,Paramètres!$A$15:$B$19,2,FALSE())</f>
        <v>2</v>
      </c>
      <c r="J1037" s="31" t="n">
        <v>3</v>
      </c>
      <c r="K1037" s="50" t="str">
        <f aca="false">C1037&amp;"|"&amp;J1037</f>
        <v>MOB-I|3</v>
      </c>
      <c r="L1037" s="31" t="s">
        <v>2879</v>
      </c>
      <c r="M1037" s="31" t="n">
        <v>1</v>
      </c>
      <c r="N1037" s="51" t="s">
        <v>462</v>
      </c>
      <c r="O1037" s="35" t="s">
        <v>78</v>
      </c>
      <c r="P1037" s="52"/>
      <c r="Q1037" s="52"/>
      <c r="R1037" s="33" t="n">
        <f aca="false">INDEX(Épopées!$L$6:$L$59,MATCH(K1037,Épopées!$A$6:$A$59,0))</f>
        <v>46713</v>
      </c>
      <c r="S1037" s="33" t="n">
        <f aca="false">INDEX(Épopées!$M$6:$M$59,MATCH(K1037,Épopées!$A$6:$A$59,0))</f>
        <v>46727</v>
      </c>
      <c r="T1037" s="53" t="s">
        <v>463</v>
      </c>
    </row>
    <row r="1038" customFormat="false" ht="15" hidden="false" customHeight="false" outlineLevel="0" collapsed="false">
      <c r="A1038" s="31" t="s">
        <v>2880</v>
      </c>
      <c r="B1038" s="31" t="s">
        <v>342</v>
      </c>
      <c r="C1038" s="31" t="s">
        <v>400</v>
      </c>
      <c r="D1038" s="31" t="s">
        <v>197</v>
      </c>
      <c r="E1038" s="31" t="s">
        <v>2881</v>
      </c>
      <c r="F1038" s="31" t="s">
        <v>1623</v>
      </c>
      <c r="G1038" s="31" t="s">
        <v>466</v>
      </c>
      <c r="H1038" s="31" t="s">
        <v>41</v>
      </c>
      <c r="I1038" s="31" t="n">
        <f aca="false">VLOOKUP(H1038,Paramètres!$A$15:$B$19,2,FALSE())</f>
        <v>1</v>
      </c>
      <c r="J1038" s="31" t="n">
        <v>3</v>
      </c>
      <c r="K1038" s="50" t="str">
        <f aca="false">C1038&amp;"|"&amp;J1038</f>
        <v>MOB-I|3</v>
      </c>
      <c r="L1038" s="31" t="s">
        <v>2850</v>
      </c>
      <c r="M1038" s="31" t="n">
        <v>1</v>
      </c>
      <c r="N1038" s="51" t="s">
        <v>462</v>
      </c>
      <c r="O1038" s="35" t="s">
        <v>78</v>
      </c>
      <c r="P1038" s="52"/>
      <c r="Q1038" s="52"/>
      <c r="R1038" s="33" t="n">
        <f aca="false">INDEX(Épopées!$L$6:$L$59,MATCH(K1038,Épopées!$A$6:$A$59,0))</f>
        <v>46713</v>
      </c>
      <c r="S1038" s="33" t="n">
        <f aca="false">INDEX(Épopées!$M$6:$M$59,MATCH(K1038,Épopées!$A$6:$A$59,0))</f>
        <v>46727</v>
      </c>
      <c r="T1038" s="53" t="s">
        <v>463</v>
      </c>
    </row>
    <row r="1039" customFormat="false" ht="15" hidden="false" customHeight="false" outlineLevel="0" collapsed="false">
      <c r="A1039" s="31" t="s">
        <v>2882</v>
      </c>
      <c r="B1039" s="31" t="s">
        <v>342</v>
      </c>
      <c r="C1039" s="31" t="s">
        <v>400</v>
      </c>
      <c r="D1039" s="31" t="s">
        <v>197</v>
      </c>
      <c r="E1039" s="31" t="s">
        <v>2883</v>
      </c>
      <c r="F1039" s="31" t="s">
        <v>1623</v>
      </c>
      <c r="G1039" s="31" t="s">
        <v>466</v>
      </c>
      <c r="H1039" s="31" t="s">
        <v>39</v>
      </c>
      <c r="I1039" s="31" t="n">
        <f aca="false">VLOOKUP(H1039,Paramètres!$A$15:$B$19,2,FALSE())</f>
        <v>0.5</v>
      </c>
      <c r="J1039" s="31" t="n">
        <v>3</v>
      </c>
      <c r="K1039" s="50" t="str">
        <f aca="false">C1039&amp;"|"&amp;J1039</f>
        <v>MOB-I|3</v>
      </c>
      <c r="L1039" s="31" t="s">
        <v>2867</v>
      </c>
      <c r="M1039" s="31" t="n">
        <v>1</v>
      </c>
      <c r="N1039" s="51" t="s">
        <v>462</v>
      </c>
      <c r="O1039" s="35" t="s">
        <v>78</v>
      </c>
      <c r="P1039" s="52"/>
      <c r="Q1039" s="52"/>
      <c r="R1039" s="33" t="n">
        <f aca="false">INDEX(Épopées!$L$6:$L$59,MATCH(K1039,Épopées!$A$6:$A$59,0))</f>
        <v>46713</v>
      </c>
      <c r="S1039" s="33" t="n">
        <f aca="false">INDEX(Épopées!$M$6:$M$59,MATCH(K1039,Épopées!$A$6:$A$59,0))</f>
        <v>46727</v>
      </c>
      <c r="T1039" s="53" t="s">
        <v>463</v>
      </c>
    </row>
    <row r="1040" customFormat="false" ht="15" hidden="false" customHeight="false" outlineLevel="0" collapsed="false">
      <c r="A1040" s="31" t="s">
        <v>2884</v>
      </c>
      <c r="B1040" s="31" t="s">
        <v>342</v>
      </c>
      <c r="C1040" s="31" t="s">
        <v>400</v>
      </c>
      <c r="D1040" s="31" t="s">
        <v>197</v>
      </c>
      <c r="E1040" s="31" t="s">
        <v>2885</v>
      </c>
      <c r="F1040" s="31" t="s">
        <v>1623</v>
      </c>
      <c r="G1040" s="31" t="s">
        <v>466</v>
      </c>
      <c r="H1040" s="31" t="s">
        <v>41</v>
      </c>
      <c r="I1040" s="31" t="n">
        <f aca="false">VLOOKUP(H1040,Paramètres!$A$15:$B$19,2,FALSE())</f>
        <v>1</v>
      </c>
      <c r="J1040" s="31" t="n">
        <v>3</v>
      </c>
      <c r="K1040" s="50" t="str">
        <f aca="false">C1040&amp;"|"&amp;J1040</f>
        <v>MOB-I|3</v>
      </c>
      <c r="L1040" s="31" t="s">
        <v>2852</v>
      </c>
      <c r="M1040" s="31" t="n">
        <v>1</v>
      </c>
      <c r="N1040" s="51" t="s">
        <v>462</v>
      </c>
      <c r="O1040" s="35" t="s">
        <v>78</v>
      </c>
      <c r="P1040" s="52"/>
      <c r="Q1040" s="52"/>
      <c r="R1040" s="33" t="n">
        <f aca="false">INDEX(Épopées!$L$6:$L$59,MATCH(K1040,Épopées!$A$6:$A$59,0))</f>
        <v>46713</v>
      </c>
      <c r="S1040" s="33" t="n">
        <f aca="false">INDEX(Épopées!$M$6:$M$59,MATCH(K1040,Épopées!$A$6:$A$59,0))</f>
        <v>46727</v>
      </c>
      <c r="T1040" s="53" t="s">
        <v>463</v>
      </c>
    </row>
    <row r="1041" customFormat="false" ht="15" hidden="false" customHeight="false" outlineLevel="0" collapsed="false">
      <c r="A1041" s="31" t="s">
        <v>2886</v>
      </c>
      <c r="B1041" s="31" t="s">
        <v>342</v>
      </c>
      <c r="C1041" s="31" t="s">
        <v>400</v>
      </c>
      <c r="D1041" s="31" t="s">
        <v>197</v>
      </c>
      <c r="E1041" s="31" t="s">
        <v>2887</v>
      </c>
      <c r="F1041" s="31" t="s">
        <v>1623</v>
      </c>
      <c r="G1041" s="31" t="s">
        <v>612</v>
      </c>
      <c r="H1041" s="31" t="s">
        <v>39</v>
      </c>
      <c r="I1041" s="31" t="n">
        <f aca="false">VLOOKUP(H1041,Paramètres!$A$15:$B$19,2,FALSE())</f>
        <v>0.5</v>
      </c>
      <c r="J1041" s="31" t="n">
        <v>3</v>
      </c>
      <c r="K1041" s="50" t="str">
        <f aca="false">C1041&amp;"|"&amp;J1041</f>
        <v>MOB-I|3</v>
      </c>
      <c r="L1041" s="31" t="s">
        <v>2852</v>
      </c>
      <c r="M1041" s="31" t="n">
        <v>1</v>
      </c>
      <c r="N1041" s="51" t="s">
        <v>462</v>
      </c>
      <c r="O1041" s="35" t="s">
        <v>78</v>
      </c>
      <c r="P1041" s="52"/>
      <c r="Q1041" s="52"/>
      <c r="R1041" s="33" t="n">
        <f aca="false">INDEX(Épopées!$L$6:$L$59,MATCH(K1041,Épopées!$A$6:$A$59,0))</f>
        <v>46713</v>
      </c>
      <c r="S1041" s="33" t="n">
        <f aca="false">INDEX(Épopées!$M$6:$M$59,MATCH(K1041,Épopées!$A$6:$A$59,0))</f>
        <v>46727</v>
      </c>
      <c r="T1041" s="53" t="s">
        <v>463</v>
      </c>
    </row>
    <row r="1042" customFormat="false" ht="15" hidden="false" customHeight="false" outlineLevel="0" collapsed="false">
      <c r="A1042" s="31" t="s">
        <v>2888</v>
      </c>
      <c r="B1042" s="31" t="s">
        <v>342</v>
      </c>
      <c r="C1042" s="31" t="s">
        <v>400</v>
      </c>
      <c r="D1042" s="31" t="s">
        <v>197</v>
      </c>
      <c r="E1042" s="31" t="s">
        <v>2889</v>
      </c>
      <c r="F1042" s="31" t="s">
        <v>491</v>
      </c>
      <c r="G1042" s="31" t="s">
        <v>612</v>
      </c>
      <c r="H1042" s="31" t="s">
        <v>39</v>
      </c>
      <c r="I1042" s="31" t="n">
        <f aca="false">VLOOKUP(H1042,Paramètres!$A$15:$B$19,2,FALSE())</f>
        <v>0.5</v>
      </c>
      <c r="J1042" s="31" t="n">
        <v>3</v>
      </c>
      <c r="K1042" s="50" t="str">
        <f aca="false">C1042&amp;"|"&amp;J1042</f>
        <v>MOB-I|3</v>
      </c>
      <c r="L1042" s="31" t="s">
        <v>2852</v>
      </c>
      <c r="M1042" s="31" t="n">
        <v>2</v>
      </c>
      <c r="N1042" s="51" t="s">
        <v>462</v>
      </c>
      <c r="O1042" s="35" t="s">
        <v>78</v>
      </c>
      <c r="P1042" s="52"/>
      <c r="Q1042" s="52"/>
      <c r="R1042" s="33" t="n">
        <f aca="false">INDEX(Épopées!$L$6:$L$59,MATCH(K1042,Épopées!$A$6:$A$59,0))</f>
        <v>46713</v>
      </c>
      <c r="S1042" s="33" t="n">
        <f aca="false">INDEX(Épopées!$M$6:$M$59,MATCH(K1042,Épopées!$A$6:$A$59,0))</f>
        <v>46727</v>
      </c>
      <c r="T1042" s="53" t="s">
        <v>463</v>
      </c>
    </row>
    <row r="1043" customFormat="false" ht="15" hidden="false" customHeight="false" outlineLevel="0" collapsed="false">
      <c r="A1043" s="31" t="s">
        <v>2890</v>
      </c>
      <c r="B1043" s="31" t="s">
        <v>342</v>
      </c>
      <c r="C1043" s="31" t="s">
        <v>400</v>
      </c>
      <c r="D1043" s="31" t="s">
        <v>197</v>
      </c>
      <c r="E1043" s="31" t="s">
        <v>2891</v>
      </c>
      <c r="F1043" s="31" t="s">
        <v>588</v>
      </c>
      <c r="G1043" s="31" t="s">
        <v>466</v>
      </c>
      <c r="H1043" s="31" t="s">
        <v>39</v>
      </c>
      <c r="I1043" s="31" t="n">
        <f aca="false">VLOOKUP(H1043,Paramètres!$A$15:$B$19,2,FALSE())</f>
        <v>0.5</v>
      </c>
      <c r="J1043" s="31" t="n">
        <v>3</v>
      </c>
      <c r="K1043" s="50" t="str">
        <f aca="false">C1043&amp;"|"&amp;J1043</f>
        <v>MOB-I|3</v>
      </c>
      <c r="L1043" s="31" t="s">
        <v>2892</v>
      </c>
      <c r="M1043" s="31" t="n">
        <v>3</v>
      </c>
      <c r="N1043" s="51" t="s">
        <v>462</v>
      </c>
      <c r="O1043" s="35" t="s">
        <v>78</v>
      </c>
      <c r="P1043" s="52"/>
      <c r="Q1043" s="52"/>
      <c r="R1043" s="33" t="n">
        <f aca="false">INDEX(Épopées!$L$6:$L$59,MATCH(K1043,Épopées!$A$6:$A$59,0))</f>
        <v>46713</v>
      </c>
      <c r="S1043" s="33" t="n">
        <f aca="false">INDEX(Épopées!$M$6:$M$59,MATCH(K1043,Épopées!$A$6:$A$59,0))</f>
        <v>46727</v>
      </c>
      <c r="T1043" s="53" t="s">
        <v>463</v>
      </c>
    </row>
    <row r="1044" customFormat="false" ht="15" hidden="false" customHeight="false" outlineLevel="0" collapsed="false">
      <c r="A1044" s="31" t="s">
        <v>2893</v>
      </c>
      <c r="B1044" s="31" t="s">
        <v>342</v>
      </c>
      <c r="C1044" s="31" t="s">
        <v>400</v>
      </c>
      <c r="D1044" s="31" t="s">
        <v>197</v>
      </c>
      <c r="E1044" s="31" t="s">
        <v>2894</v>
      </c>
      <c r="F1044" s="31" t="s">
        <v>472</v>
      </c>
      <c r="G1044" s="31" t="s">
        <v>466</v>
      </c>
      <c r="H1044" s="31" t="s">
        <v>41</v>
      </c>
      <c r="I1044" s="31" t="n">
        <f aca="false">VLOOKUP(H1044,Paramètres!$A$15:$B$19,2,FALSE())</f>
        <v>1</v>
      </c>
      <c r="J1044" s="31" t="n">
        <v>3</v>
      </c>
      <c r="K1044" s="50" t="str">
        <f aca="false">C1044&amp;"|"&amp;J1044</f>
        <v>MOB-I|3</v>
      </c>
      <c r="L1044" s="31" t="s">
        <v>2895</v>
      </c>
      <c r="M1044" s="31" t="n">
        <v>5</v>
      </c>
      <c r="N1044" s="51" t="s">
        <v>462</v>
      </c>
      <c r="O1044" s="35" t="s">
        <v>78</v>
      </c>
      <c r="P1044" s="52"/>
      <c r="Q1044" s="52"/>
      <c r="R1044" s="33" t="n">
        <f aca="false">INDEX(Épopées!$L$6:$L$59,MATCH(K1044,Épopées!$A$6:$A$59,0))</f>
        <v>46713</v>
      </c>
      <c r="S1044" s="33" t="n">
        <f aca="false">INDEX(Épopées!$M$6:$M$59,MATCH(K1044,Épopées!$A$6:$A$59,0))</f>
        <v>46727</v>
      </c>
      <c r="T1044" s="53" t="s">
        <v>463</v>
      </c>
    </row>
    <row r="1045" customFormat="false" ht="15" hidden="false" customHeight="false" outlineLevel="0" collapsed="false">
      <c r="A1045" s="31" t="s">
        <v>2896</v>
      </c>
      <c r="B1045" s="31" t="s">
        <v>342</v>
      </c>
      <c r="C1045" s="31" t="s">
        <v>402</v>
      </c>
      <c r="D1045" s="31" t="s">
        <v>204</v>
      </c>
      <c r="E1045" s="31" t="s">
        <v>2897</v>
      </c>
      <c r="F1045" s="31" t="s">
        <v>486</v>
      </c>
      <c r="G1045" s="31" t="s">
        <v>461</v>
      </c>
      <c r="H1045" s="31" t="s">
        <v>41</v>
      </c>
      <c r="I1045" s="31" t="n">
        <f aca="false">VLOOKUP(H1045,Paramètres!$A$15:$B$19,2,FALSE())</f>
        <v>1</v>
      </c>
      <c r="J1045" s="31" t="n">
        <v>3</v>
      </c>
      <c r="K1045" s="50" t="str">
        <f aca="false">C1045&amp;"|"&amp;J1045</f>
        <v>MOB-M|3</v>
      </c>
      <c r="L1045" s="31"/>
      <c r="M1045" s="31" t="n">
        <v>4</v>
      </c>
      <c r="N1045" s="51" t="s">
        <v>462</v>
      </c>
      <c r="O1045" s="35" t="s">
        <v>78</v>
      </c>
      <c r="P1045" s="52"/>
      <c r="Q1045" s="52"/>
      <c r="R1045" s="33" t="n">
        <f aca="false">INDEX(Épopées!$L$6:$L$59,MATCH(K1045,Épopées!$A$6:$A$59,0))</f>
        <v>46728</v>
      </c>
      <c r="S1045" s="33" t="n">
        <f aca="false">INDEX(Épopées!$M$6:$M$59,MATCH(K1045,Épopées!$A$6:$A$59,0))</f>
        <v>46748</v>
      </c>
      <c r="T1045" s="53" t="s">
        <v>463</v>
      </c>
    </row>
    <row r="1046" customFormat="false" ht="15" hidden="false" customHeight="false" outlineLevel="0" collapsed="false">
      <c r="A1046" s="31" t="s">
        <v>2898</v>
      </c>
      <c r="B1046" s="31" t="s">
        <v>342</v>
      </c>
      <c r="C1046" s="31" t="s">
        <v>402</v>
      </c>
      <c r="D1046" s="31" t="s">
        <v>204</v>
      </c>
      <c r="E1046" s="31" t="s">
        <v>2899</v>
      </c>
      <c r="F1046" s="31" t="s">
        <v>460</v>
      </c>
      <c r="G1046" s="31" t="s">
        <v>461</v>
      </c>
      <c r="H1046" s="31" t="s">
        <v>43</v>
      </c>
      <c r="I1046" s="31" t="n">
        <f aca="false">VLOOKUP(H1046,Paramètres!$A$15:$B$19,2,FALSE())</f>
        <v>2</v>
      </c>
      <c r="J1046" s="31" t="n">
        <v>3</v>
      </c>
      <c r="K1046" s="50" t="str">
        <f aca="false">C1046&amp;"|"&amp;J1046</f>
        <v>MOB-M|3</v>
      </c>
      <c r="L1046" s="31" t="s">
        <v>2896</v>
      </c>
      <c r="M1046" s="31" t="n">
        <v>4</v>
      </c>
      <c r="N1046" s="51" t="s">
        <v>462</v>
      </c>
      <c r="O1046" s="35" t="s">
        <v>78</v>
      </c>
      <c r="P1046" s="52"/>
      <c r="Q1046" s="52"/>
      <c r="R1046" s="33" t="n">
        <f aca="false">INDEX(Épopées!$L$6:$L$59,MATCH(K1046,Épopées!$A$6:$A$59,0))</f>
        <v>46728</v>
      </c>
      <c r="S1046" s="33" t="n">
        <f aca="false">INDEX(Épopées!$M$6:$M$59,MATCH(K1046,Épopées!$A$6:$A$59,0))</f>
        <v>46748</v>
      </c>
      <c r="T1046" s="53" t="s">
        <v>463</v>
      </c>
    </row>
    <row r="1047" customFormat="false" ht="15" hidden="false" customHeight="false" outlineLevel="0" collapsed="false">
      <c r="A1047" s="31" t="s">
        <v>2900</v>
      </c>
      <c r="B1047" s="31" t="s">
        <v>342</v>
      </c>
      <c r="C1047" s="31" t="s">
        <v>402</v>
      </c>
      <c r="D1047" s="31" t="s">
        <v>204</v>
      </c>
      <c r="E1047" s="31" t="s">
        <v>2901</v>
      </c>
      <c r="F1047" s="31" t="s">
        <v>486</v>
      </c>
      <c r="G1047" s="31" t="s">
        <v>466</v>
      </c>
      <c r="H1047" s="31" t="s">
        <v>41</v>
      </c>
      <c r="I1047" s="31" t="n">
        <f aca="false">VLOOKUP(H1047,Paramètres!$A$15:$B$19,2,FALSE())</f>
        <v>1</v>
      </c>
      <c r="J1047" s="31" t="n">
        <v>3</v>
      </c>
      <c r="K1047" s="50" t="str">
        <f aca="false">C1047&amp;"|"&amp;J1047</f>
        <v>MOB-M|3</v>
      </c>
      <c r="L1047" s="31" t="s">
        <v>2896</v>
      </c>
      <c r="M1047" s="31" t="n">
        <v>3</v>
      </c>
      <c r="N1047" s="51" t="s">
        <v>462</v>
      </c>
      <c r="O1047" s="35" t="s">
        <v>78</v>
      </c>
      <c r="P1047" s="52"/>
      <c r="Q1047" s="52"/>
      <c r="R1047" s="33" t="n">
        <f aca="false">INDEX(Épopées!$L$6:$L$59,MATCH(K1047,Épopées!$A$6:$A$59,0))</f>
        <v>46728</v>
      </c>
      <c r="S1047" s="33" t="n">
        <f aca="false">INDEX(Épopées!$M$6:$M$59,MATCH(K1047,Épopées!$A$6:$A$59,0))</f>
        <v>46748</v>
      </c>
      <c r="T1047" s="53" t="s">
        <v>463</v>
      </c>
    </row>
    <row r="1048" customFormat="false" ht="15" hidden="false" customHeight="false" outlineLevel="0" collapsed="false">
      <c r="A1048" s="31" t="s">
        <v>2902</v>
      </c>
      <c r="B1048" s="31" t="s">
        <v>342</v>
      </c>
      <c r="C1048" s="31" t="s">
        <v>402</v>
      </c>
      <c r="D1048" s="31" t="s">
        <v>204</v>
      </c>
      <c r="E1048" s="31" t="s">
        <v>2903</v>
      </c>
      <c r="F1048" s="31" t="s">
        <v>491</v>
      </c>
      <c r="G1048" s="31" t="s">
        <v>461</v>
      </c>
      <c r="H1048" s="31" t="s">
        <v>41</v>
      </c>
      <c r="I1048" s="31" t="n">
        <f aca="false">VLOOKUP(H1048,Paramètres!$A$15:$B$19,2,FALSE())</f>
        <v>1</v>
      </c>
      <c r="J1048" s="31" t="n">
        <v>3</v>
      </c>
      <c r="K1048" s="50" t="str">
        <f aca="false">C1048&amp;"|"&amp;J1048</f>
        <v>MOB-M|3</v>
      </c>
      <c r="L1048" s="31" t="s">
        <v>2904</v>
      </c>
      <c r="M1048" s="31" t="n">
        <v>3</v>
      </c>
      <c r="N1048" s="51" t="s">
        <v>462</v>
      </c>
      <c r="O1048" s="35" t="s">
        <v>78</v>
      </c>
      <c r="P1048" s="52"/>
      <c r="Q1048" s="52"/>
      <c r="R1048" s="33" t="n">
        <f aca="false">INDEX(Épopées!$L$6:$L$59,MATCH(K1048,Épopées!$A$6:$A$59,0))</f>
        <v>46728</v>
      </c>
      <c r="S1048" s="33" t="n">
        <f aca="false">INDEX(Épopées!$M$6:$M$59,MATCH(K1048,Épopées!$A$6:$A$59,0))</f>
        <v>46748</v>
      </c>
      <c r="T1048" s="53" t="s">
        <v>463</v>
      </c>
    </row>
    <row r="1049" customFormat="false" ht="15" hidden="false" customHeight="false" outlineLevel="0" collapsed="false">
      <c r="A1049" s="31" t="s">
        <v>2905</v>
      </c>
      <c r="B1049" s="31" t="s">
        <v>342</v>
      </c>
      <c r="C1049" s="31" t="s">
        <v>402</v>
      </c>
      <c r="D1049" s="31" t="s">
        <v>204</v>
      </c>
      <c r="E1049" s="31" t="s">
        <v>2906</v>
      </c>
      <c r="F1049" s="31" t="s">
        <v>1623</v>
      </c>
      <c r="G1049" s="31" t="s">
        <v>461</v>
      </c>
      <c r="H1049" s="31" t="s">
        <v>43</v>
      </c>
      <c r="I1049" s="31" t="n">
        <f aca="false">VLOOKUP(H1049,Paramètres!$A$15:$B$19,2,FALSE())</f>
        <v>2</v>
      </c>
      <c r="J1049" s="31" t="n">
        <v>3</v>
      </c>
      <c r="K1049" s="50" t="str">
        <f aca="false">C1049&amp;"|"&amp;J1049</f>
        <v>MOB-M|3</v>
      </c>
      <c r="L1049" s="31" t="s">
        <v>2902</v>
      </c>
      <c r="M1049" s="31" t="n">
        <v>1</v>
      </c>
      <c r="N1049" s="51" t="s">
        <v>462</v>
      </c>
      <c r="O1049" s="35" t="s">
        <v>78</v>
      </c>
      <c r="P1049" s="52"/>
      <c r="Q1049" s="52"/>
      <c r="R1049" s="33" t="n">
        <f aca="false">INDEX(Épopées!$L$6:$L$59,MATCH(K1049,Épopées!$A$6:$A$59,0))</f>
        <v>46728</v>
      </c>
      <c r="S1049" s="33" t="n">
        <f aca="false">INDEX(Épopées!$M$6:$M$59,MATCH(K1049,Épopées!$A$6:$A$59,0))</f>
        <v>46748</v>
      </c>
      <c r="T1049" s="53" t="s">
        <v>463</v>
      </c>
    </row>
    <row r="1050" customFormat="false" ht="15" hidden="false" customHeight="false" outlineLevel="0" collapsed="false">
      <c r="A1050" s="31" t="s">
        <v>2907</v>
      </c>
      <c r="B1050" s="31" t="s">
        <v>342</v>
      </c>
      <c r="C1050" s="31" t="s">
        <v>402</v>
      </c>
      <c r="D1050" s="31" t="s">
        <v>204</v>
      </c>
      <c r="E1050" s="31" t="s">
        <v>2908</v>
      </c>
      <c r="F1050" s="31" t="s">
        <v>1623</v>
      </c>
      <c r="G1050" s="31" t="s">
        <v>466</v>
      </c>
      <c r="H1050" s="31" t="s">
        <v>41</v>
      </c>
      <c r="I1050" s="31" t="n">
        <f aca="false">VLOOKUP(H1050,Paramètres!$A$15:$B$19,2,FALSE())</f>
        <v>1</v>
      </c>
      <c r="J1050" s="31" t="n">
        <v>3</v>
      </c>
      <c r="K1050" s="50" t="str">
        <f aca="false">C1050&amp;"|"&amp;J1050</f>
        <v>MOB-M|3</v>
      </c>
      <c r="L1050" s="31" t="s">
        <v>2905</v>
      </c>
      <c r="M1050" s="31" t="n">
        <v>1</v>
      </c>
      <c r="N1050" s="51" t="s">
        <v>462</v>
      </c>
      <c r="O1050" s="35" t="s">
        <v>78</v>
      </c>
      <c r="P1050" s="52"/>
      <c r="Q1050" s="52"/>
      <c r="R1050" s="33" t="n">
        <f aca="false">INDEX(Épopées!$L$6:$L$59,MATCH(K1050,Épopées!$A$6:$A$59,0))</f>
        <v>46728</v>
      </c>
      <c r="S1050" s="33" t="n">
        <f aca="false">INDEX(Épopées!$M$6:$M$59,MATCH(K1050,Épopées!$A$6:$A$59,0))</f>
        <v>46748</v>
      </c>
      <c r="T1050" s="53" t="s">
        <v>463</v>
      </c>
    </row>
    <row r="1051" customFormat="false" ht="15" hidden="false" customHeight="false" outlineLevel="0" collapsed="false">
      <c r="A1051" s="31" t="s">
        <v>2909</v>
      </c>
      <c r="B1051" s="31" t="s">
        <v>342</v>
      </c>
      <c r="C1051" s="31" t="s">
        <v>402</v>
      </c>
      <c r="D1051" s="31" t="s">
        <v>204</v>
      </c>
      <c r="E1051" s="31" t="s">
        <v>2910</v>
      </c>
      <c r="F1051" s="31" t="s">
        <v>1623</v>
      </c>
      <c r="G1051" s="31" t="s">
        <v>461</v>
      </c>
      <c r="H1051" s="31" t="s">
        <v>41</v>
      </c>
      <c r="I1051" s="31" t="n">
        <f aca="false">VLOOKUP(H1051,Paramètres!$A$15:$B$19,2,FALSE())</f>
        <v>1</v>
      </c>
      <c r="J1051" s="31" t="n">
        <v>3</v>
      </c>
      <c r="K1051" s="50" t="str">
        <f aca="false">C1051&amp;"|"&amp;J1051</f>
        <v>MOB-M|3</v>
      </c>
      <c r="L1051" s="31" t="s">
        <v>2902</v>
      </c>
      <c r="M1051" s="31" t="n">
        <v>1</v>
      </c>
      <c r="N1051" s="51" t="s">
        <v>462</v>
      </c>
      <c r="O1051" s="35" t="s">
        <v>78</v>
      </c>
      <c r="P1051" s="52"/>
      <c r="Q1051" s="52"/>
      <c r="R1051" s="33" t="n">
        <f aca="false">INDEX(Épopées!$L$6:$L$59,MATCH(K1051,Épopées!$A$6:$A$59,0))</f>
        <v>46728</v>
      </c>
      <c r="S1051" s="33" t="n">
        <f aca="false">INDEX(Épopées!$M$6:$M$59,MATCH(K1051,Épopées!$A$6:$A$59,0))</f>
        <v>46748</v>
      </c>
      <c r="T1051" s="53" t="s">
        <v>463</v>
      </c>
    </row>
    <row r="1052" customFormat="false" ht="15" hidden="false" customHeight="false" outlineLevel="0" collapsed="false">
      <c r="A1052" s="31" t="s">
        <v>2911</v>
      </c>
      <c r="B1052" s="31" t="s">
        <v>342</v>
      </c>
      <c r="C1052" s="31" t="s">
        <v>402</v>
      </c>
      <c r="D1052" s="31" t="s">
        <v>204</v>
      </c>
      <c r="E1052" s="31" t="s">
        <v>2912</v>
      </c>
      <c r="F1052" s="31" t="s">
        <v>1623</v>
      </c>
      <c r="G1052" s="31" t="s">
        <v>461</v>
      </c>
      <c r="H1052" s="31" t="s">
        <v>41</v>
      </c>
      <c r="I1052" s="31" t="n">
        <f aca="false">VLOOKUP(H1052,Paramètres!$A$15:$B$19,2,FALSE())</f>
        <v>1</v>
      </c>
      <c r="J1052" s="31" t="n">
        <v>3</v>
      </c>
      <c r="K1052" s="50" t="str">
        <f aca="false">C1052&amp;"|"&amp;J1052</f>
        <v>MOB-M|3</v>
      </c>
      <c r="L1052" s="31" t="s">
        <v>2905</v>
      </c>
      <c r="M1052" s="31" t="n">
        <v>1</v>
      </c>
      <c r="N1052" s="51" t="s">
        <v>462</v>
      </c>
      <c r="O1052" s="35" t="s">
        <v>78</v>
      </c>
      <c r="P1052" s="52"/>
      <c r="Q1052" s="52"/>
      <c r="R1052" s="33" t="n">
        <f aca="false">INDEX(Épopées!$L$6:$L$59,MATCH(K1052,Épopées!$A$6:$A$59,0))</f>
        <v>46728</v>
      </c>
      <c r="S1052" s="33" t="n">
        <f aca="false">INDEX(Épopées!$M$6:$M$59,MATCH(K1052,Épopées!$A$6:$A$59,0))</f>
        <v>46748</v>
      </c>
      <c r="T1052" s="53" t="s">
        <v>463</v>
      </c>
    </row>
    <row r="1053" customFormat="false" ht="15" hidden="false" customHeight="false" outlineLevel="0" collapsed="false">
      <c r="A1053" s="31" t="s">
        <v>2913</v>
      </c>
      <c r="B1053" s="31" t="s">
        <v>342</v>
      </c>
      <c r="C1053" s="31" t="s">
        <v>402</v>
      </c>
      <c r="D1053" s="31" t="s">
        <v>204</v>
      </c>
      <c r="E1053" s="31" t="s">
        <v>2914</v>
      </c>
      <c r="F1053" s="31" t="s">
        <v>491</v>
      </c>
      <c r="G1053" s="31" t="s">
        <v>461</v>
      </c>
      <c r="H1053" s="31" t="s">
        <v>43</v>
      </c>
      <c r="I1053" s="31" t="n">
        <f aca="false">VLOOKUP(H1053,Paramètres!$A$15:$B$19,2,FALSE())</f>
        <v>2</v>
      </c>
      <c r="J1053" s="31" t="n">
        <v>3</v>
      </c>
      <c r="K1053" s="50" t="str">
        <f aca="false">C1053&amp;"|"&amp;J1053</f>
        <v>MOB-M|3</v>
      </c>
      <c r="L1053" s="31" t="s">
        <v>2904</v>
      </c>
      <c r="M1053" s="31" t="n">
        <v>4</v>
      </c>
      <c r="N1053" s="51" t="s">
        <v>462</v>
      </c>
      <c r="O1053" s="35" t="s">
        <v>78</v>
      </c>
      <c r="P1053" s="52"/>
      <c r="Q1053" s="52"/>
      <c r="R1053" s="33" t="n">
        <f aca="false">INDEX(Épopées!$L$6:$L$59,MATCH(K1053,Épopées!$A$6:$A$59,0))</f>
        <v>46728</v>
      </c>
      <c r="S1053" s="33" t="n">
        <f aca="false">INDEX(Épopées!$M$6:$M$59,MATCH(K1053,Épopées!$A$6:$A$59,0))</f>
        <v>46748</v>
      </c>
      <c r="T1053" s="53" t="s">
        <v>463</v>
      </c>
    </row>
    <row r="1054" customFormat="false" ht="15" hidden="false" customHeight="false" outlineLevel="0" collapsed="false">
      <c r="A1054" s="31" t="s">
        <v>2915</v>
      </c>
      <c r="B1054" s="31" t="s">
        <v>342</v>
      </c>
      <c r="C1054" s="31" t="s">
        <v>402</v>
      </c>
      <c r="D1054" s="31" t="s">
        <v>204</v>
      </c>
      <c r="E1054" s="31" t="s">
        <v>2916</v>
      </c>
      <c r="F1054" s="31" t="s">
        <v>1623</v>
      </c>
      <c r="G1054" s="31" t="s">
        <v>461</v>
      </c>
      <c r="H1054" s="31" t="s">
        <v>41</v>
      </c>
      <c r="I1054" s="31" t="n">
        <f aca="false">VLOOKUP(H1054,Paramètres!$A$15:$B$19,2,FALSE())</f>
        <v>1</v>
      </c>
      <c r="J1054" s="31" t="n">
        <v>3</v>
      </c>
      <c r="K1054" s="50" t="str">
        <f aca="false">C1054&amp;"|"&amp;J1054</f>
        <v>MOB-M|3</v>
      </c>
      <c r="L1054" s="31" t="s">
        <v>2913</v>
      </c>
      <c r="M1054" s="31" t="n">
        <v>1</v>
      </c>
      <c r="N1054" s="51" t="s">
        <v>462</v>
      </c>
      <c r="O1054" s="35" t="s">
        <v>78</v>
      </c>
      <c r="P1054" s="52"/>
      <c r="Q1054" s="52"/>
      <c r="R1054" s="33" t="n">
        <f aca="false">INDEX(Épopées!$L$6:$L$59,MATCH(K1054,Épopées!$A$6:$A$59,0))</f>
        <v>46728</v>
      </c>
      <c r="S1054" s="33" t="n">
        <f aca="false">INDEX(Épopées!$M$6:$M$59,MATCH(K1054,Épopées!$A$6:$A$59,0))</f>
        <v>46748</v>
      </c>
      <c r="T1054" s="53" t="s">
        <v>463</v>
      </c>
    </row>
    <row r="1055" customFormat="false" ht="15" hidden="false" customHeight="false" outlineLevel="0" collapsed="false">
      <c r="A1055" s="31" t="s">
        <v>2917</v>
      </c>
      <c r="B1055" s="31" t="s">
        <v>342</v>
      </c>
      <c r="C1055" s="31" t="s">
        <v>402</v>
      </c>
      <c r="D1055" s="31" t="s">
        <v>204</v>
      </c>
      <c r="E1055" s="31" t="s">
        <v>2918</v>
      </c>
      <c r="F1055" s="31" t="s">
        <v>491</v>
      </c>
      <c r="G1055" s="31" t="s">
        <v>466</v>
      </c>
      <c r="H1055" s="31" t="s">
        <v>41</v>
      </c>
      <c r="I1055" s="31" t="n">
        <f aca="false">VLOOKUP(H1055,Paramètres!$A$15:$B$19,2,FALSE())</f>
        <v>1</v>
      </c>
      <c r="J1055" s="31" t="n">
        <v>3</v>
      </c>
      <c r="K1055" s="50" t="str">
        <f aca="false">C1055&amp;"|"&amp;J1055</f>
        <v>MOB-M|3</v>
      </c>
      <c r="L1055" s="31" t="s">
        <v>2915</v>
      </c>
      <c r="M1055" s="31" t="n">
        <v>2</v>
      </c>
      <c r="N1055" s="51" t="s">
        <v>462</v>
      </c>
      <c r="O1055" s="35" t="s">
        <v>78</v>
      </c>
      <c r="P1055" s="52"/>
      <c r="Q1055" s="52"/>
      <c r="R1055" s="33" t="n">
        <f aca="false">INDEX(Épopées!$L$6:$L$59,MATCH(K1055,Épopées!$A$6:$A$59,0))</f>
        <v>46728</v>
      </c>
      <c r="S1055" s="33" t="n">
        <f aca="false">INDEX(Épopées!$M$6:$M$59,MATCH(K1055,Épopées!$A$6:$A$59,0))</f>
        <v>46748</v>
      </c>
      <c r="T1055" s="53" t="s">
        <v>463</v>
      </c>
    </row>
    <row r="1056" customFormat="false" ht="15" hidden="false" customHeight="false" outlineLevel="0" collapsed="false">
      <c r="A1056" s="31" t="s">
        <v>2919</v>
      </c>
      <c r="B1056" s="31" t="s">
        <v>342</v>
      </c>
      <c r="C1056" s="31" t="s">
        <v>402</v>
      </c>
      <c r="D1056" s="31" t="s">
        <v>204</v>
      </c>
      <c r="E1056" s="31" t="s">
        <v>2920</v>
      </c>
      <c r="F1056" s="31" t="s">
        <v>1623</v>
      </c>
      <c r="G1056" s="31" t="s">
        <v>461</v>
      </c>
      <c r="H1056" s="31" t="s">
        <v>41</v>
      </c>
      <c r="I1056" s="31" t="n">
        <f aca="false">VLOOKUP(H1056,Paramètres!$A$15:$B$19,2,FALSE())</f>
        <v>1</v>
      </c>
      <c r="J1056" s="31" t="n">
        <v>3</v>
      </c>
      <c r="K1056" s="50" t="str">
        <f aca="false">C1056&amp;"|"&amp;J1056</f>
        <v>MOB-M|3</v>
      </c>
      <c r="L1056" s="31" t="s">
        <v>2913</v>
      </c>
      <c r="M1056" s="31" t="n">
        <v>1</v>
      </c>
      <c r="N1056" s="51" t="s">
        <v>462</v>
      </c>
      <c r="O1056" s="35" t="s">
        <v>78</v>
      </c>
      <c r="P1056" s="52"/>
      <c r="Q1056" s="52"/>
      <c r="R1056" s="33" t="n">
        <f aca="false">INDEX(Épopées!$L$6:$L$59,MATCH(K1056,Épopées!$A$6:$A$59,0))</f>
        <v>46728</v>
      </c>
      <c r="S1056" s="33" t="n">
        <f aca="false">INDEX(Épopées!$M$6:$M$59,MATCH(K1056,Épopées!$A$6:$A$59,0))</f>
        <v>46748</v>
      </c>
      <c r="T1056" s="53" t="s">
        <v>463</v>
      </c>
    </row>
    <row r="1057" customFormat="false" ht="15" hidden="false" customHeight="false" outlineLevel="0" collapsed="false">
      <c r="A1057" s="31" t="s">
        <v>2921</v>
      </c>
      <c r="B1057" s="31" t="s">
        <v>342</v>
      </c>
      <c r="C1057" s="31" t="s">
        <v>402</v>
      </c>
      <c r="D1057" s="31" t="s">
        <v>204</v>
      </c>
      <c r="E1057" s="31" t="s">
        <v>2922</v>
      </c>
      <c r="F1057" s="31" t="s">
        <v>1623</v>
      </c>
      <c r="G1057" s="31" t="s">
        <v>461</v>
      </c>
      <c r="H1057" s="31" t="s">
        <v>41</v>
      </c>
      <c r="I1057" s="31" t="n">
        <f aca="false">VLOOKUP(H1057,Paramètres!$A$15:$B$19,2,FALSE())</f>
        <v>1</v>
      </c>
      <c r="J1057" s="31" t="n">
        <v>3</v>
      </c>
      <c r="K1057" s="50" t="str">
        <f aca="false">C1057&amp;"|"&amp;J1057</f>
        <v>MOB-M|3</v>
      </c>
      <c r="L1057" s="31" t="s">
        <v>2919</v>
      </c>
      <c r="M1057" s="31" t="n">
        <v>1</v>
      </c>
      <c r="N1057" s="51" t="s">
        <v>462</v>
      </c>
      <c r="O1057" s="35" t="s">
        <v>78</v>
      </c>
      <c r="P1057" s="52"/>
      <c r="Q1057" s="52"/>
      <c r="R1057" s="33" t="n">
        <f aca="false">INDEX(Épopées!$L$6:$L$59,MATCH(K1057,Épopées!$A$6:$A$59,0))</f>
        <v>46728</v>
      </c>
      <c r="S1057" s="33" t="n">
        <f aca="false">INDEX(Épopées!$M$6:$M$59,MATCH(K1057,Épopées!$A$6:$A$59,0))</f>
        <v>46748</v>
      </c>
      <c r="T1057" s="53" t="s">
        <v>463</v>
      </c>
    </row>
    <row r="1058" customFormat="false" ht="15" hidden="false" customHeight="false" outlineLevel="0" collapsed="false">
      <c r="A1058" s="31" t="s">
        <v>2923</v>
      </c>
      <c r="B1058" s="31" t="s">
        <v>342</v>
      </c>
      <c r="C1058" s="31" t="s">
        <v>402</v>
      </c>
      <c r="D1058" s="31" t="s">
        <v>204</v>
      </c>
      <c r="E1058" s="31" t="s">
        <v>2924</v>
      </c>
      <c r="F1058" s="31" t="s">
        <v>491</v>
      </c>
      <c r="G1058" s="31" t="s">
        <v>466</v>
      </c>
      <c r="H1058" s="31" t="s">
        <v>41</v>
      </c>
      <c r="I1058" s="31" t="n">
        <f aca="false">VLOOKUP(H1058,Paramètres!$A$15:$B$19,2,FALSE())</f>
        <v>1</v>
      </c>
      <c r="J1058" s="31" t="n">
        <v>3</v>
      </c>
      <c r="K1058" s="50" t="str">
        <f aca="false">C1058&amp;"|"&amp;J1058</f>
        <v>MOB-M|3</v>
      </c>
      <c r="L1058" s="31" t="s">
        <v>2921</v>
      </c>
      <c r="M1058" s="31" t="n">
        <v>1</v>
      </c>
      <c r="N1058" s="51" t="s">
        <v>462</v>
      </c>
      <c r="O1058" s="35" t="s">
        <v>78</v>
      </c>
      <c r="P1058" s="52"/>
      <c r="Q1058" s="52"/>
      <c r="R1058" s="33" t="n">
        <f aca="false">INDEX(Épopées!$L$6:$L$59,MATCH(K1058,Épopées!$A$6:$A$59,0))</f>
        <v>46728</v>
      </c>
      <c r="S1058" s="33" t="n">
        <f aca="false">INDEX(Épopées!$M$6:$M$59,MATCH(K1058,Épopées!$A$6:$A$59,0))</f>
        <v>46748</v>
      </c>
      <c r="T1058" s="53" t="s">
        <v>463</v>
      </c>
    </row>
    <row r="1059" customFormat="false" ht="15" hidden="false" customHeight="false" outlineLevel="0" collapsed="false">
      <c r="A1059" s="31" t="s">
        <v>2925</v>
      </c>
      <c r="B1059" s="31" t="s">
        <v>342</v>
      </c>
      <c r="C1059" s="31" t="s">
        <v>402</v>
      </c>
      <c r="D1059" s="31" t="s">
        <v>204</v>
      </c>
      <c r="E1059" s="31" t="s">
        <v>2926</v>
      </c>
      <c r="F1059" s="31" t="s">
        <v>491</v>
      </c>
      <c r="G1059" s="31" t="s">
        <v>466</v>
      </c>
      <c r="H1059" s="31" t="s">
        <v>41</v>
      </c>
      <c r="I1059" s="31" t="n">
        <f aca="false">VLOOKUP(H1059,Paramètres!$A$15:$B$19,2,FALSE())</f>
        <v>1</v>
      </c>
      <c r="J1059" s="31" t="n">
        <v>3</v>
      </c>
      <c r="K1059" s="50" t="str">
        <f aca="false">C1059&amp;"|"&amp;J1059</f>
        <v>MOB-M|3</v>
      </c>
      <c r="L1059" s="31" t="s">
        <v>2921</v>
      </c>
      <c r="M1059" s="31" t="n">
        <v>3</v>
      </c>
      <c r="N1059" s="51" t="s">
        <v>462</v>
      </c>
      <c r="O1059" s="35" t="s">
        <v>78</v>
      </c>
      <c r="P1059" s="52"/>
      <c r="Q1059" s="52"/>
      <c r="R1059" s="33" t="n">
        <f aca="false">INDEX(Épopées!$L$6:$L$59,MATCH(K1059,Épopées!$A$6:$A$59,0))</f>
        <v>46728</v>
      </c>
      <c r="S1059" s="33" t="n">
        <f aca="false">INDEX(Épopées!$M$6:$M$59,MATCH(K1059,Épopées!$A$6:$A$59,0))</f>
        <v>46748</v>
      </c>
      <c r="T1059" s="53" t="s">
        <v>463</v>
      </c>
    </row>
    <row r="1060" customFormat="false" ht="15" hidden="false" customHeight="false" outlineLevel="0" collapsed="false">
      <c r="A1060" s="31" t="s">
        <v>2927</v>
      </c>
      <c r="B1060" s="31" t="s">
        <v>342</v>
      </c>
      <c r="C1060" s="31" t="s">
        <v>402</v>
      </c>
      <c r="D1060" s="31" t="s">
        <v>204</v>
      </c>
      <c r="E1060" s="31" t="s">
        <v>2928</v>
      </c>
      <c r="F1060" s="31" t="s">
        <v>1623</v>
      </c>
      <c r="G1060" s="31" t="s">
        <v>466</v>
      </c>
      <c r="H1060" s="31" t="s">
        <v>39</v>
      </c>
      <c r="I1060" s="31" t="n">
        <f aca="false">VLOOKUP(H1060,Paramètres!$A$15:$B$19,2,FALSE())</f>
        <v>0.5</v>
      </c>
      <c r="J1060" s="31" t="n">
        <v>3</v>
      </c>
      <c r="K1060" s="50" t="str">
        <f aca="false">C1060&amp;"|"&amp;J1060</f>
        <v>MOB-M|3</v>
      </c>
      <c r="L1060" s="31" t="s">
        <v>2925</v>
      </c>
      <c r="M1060" s="31" t="n">
        <v>1</v>
      </c>
      <c r="N1060" s="51" t="s">
        <v>462</v>
      </c>
      <c r="O1060" s="35" t="s">
        <v>78</v>
      </c>
      <c r="P1060" s="52"/>
      <c r="Q1060" s="52"/>
      <c r="R1060" s="33" t="n">
        <f aca="false">INDEX(Épopées!$L$6:$L$59,MATCH(K1060,Épopées!$A$6:$A$59,0))</f>
        <v>46728</v>
      </c>
      <c r="S1060" s="33" t="n">
        <f aca="false">INDEX(Épopées!$M$6:$M$59,MATCH(K1060,Épopées!$A$6:$A$59,0))</f>
        <v>46748</v>
      </c>
      <c r="T1060" s="53" t="s">
        <v>463</v>
      </c>
    </row>
    <row r="1061" customFormat="false" ht="15" hidden="false" customHeight="false" outlineLevel="0" collapsed="false">
      <c r="A1061" s="31" t="s">
        <v>2929</v>
      </c>
      <c r="B1061" s="31" t="s">
        <v>342</v>
      </c>
      <c r="C1061" s="31" t="s">
        <v>402</v>
      </c>
      <c r="D1061" s="31" t="s">
        <v>204</v>
      </c>
      <c r="E1061" s="31" t="s">
        <v>2930</v>
      </c>
      <c r="F1061" s="31" t="s">
        <v>1623</v>
      </c>
      <c r="G1061" s="31" t="s">
        <v>461</v>
      </c>
      <c r="H1061" s="31" t="s">
        <v>43</v>
      </c>
      <c r="I1061" s="31" t="n">
        <f aca="false">VLOOKUP(H1061,Paramètres!$A$15:$B$19,2,FALSE())</f>
        <v>2</v>
      </c>
      <c r="J1061" s="31" t="n">
        <v>3</v>
      </c>
      <c r="K1061" s="50" t="str">
        <f aca="false">C1061&amp;"|"&amp;J1061</f>
        <v>MOB-M|3</v>
      </c>
      <c r="L1061" s="31" t="s">
        <v>2904</v>
      </c>
      <c r="M1061" s="31" t="n">
        <v>1</v>
      </c>
      <c r="N1061" s="51" t="s">
        <v>462</v>
      </c>
      <c r="O1061" s="35" t="s">
        <v>78</v>
      </c>
      <c r="P1061" s="52"/>
      <c r="Q1061" s="52"/>
      <c r="R1061" s="33" t="n">
        <f aca="false">INDEX(Épopées!$L$6:$L$59,MATCH(K1061,Épopées!$A$6:$A$59,0))</f>
        <v>46728</v>
      </c>
      <c r="S1061" s="33" t="n">
        <f aca="false">INDEX(Épopées!$M$6:$M$59,MATCH(K1061,Épopées!$A$6:$A$59,0))</f>
        <v>46748</v>
      </c>
      <c r="T1061" s="53" t="s">
        <v>463</v>
      </c>
    </row>
    <row r="1062" customFormat="false" ht="15" hidden="false" customHeight="false" outlineLevel="0" collapsed="false">
      <c r="A1062" s="31" t="s">
        <v>2931</v>
      </c>
      <c r="B1062" s="31" t="s">
        <v>342</v>
      </c>
      <c r="C1062" s="31" t="s">
        <v>402</v>
      </c>
      <c r="D1062" s="31" t="s">
        <v>204</v>
      </c>
      <c r="E1062" s="31" t="s">
        <v>2932</v>
      </c>
      <c r="F1062" s="31" t="s">
        <v>491</v>
      </c>
      <c r="G1062" s="31" t="s">
        <v>612</v>
      </c>
      <c r="H1062" s="31" t="s">
        <v>39</v>
      </c>
      <c r="I1062" s="31" t="n">
        <f aca="false">VLOOKUP(H1062,Paramètres!$A$15:$B$19,2,FALSE())</f>
        <v>0.5</v>
      </c>
      <c r="J1062" s="31" t="n">
        <v>3</v>
      </c>
      <c r="K1062" s="50" t="str">
        <f aca="false">C1062&amp;"|"&amp;J1062</f>
        <v>MOB-M|3</v>
      </c>
      <c r="L1062" s="31" t="s">
        <v>2929</v>
      </c>
      <c r="M1062" s="31" t="n">
        <v>2</v>
      </c>
      <c r="N1062" s="51" t="s">
        <v>462</v>
      </c>
      <c r="O1062" s="35" t="s">
        <v>78</v>
      </c>
      <c r="P1062" s="52"/>
      <c r="Q1062" s="52"/>
      <c r="R1062" s="33" t="n">
        <f aca="false">INDEX(Épopées!$L$6:$L$59,MATCH(K1062,Épopées!$A$6:$A$59,0))</f>
        <v>46728</v>
      </c>
      <c r="S1062" s="33" t="n">
        <f aca="false">INDEX(Épopées!$M$6:$M$59,MATCH(K1062,Épopées!$A$6:$A$59,0))</f>
        <v>46748</v>
      </c>
      <c r="T1062" s="53" t="s">
        <v>463</v>
      </c>
    </row>
    <row r="1063" customFormat="false" ht="15" hidden="false" customHeight="false" outlineLevel="0" collapsed="false">
      <c r="A1063" s="31" t="s">
        <v>2933</v>
      </c>
      <c r="B1063" s="31" t="s">
        <v>342</v>
      </c>
      <c r="C1063" s="31" t="s">
        <v>402</v>
      </c>
      <c r="D1063" s="31" t="s">
        <v>204</v>
      </c>
      <c r="E1063" s="31" t="s">
        <v>2934</v>
      </c>
      <c r="F1063" s="31" t="s">
        <v>1623</v>
      </c>
      <c r="G1063" s="31" t="s">
        <v>466</v>
      </c>
      <c r="H1063" s="31" t="s">
        <v>39</v>
      </c>
      <c r="I1063" s="31" t="n">
        <f aca="false">VLOOKUP(H1063,Paramètres!$A$15:$B$19,2,FALSE())</f>
        <v>0.5</v>
      </c>
      <c r="J1063" s="31" t="n">
        <v>3</v>
      </c>
      <c r="K1063" s="50" t="str">
        <f aca="false">C1063&amp;"|"&amp;J1063</f>
        <v>MOB-M|3</v>
      </c>
      <c r="L1063" s="31" t="s">
        <v>2929</v>
      </c>
      <c r="M1063" s="31" t="n">
        <v>1</v>
      </c>
      <c r="N1063" s="51" t="s">
        <v>462</v>
      </c>
      <c r="O1063" s="35" t="s">
        <v>78</v>
      </c>
      <c r="P1063" s="52"/>
      <c r="Q1063" s="52"/>
      <c r="R1063" s="33" t="n">
        <f aca="false">INDEX(Épopées!$L$6:$L$59,MATCH(K1063,Épopées!$A$6:$A$59,0))</f>
        <v>46728</v>
      </c>
      <c r="S1063" s="33" t="n">
        <f aca="false">INDEX(Épopées!$M$6:$M$59,MATCH(K1063,Épopées!$A$6:$A$59,0))</f>
        <v>46748</v>
      </c>
      <c r="T1063" s="53" t="s">
        <v>463</v>
      </c>
    </row>
    <row r="1064" customFormat="false" ht="15" hidden="false" customHeight="false" outlineLevel="0" collapsed="false">
      <c r="A1064" s="31" t="s">
        <v>2935</v>
      </c>
      <c r="B1064" s="31" t="s">
        <v>342</v>
      </c>
      <c r="C1064" s="31" t="s">
        <v>402</v>
      </c>
      <c r="D1064" s="31" t="s">
        <v>204</v>
      </c>
      <c r="E1064" s="31" t="s">
        <v>2936</v>
      </c>
      <c r="F1064" s="31" t="s">
        <v>1623</v>
      </c>
      <c r="G1064" s="31" t="s">
        <v>461</v>
      </c>
      <c r="H1064" s="31" t="s">
        <v>41</v>
      </c>
      <c r="I1064" s="31" t="n">
        <f aca="false">VLOOKUP(H1064,Paramètres!$A$15:$B$19,2,FALSE())</f>
        <v>1</v>
      </c>
      <c r="J1064" s="31" t="n">
        <v>3</v>
      </c>
      <c r="K1064" s="50" t="str">
        <f aca="false">C1064&amp;"|"&amp;J1064</f>
        <v>MOB-M|3</v>
      </c>
      <c r="L1064" s="31" t="s">
        <v>2937</v>
      </c>
      <c r="M1064" s="31" t="n">
        <v>1</v>
      </c>
      <c r="N1064" s="51" t="s">
        <v>462</v>
      </c>
      <c r="O1064" s="35" t="s">
        <v>78</v>
      </c>
      <c r="P1064" s="52"/>
      <c r="Q1064" s="52"/>
      <c r="R1064" s="33" t="n">
        <f aca="false">INDEX(Épopées!$L$6:$L$59,MATCH(K1064,Épopées!$A$6:$A$59,0))</f>
        <v>46728</v>
      </c>
      <c r="S1064" s="33" t="n">
        <f aca="false">INDEX(Épopées!$M$6:$M$59,MATCH(K1064,Épopées!$A$6:$A$59,0))</f>
        <v>46748</v>
      </c>
      <c r="T1064" s="53" t="s">
        <v>463</v>
      </c>
    </row>
    <row r="1065" customFormat="false" ht="15" hidden="false" customHeight="false" outlineLevel="0" collapsed="false">
      <c r="A1065" s="31" t="s">
        <v>2938</v>
      </c>
      <c r="B1065" s="31" t="s">
        <v>342</v>
      </c>
      <c r="C1065" s="31" t="s">
        <v>402</v>
      </c>
      <c r="D1065" s="31" t="s">
        <v>204</v>
      </c>
      <c r="E1065" s="31" t="s">
        <v>2939</v>
      </c>
      <c r="F1065" s="31" t="s">
        <v>1623</v>
      </c>
      <c r="G1065" s="31" t="s">
        <v>466</v>
      </c>
      <c r="H1065" s="31" t="s">
        <v>41</v>
      </c>
      <c r="I1065" s="31" t="n">
        <f aca="false">VLOOKUP(H1065,Paramètres!$A$15:$B$19,2,FALSE())</f>
        <v>1</v>
      </c>
      <c r="J1065" s="31" t="n">
        <v>3</v>
      </c>
      <c r="K1065" s="50" t="str">
        <f aca="false">C1065&amp;"|"&amp;J1065</f>
        <v>MOB-M|3</v>
      </c>
      <c r="L1065" s="31" t="s">
        <v>2919</v>
      </c>
      <c r="M1065" s="31" t="n">
        <v>1</v>
      </c>
      <c r="N1065" s="51" t="s">
        <v>462</v>
      </c>
      <c r="O1065" s="35" t="s">
        <v>78</v>
      </c>
      <c r="P1065" s="52"/>
      <c r="Q1065" s="52"/>
      <c r="R1065" s="33" t="n">
        <f aca="false">INDEX(Épopées!$L$6:$L$59,MATCH(K1065,Épopées!$A$6:$A$59,0))</f>
        <v>46728</v>
      </c>
      <c r="S1065" s="33" t="n">
        <f aca="false">INDEX(Épopées!$M$6:$M$59,MATCH(K1065,Épopées!$A$6:$A$59,0))</f>
        <v>46748</v>
      </c>
      <c r="T1065" s="53" t="s">
        <v>463</v>
      </c>
    </row>
    <row r="1066" customFormat="false" ht="15" hidden="false" customHeight="false" outlineLevel="0" collapsed="false">
      <c r="A1066" s="31" t="s">
        <v>2940</v>
      </c>
      <c r="B1066" s="31" t="s">
        <v>342</v>
      </c>
      <c r="C1066" s="31" t="s">
        <v>402</v>
      </c>
      <c r="D1066" s="31" t="s">
        <v>204</v>
      </c>
      <c r="E1066" s="31" t="s">
        <v>2941</v>
      </c>
      <c r="F1066" s="31" t="s">
        <v>491</v>
      </c>
      <c r="G1066" s="31" t="s">
        <v>461</v>
      </c>
      <c r="H1066" s="31" t="s">
        <v>41</v>
      </c>
      <c r="I1066" s="31" t="n">
        <f aca="false">VLOOKUP(H1066,Paramètres!$A$15:$B$19,2,FALSE())</f>
        <v>1</v>
      </c>
      <c r="J1066" s="31" t="n">
        <v>3</v>
      </c>
      <c r="K1066" s="50" t="str">
        <f aca="false">C1066&amp;"|"&amp;J1066</f>
        <v>MOB-M|3</v>
      </c>
      <c r="L1066" s="31" t="s">
        <v>2898</v>
      </c>
      <c r="M1066" s="31" t="n">
        <v>3</v>
      </c>
      <c r="N1066" s="51" t="s">
        <v>462</v>
      </c>
      <c r="O1066" s="35" t="s">
        <v>78</v>
      </c>
      <c r="P1066" s="52"/>
      <c r="Q1066" s="52"/>
      <c r="R1066" s="33" t="n">
        <f aca="false">INDEX(Épopées!$L$6:$L$59,MATCH(K1066,Épopées!$A$6:$A$59,0))</f>
        <v>46728</v>
      </c>
      <c r="S1066" s="33" t="n">
        <f aca="false">INDEX(Épopées!$M$6:$M$59,MATCH(K1066,Épopées!$A$6:$A$59,0))</f>
        <v>46748</v>
      </c>
      <c r="T1066" s="53" t="s">
        <v>463</v>
      </c>
    </row>
    <row r="1067" customFormat="false" ht="15" hidden="false" customHeight="false" outlineLevel="0" collapsed="false">
      <c r="A1067" s="31" t="s">
        <v>2942</v>
      </c>
      <c r="B1067" s="31" t="s">
        <v>342</v>
      </c>
      <c r="C1067" s="31" t="s">
        <v>402</v>
      </c>
      <c r="D1067" s="31" t="s">
        <v>204</v>
      </c>
      <c r="E1067" s="31" t="s">
        <v>2943</v>
      </c>
      <c r="F1067" s="31" t="s">
        <v>1623</v>
      </c>
      <c r="G1067" s="31" t="s">
        <v>461</v>
      </c>
      <c r="H1067" s="31" t="s">
        <v>39</v>
      </c>
      <c r="I1067" s="31" t="n">
        <f aca="false">VLOOKUP(H1067,Paramètres!$A$15:$B$19,2,FALSE())</f>
        <v>0.5</v>
      </c>
      <c r="J1067" s="31" t="n">
        <v>3</v>
      </c>
      <c r="K1067" s="50" t="str">
        <f aca="false">C1067&amp;"|"&amp;J1067</f>
        <v>MOB-M|3</v>
      </c>
      <c r="L1067" s="31" t="s">
        <v>2940</v>
      </c>
      <c r="M1067" s="31" t="n">
        <v>1</v>
      </c>
      <c r="N1067" s="51" t="s">
        <v>462</v>
      </c>
      <c r="O1067" s="35" t="s">
        <v>78</v>
      </c>
      <c r="P1067" s="52"/>
      <c r="Q1067" s="52"/>
      <c r="R1067" s="33" t="n">
        <f aca="false">INDEX(Épopées!$L$6:$L$59,MATCH(K1067,Épopées!$A$6:$A$59,0))</f>
        <v>46728</v>
      </c>
      <c r="S1067" s="33" t="n">
        <f aca="false">INDEX(Épopées!$M$6:$M$59,MATCH(K1067,Épopées!$A$6:$A$59,0))</f>
        <v>46748</v>
      </c>
      <c r="T1067" s="53" t="s">
        <v>463</v>
      </c>
    </row>
    <row r="1068" customFormat="false" ht="15" hidden="false" customHeight="false" outlineLevel="0" collapsed="false">
      <c r="A1068" s="31" t="s">
        <v>2944</v>
      </c>
      <c r="B1068" s="31" t="s">
        <v>342</v>
      </c>
      <c r="C1068" s="31" t="s">
        <v>402</v>
      </c>
      <c r="D1068" s="31" t="s">
        <v>204</v>
      </c>
      <c r="E1068" s="31" t="s">
        <v>2945</v>
      </c>
      <c r="F1068" s="31" t="s">
        <v>1623</v>
      </c>
      <c r="G1068" s="31" t="s">
        <v>461</v>
      </c>
      <c r="H1068" s="31" t="s">
        <v>39</v>
      </c>
      <c r="I1068" s="31" t="n">
        <f aca="false">VLOOKUP(H1068,Paramètres!$A$15:$B$19,2,FALSE())</f>
        <v>0.5</v>
      </c>
      <c r="J1068" s="31" t="n">
        <v>3</v>
      </c>
      <c r="K1068" s="50" t="str">
        <f aca="false">C1068&amp;"|"&amp;J1068</f>
        <v>MOB-M|3</v>
      </c>
      <c r="L1068" s="31" t="s">
        <v>2946</v>
      </c>
      <c r="M1068" s="31" t="n">
        <v>1</v>
      </c>
      <c r="N1068" s="51" t="s">
        <v>462</v>
      </c>
      <c r="O1068" s="35" t="s">
        <v>78</v>
      </c>
      <c r="P1068" s="52"/>
      <c r="Q1068" s="52"/>
      <c r="R1068" s="33" t="n">
        <f aca="false">INDEX(Épopées!$L$6:$L$59,MATCH(K1068,Épopées!$A$6:$A$59,0))</f>
        <v>46728</v>
      </c>
      <c r="S1068" s="33" t="n">
        <f aca="false">INDEX(Épopées!$M$6:$M$59,MATCH(K1068,Épopées!$A$6:$A$59,0))</f>
        <v>46748</v>
      </c>
      <c r="T1068" s="53" t="s">
        <v>463</v>
      </c>
    </row>
    <row r="1069" customFormat="false" ht="15" hidden="false" customHeight="false" outlineLevel="0" collapsed="false">
      <c r="A1069" s="31" t="s">
        <v>2947</v>
      </c>
      <c r="B1069" s="31" t="s">
        <v>342</v>
      </c>
      <c r="C1069" s="31" t="s">
        <v>402</v>
      </c>
      <c r="D1069" s="31" t="s">
        <v>204</v>
      </c>
      <c r="E1069" s="31" t="s">
        <v>2948</v>
      </c>
      <c r="F1069" s="31" t="s">
        <v>1623</v>
      </c>
      <c r="G1069" s="31" t="s">
        <v>466</v>
      </c>
      <c r="H1069" s="31" t="s">
        <v>39</v>
      </c>
      <c r="I1069" s="31" t="n">
        <f aca="false">VLOOKUP(H1069,Paramètres!$A$15:$B$19,2,FALSE())</f>
        <v>0.5</v>
      </c>
      <c r="J1069" s="31" t="n">
        <v>3</v>
      </c>
      <c r="K1069" s="50" t="str">
        <f aca="false">C1069&amp;"|"&amp;J1069</f>
        <v>MOB-M|3</v>
      </c>
      <c r="L1069" s="31" t="s">
        <v>2898</v>
      </c>
      <c r="M1069" s="31" t="n">
        <v>1</v>
      </c>
      <c r="N1069" s="51" t="s">
        <v>462</v>
      </c>
      <c r="O1069" s="35" t="s">
        <v>78</v>
      </c>
      <c r="P1069" s="52"/>
      <c r="Q1069" s="52"/>
      <c r="R1069" s="33" t="n">
        <f aca="false">INDEX(Épopées!$L$6:$L$59,MATCH(K1069,Épopées!$A$6:$A$59,0))</f>
        <v>46728</v>
      </c>
      <c r="S1069" s="33" t="n">
        <f aca="false">INDEX(Épopées!$M$6:$M$59,MATCH(K1069,Épopées!$A$6:$A$59,0))</f>
        <v>46748</v>
      </c>
      <c r="T1069" s="53" t="s">
        <v>463</v>
      </c>
    </row>
    <row r="1070" customFormat="false" ht="15" hidden="false" customHeight="false" outlineLevel="0" collapsed="false">
      <c r="A1070" s="31" t="s">
        <v>2949</v>
      </c>
      <c r="B1070" s="31" t="s">
        <v>342</v>
      </c>
      <c r="C1070" s="31" t="s">
        <v>402</v>
      </c>
      <c r="D1070" s="31" t="s">
        <v>204</v>
      </c>
      <c r="E1070" s="31" t="s">
        <v>2950</v>
      </c>
      <c r="F1070" s="31" t="s">
        <v>481</v>
      </c>
      <c r="G1070" s="31" t="s">
        <v>466</v>
      </c>
      <c r="H1070" s="31" t="s">
        <v>39</v>
      </c>
      <c r="I1070" s="31" t="n">
        <f aca="false">VLOOKUP(H1070,Paramètres!$A$15:$B$19,2,FALSE())</f>
        <v>0.5</v>
      </c>
      <c r="J1070" s="31" t="n">
        <v>3</v>
      </c>
      <c r="K1070" s="50" t="str">
        <f aca="false">C1070&amp;"|"&amp;J1070</f>
        <v>MOB-M|3</v>
      </c>
      <c r="L1070" s="31" t="s">
        <v>2905</v>
      </c>
      <c r="M1070" s="31" t="n">
        <v>3</v>
      </c>
      <c r="N1070" s="51" t="s">
        <v>462</v>
      </c>
      <c r="O1070" s="35" t="s">
        <v>78</v>
      </c>
      <c r="P1070" s="52"/>
      <c r="Q1070" s="52"/>
      <c r="R1070" s="33" t="n">
        <f aca="false">INDEX(Épopées!$L$6:$L$59,MATCH(K1070,Épopées!$A$6:$A$59,0))</f>
        <v>46728</v>
      </c>
      <c r="S1070" s="33" t="n">
        <f aca="false">INDEX(Épopées!$M$6:$M$59,MATCH(K1070,Épopées!$A$6:$A$59,0))</f>
        <v>46748</v>
      </c>
      <c r="T1070" s="53" t="s">
        <v>463</v>
      </c>
    </row>
    <row r="1071" customFormat="false" ht="15" hidden="false" customHeight="false" outlineLevel="0" collapsed="false">
      <c r="A1071" s="31" t="s">
        <v>2951</v>
      </c>
      <c r="B1071" s="31" t="s">
        <v>342</v>
      </c>
      <c r="C1071" s="31" t="s">
        <v>402</v>
      </c>
      <c r="D1071" s="31" t="s">
        <v>204</v>
      </c>
      <c r="E1071" s="31" t="s">
        <v>2952</v>
      </c>
      <c r="F1071" s="31" t="s">
        <v>548</v>
      </c>
      <c r="G1071" s="31" t="s">
        <v>612</v>
      </c>
      <c r="H1071" s="31" t="s">
        <v>39</v>
      </c>
      <c r="I1071" s="31" t="n">
        <f aca="false">VLOOKUP(H1071,Paramètres!$A$15:$B$19,2,FALSE())</f>
        <v>0.5</v>
      </c>
      <c r="J1071" s="31" t="n">
        <v>3</v>
      </c>
      <c r="K1071" s="50" t="str">
        <f aca="false">C1071&amp;"|"&amp;J1071</f>
        <v>MOB-M|3</v>
      </c>
      <c r="L1071" s="31" t="s">
        <v>2929</v>
      </c>
      <c r="M1071" s="31" t="n">
        <v>3</v>
      </c>
      <c r="N1071" s="51" t="s">
        <v>462</v>
      </c>
      <c r="O1071" s="35" t="s">
        <v>78</v>
      </c>
      <c r="P1071" s="52"/>
      <c r="Q1071" s="52"/>
      <c r="R1071" s="33" t="n">
        <f aca="false">INDEX(Épopées!$L$6:$L$59,MATCH(K1071,Épopées!$A$6:$A$59,0))</f>
        <v>46728</v>
      </c>
      <c r="S1071" s="33" t="n">
        <f aca="false">INDEX(Épopées!$M$6:$M$59,MATCH(K1071,Épopées!$A$6:$A$59,0))</f>
        <v>46748</v>
      </c>
      <c r="T1071" s="53" t="s">
        <v>463</v>
      </c>
    </row>
    <row r="1072" customFormat="false" ht="15" hidden="false" customHeight="false" outlineLevel="0" collapsed="false">
      <c r="A1072" s="31" t="s">
        <v>2953</v>
      </c>
      <c r="B1072" s="31" t="s">
        <v>342</v>
      </c>
      <c r="C1072" s="31" t="s">
        <v>402</v>
      </c>
      <c r="D1072" s="31" t="s">
        <v>204</v>
      </c>
      <c r="E1072" s="31" t="s">
        <v>2954</v>
      </c>
      <c r="F1072" s="31" t="s">
        <v>579</v>
      </c>
      <c r="G1072" s="31" t="s">
        <v>466</v>
      </c>
      <c r="H1072" s="31" t="s">
        <v>39</v>
      </c>
      <c r="I1072" s="31" t="n">
        <f aca="false">VLOOKUP(H1072,Paramètres!$A$15:$B$19,2,FALSE())</f>
        <v>0.5</v>
      </c>
      <c r="J1072" s="31" t="n">
        <v>3</v>
      </c>
      <c r="K1072" s="50" t="str">
        <f aca="false">C1072&amp;"|"&amp;J1072</f>
        <v>MOB-M|3</v>
      </c>
      <c r="L1072" s="31" t="s">
        <v>2900</v>
      </c>
      <c r="M1072" s="31" t="n">
        <v>2</v>
      </c>
      <c r="N1072" s="51" t="s">
        <v>462</v>
      </c>
      <c r="O1072" s="35" t="s">
        <v>78</v>
      </c>
      <c r="P1072" s="52"/>
      <c r="Q1072" s="52"/>
      <c r="R1072" s="33" t="n">
        <f aca="false">INDEX(Épopées!$L$6:$L$59,MATCH(K1072,Épopées!$A$6:$A$59,0))</f>
        <v>46728</v>
      </c>
      <c r="S1072" s="33" t="n">
        <f aca="false">INDEX(Épopées!$M$6:$M$59,MATCH(K1072,Épopées!$A$6:$A$59,0))</f>
        <v>46748</v>
      </c>
      <c r="T1072" s="53" t="s">
        <v>463</v>
      </c>
    </row>
    <row r="1073" customFormat="false" ht="15" hidden="false" customHeight="false" outlineLevel="0" collapsed="false">
      <c r="A1073" s="31" t="s">
        <v>2955</v>
      </c>
      <c r="B1073" s="31" t="s">
        <v>342</v>
      </c>
      <c r="C1073" s="31" t="s">
        <v>402</v>
      </c>
      <c r="D1073" s="31" t="s">
        <v>204</v>
      </c>
      <c r="E1073" s="31" t="s">
        <v>2956</v>
      </c>
      <c r="F1073" s="31" t="s">
        <v>491</v>
      </c>
      <c r="G1073" s="31" t="s">
        <v>612</v>
      </c>
      <c r="H1073" s="31" t="s">
        <v>39</v>
      </c>
      <c r="I1073" s="31" t="n">
        <f aca="false">VLOOKUP(H1073,Paramètres!$A$15:$B$19,2,FALSE())</f>
        <v>0.5</v>
      </c>
      <c r="J1073" s="31" t="n">
        <v>3</v>
      </c>
      <c r="K1073" s="50" t="str">
        <f aca="false">C1073&amp;"|"&amp;J1073</f>
        <v>MOB-M|3</v>
      </c>
      <c r="L1073" s="31" t="s">
        <v>2913</v>
      </c>
      <c r="M1073" s="31" t="n">
        <v>5</v>
      </c>
      <c r="N1073" s="51" t="s">
        <v>462</v>
      </c>
      <c r="O1073" s="35" t="s">
        <v>78</v>
      </c>
      <c r="P1073" s="52"/>
      <c r="Q1073" s="52"/>
      <c r="R1073" s="33" t="n">
        <f aca="false">INDEX(Épopées!$L$6:$L$59,MATCH(K1073,Épopées!$A$6:$A$59,0))</f>
        <v>46728</v>
      </c>
      <c r="S1073" s="33" t="n">
        <f aca="false">INDEX(Épopées!$M$6:$M$59,MATCH(K1073,Épopées!$A$6:$A$59,0))</f>
        <v>46748</v>
      </c>
      <c r="T1073" s="53" t="s">
        <v>463</v>
      </c>
    </row>
    <row r="1074" customFormat="false" ht="15" hidden="false" customHeight="false" outlineLevel="0" collapsed="false">
      <c r="A1074" s="31" t="s">
        <v>2957</v>
      </c>
      <c r="B1074" s="31" t="s">
        <v>342</v>
      </c>
      <c r="C1074" s="31" t="s">
        <v>402</v>
      </c>
      <c r="D1074" s="31" t="s">
        <v>204</v>
      </c>
      <c r="E1074" s="31" t="s">
        <v>2958</v>
      </c>
      <c r="F1074" s="31" t="s">
        <v>472</v>
      </c>
      <c r="G1074" s="31" t="s">
        <v>466</v>
      </c>
      <c r="H1074" s="31" t="s">
        <v>41</v>
      </c>
      <c r="I1074" s="31" t="n">
        <f aca="false">VLOOKUP(H1074,Paramètres!$A$15:$B$19,2,FALSE())</f>
        <v>1</v>
      </c>
      <c r="J1074" s="31" t="n">
        <v>3</v>
      </c>
      <c r="K1074" s="50" t="str">
        <f aca="false">C1074&amp;"|"&amp;J1074</f>
        <v>MOB-M|3</v>
      </c>
      <c r="L1074" s="31" t="s">
        <v>2959</v>
      </c>
      <c r="M1074" s="31" t="n">
        <v>14</v>
      </c>
      <c r="N1074" s="51" t="s">
        <v>462</v>
      </c>
      <c r="O1074" s="35" t="s">
        <v>78</v>
      </c>
      <c r="P1074" s="52"/>
      <c r="Q1074" s="52"/>
      <c r="R1074" s="33" t="n">
        <f aca="false">INDEX(Épopées!$L$6:$L$59,MATCH(K1074,Épopées!$A$6:$A$59,0))</f>
        <v>46728</v>
      </c>
      <c r="S1074" s="33" t="n">
        <f aca="false">INDEX(Épopées!$M$6:$M$59,MATCH(K1074,Épopées!$A$6:$A$59,0))</f>
        <v>46748</v>
      </c>
      <c r="T1074" s="53" t="s">
        <v>463</v>
      </c>
    </row>
    <row r="1075" customFormat="false" ht="15" hidden="false" customHeight="false" outlineLevel="0" collapsed="false">
      <c r="A1075" s="31" t="s">
        <v>2960</v>
      </c>
      <c r="B1075" s="31" t="s">
        <v>342</v>
      </c>
      <c r="C1075" s="31" t="s">
        <v>402</v>
      </c>
      <c r="D1075" s="31" t="s">
        <v>204</v>
      </c>
      <c r="E1075" s="31" t="s">
        <v>2961</v>
      </c>
      <c r="F1075" s="31" t="s">
        <v>588</v>
      </c>
      <c r="G1075" s="31" t="s">
        <v>612</v>
      </c>
      <c r="H1075" s="31" t="s">
        <v>39</v>
      </c>
      <c r="I1075" s="31" t="n">
        <f aca="false">VLOOKUP(H1075,Paramètres!$A$15:$B$19,2,FALSE())</f>
        <v>0.5</v>
      </c>
      <c r="J1075" s="31" t="n">
        <v>3</v>
      </c>
      <c r="K1075" s="50" t="str">
        <f aca="false">C1075&amp;"|"&amp;J1075</f>
        <v>MOB-M|3</v>
      </c>
      <c r="L1075" s="31" t="s">
        <v>2957</v>
      </c>
      <c r="M1075" s="31" t="n">
        <v>14</v>
      </c>
      <c r="N1075" s="51" t="s">
        <v>462</v>
      </c>
      <c r="O1075" s="35" t="s">
        <v>78</v>
      </c>
      <c r="P1075" s="52"/>
      <c r="Q1075" s="52"/>
      <c r="R1075" s="33" t="n">
        <f aca="false">INDEX(Épopées!$L$6:$L$59,MATCH(K1075,Épopées!$A$6:$A$59,0))</f>
        <v>46728</v>
      </c>
      <c r="S1075" s="33" t="n">
        <f aca="false">INDEX(Épopées!$M$6:$M$59,MATCH(K1075,Épopées!$A$6:$A$59,0))</f>
        <v>46748</v>
      </c>
      <c r="T1075" s="53" t="s">
        <v>463</v>
      </c>
    </row>
    <row r="1076" customFormat="false" ht="15" hidden="false" customHeight="false" outlineLevel="0" collapsed="false">
      <c r="A1076" s="31" t="s">
        <v>2962</v>
      </c>
      <c r="B1076" s="31" t="s">
        <v>404</v>
      </c>
      <c r="C1076" s="31" t="s">
        <v>405</v>
      </c>
      <c r="D1076" s="31" t="s">
        <v>406</v>
      </c>
      <c r="E1076" s="31" t="s">
        <v>2963</v>
      </c>
      <c r="F1076" s="31" t="s">
        <v>481</v>
      </c>
      <c r="G1076" s="31" t="s">
        <v>461</v>
      </c>
      <c r="H1076" s="31" t="s">
        <v>39</v>
      </c>
      <c r="I1076" s="31" t="n">
        <f aca="false">VLOOKUP(H1076,Paramètres!$A$15:$B$19,2,FALSE())</f>
        <v>0.5</v>
      </c>
      <c r="J1076" s="31" t="n">
        <v>0</v>
      </c>
      <c r="K1076" s="50" t="str">
        <f aca="false">C1076&amp;"|"&amp;J1076</f>
        <v>ADM-FND|0</v>
      </c>
      <c r="L1076" s="31"/>
      <c r="M1076" s="31" t="n">
        <v>0</v>
      </c>
      <c r="N1076" s="51" t="s">
        <v>462</v>
      </c>
      <c r="O1076" s="35" t="s">
        <v>78</v>
      </c>
      <c r="P1076" s="52"/>
      <c r="Q1076" s="52"/>
      <c r="R1076" s="33" t="n">
        <f aca="false">INDEX(Épopées!$L$6:$L$59,MATCH(K1076,Épopées!$A$6:$A$59,0))</f>
        <v>46328</v>
      </c>
      <c r="S1076" s="33" t="n">
        <f aca="false">INDEX(Épopées!$M$6:$M$59,MATCH(K1076,Épopées!$A$6:$A$59,0))</f>
        <v>46353</v>
      </c>
      <c r="T1076" s="53" t="s">
        <v>463</v>
      </c>
    </row>
    <row r="1077" customFormat="false" ht="15" hidden="false" customHeight="false" outlineLevel="0" collapsed="false">
      <c r="A1077" s="31" t="s">
        <v>2964</v>
      </c>
      <c r="B1077" s="31" t="s">
        <v>404</v>
      </c>
      <c r="C1077" s="31" t="s">
        <v>405</v>
      </c>
      <c r="D1077" s="31" t="s">
        <v>406</v>
      </c>
      <c r="E1077" s="31" t="s">
        <v>2965</v>
      </c>
      <c r="F1077" s="31" t="s">
        <v>481</v>
      </c>
      <c r="G1077" s="31" t="s">
        <v>461</v>
      </c>
      <c r="H1077" s="31" t="s">
        <v>41</v>
      </c>
      <c r="I1077" s="31" t="n">
        <f aca="false">VLOOKUP(H1077,Paramètres!$A$15:$B$19,2,FALSE())</f>
        <v>1</v>
      </c>
      <c r="J1077" s="31" t="n">
        <v>0</v>
      </c>
      <c r="K1077" s="50" t="str">
        <f aca="false">C1077&amp;"|"&amp;J1077</f>
        <v>ADM-FND|0</v>
      </c>
      <c r="L1077" s="31"/>
      <c r="M1077" s="31" t="n">
        <v>0</v>
      </c>
      <c r="N1077" s="51" t="s">
        <v>462</v>
      </c>
      <c r="O1077" s="35" t="s">
        <v>78</v>
      </c>
      <c r="P1077" s="52"/>
      <c r="Q1077" s="52"/>
      <c r="R1077" s="33" t="n">
        <f aca="false">INDEX(Épopées!$L$6:$L$59,MATCH(K1077,Épopées!$A$6:$A$59,0))</f>
        <v>46328</v>
      </c>
      <c r="S1077" s="33" t="n">
        <f aca="false">INDEX(Épopées!$M$6:$M$59,MATCH(K1077,Épopées!$A$6:$A$59,0))</f>
        <v>46353</v>
      </c>
      <c r="T1077" s="53" t="s">
        <v>463</v>
      </c>
    </row>
    <row r="1078" customFormat="false" ht="15" hidden="false" customHeight="false" outlineLevel="0" collapsed="false">
      <c r="A1078" s="31" t="s">
        <v>2966</v>
      </c>
      <c r="B1078" s="31" t="s">
        <v>404</v>
      </c>
      <c r="C1078" s="31" t="s">
        <v>405</v>
      </c>
      <c r="D1078" s="31" t="s">
        <v>406</v>
      </c>
      <c r="E1078" s="31" t="s">
        <v>2967</v>
      </c>
      <c r="F1078" s="31" t="s">
        <v>491</v>
      </c>
      <c r="G1078" s="31" t="s">
        <v>461</v>
      </c>
      <c r="H1078" s="31" t="s">
        <v>41</v>
      </c>
      <c r="I1078" s="31" t="n">
        <f aca="false">VLOOKUP(H1078,Paramètres!$A$15:$B$19,2,FALSE())</f>
        <v>1</v>
      </c>
      <c r="J1078" s="31" t="n">
        <v>0</v>
      </c>
      <c r="K1078" s="50" t="str">
        <f aca="false">C1078&amp;"|"&amp;J1078</f>
        <v>ADM-FND|0</v>
      </c>
      <c r="L1078" s="31"/>
      <c r="M1078" s="31" t="n">
        <v>0</v>
      </c>
      <c r="N1078" s="51" t="s">
        <v>462</v>
      </c>
      <c r="O1078" s="35" t="s">
        <v>78</v>
      </c>
      <c r="P1078" s="52"/>
      <c r="Q1078" s="52"/>
      <c r="R1078" s="33" t="n">
        <f aca="false">INDEX(Épopées!$L$6:$L$59,MATCH(K1078,Épopées!$A$6:$A$59,0))</f>
        <v>46328</v>
      </c>
      <c r="S1078" s="33" t="n">
        <f aca="false">INDEX(Épopées!$M$6:$M$59,MATCH(K1078,Épopées!$A$6:$A$59,0))</f>
        <v>46353</v>
      </c>
      <c r="T1078" s="53" t="s">
        <v>463</v>
      </c>
    </row>
    <row r="1079" customFormat="false" ht="15" hidden="false" customHeight="false" outlineLevel="0" collapsed="false">
      <c r="A1079" s="31" t="s">
        <v>2968</v>
      </c>
      <c r="B1079" s="31" t="s">
        <v>404</v>
      </c>
      <c r="C1079" s="31" t="s">
        <v>405</v>
      </c>
      <c r="D1079" s="31" t="s">
        <v>406</v>
      </c>
      <c r="E1079" s="31" t="s">
        <v>2969</v>
      </c>
      <c r="F1079" s="31" t="s">
        <v>481</v>
      </c>
      <c r="G1079" s="31" t="s">
        <v>461</v>
      </c>
      <c r="H1079" s="31" t="s">
        <v>41</v>
      </c>
      <c r="I1079" s="31" t="n">
        <f aca="false">VLOOKUP(H1079,Paramètres!$A$15:$B$19,2,FALSE())</f>
        <v>1</v>
      </c>
      <c r="J1079" s="31" t="n">
        <v>0</v>
      </c>
      <c r="K1079" s="50" t="str">
        <f aca="false">C1079&amp;"|"&amp;J1079</f>
        <v>ADM-FND|0</v>
      </c>
      <c r="L1079" s="31"/>
      <c r="M1079" s="31" t="n">
        <v>0</v>
      </c>
      <c r="N1079" s="51" t="s">
        <v>462</v>
      </c>
      <c r="O1079" s="35" t="s">
        <v>78</v>
      </c>
      <c r="P1079" s="52"/>
      <c r="Q1079" s="52"/>
      <c r="R1079" s="33" t="n">
        <f aca="false">INDEX(Épopées!$L$6:$L$59,MATCH(K1079,Épopées!$A$6:$A$59,0))</f>
        <v>46328</v>
      </c>
      <c r="S1079" s="33" t="n">
        <f aca="false">INDEX(Épopées!$M$6:$M$59,MATCH(K1079,Épopées!$A$6:$A$59,0))</f>
        <v>46353</v>
      </c>
      <c r="T1079" s="53" t="s">
        <v>463</v>
      </c>
    </row>
    <row r="1080" customFormat="false" ht="15" hidden="false" customHeight="false" outlineLevel="0" collapsed="false">
      <c r="A1080" s="31" t="s">
        <v>2970</v>
      </c>
      <c r="B1080" s="31" t="s">
        <v>404</v>
      </c>
      <c r="C1080" s="31" t="s">
        <v>405</v>
      </c>
      <c r="D1080" s="31" t="s">
        <v>406</v>
      </c>
      <c r="E1080" s="31" t="s">
        <v>2971</v>
      </c>
      <c r="F1080" s="31" t="s">
        <v>481</v>
      </c>
      <c r="G1080" s="31" t="s">
        <v>461</v>
      </c>
      <c r="H1080" s="31" t="s">
        <v>41</v>
      </c>
      <c r="I1080" s="31" t="n">
        <f aca="false">VLOOKUP(H1080,Paramètres!$A$15:$B$19,2,FALSE())</f>
        <v>1</v>
      </c>
      <c r="J1080" s="31" t="n">
        <v>0</v>
      </c>
      <c r="K1080" s="50" t="str">
        <f aca="false">C1080&amp;"|"&amp;J1080</f>
        <v>ADM-FND|0</v>
      </c>
      <c r="L1080" s="31"/>
      <c r="M1080" s="31" t="n">
        <v>0</v>
      </c>
      <c r="N1080" s="51" t="s">
        <v>462</v>
      </c>
      <c r="O1080" s="35" t="s">
        <v>78</v>
      </c>
      <c r="P1080" s="52"/>
      <c r="Q1080" s="52"/>
      <c r="R1080" s="33" t="n">
        <f aca="false">INDEX(Épopées!$L$6:$L$59,MATCH(K1080,Épopées!$A$6:$A$59,0))</f>
        <v>46328</v>
      </c>
      <c r="S1080" s="33" t="n">
        <f aca="false">INDEX(Épopées!$M$6:$M$59,MATCH(K1080,Épopées!$A$6:$A$59,0))</f>
        <v>46353</v>
      </c>
      <c r="T1080" s="53" t="s">
        <v>463</v>
      </c>
    </row>
    <row r="1081" customFormat="false" ht="15" hidden="false" customHeight="false" outlineLevel="0" collapsed="false">
      <c r="A1081" s="31" t="s">
        <v>2972</v>
      </c>
      <c r="B1081" s="31" t="s">
        <v>404</v>
      </c>
      <c r="C1081" s="31" t="s">
        <v>405</v>
      </c>
      <c r="D1081" s="31" t="s">
        <v>406</v>
      </c>
      <c r="E1081" s="31" t="s">
        <v>2973</v>
      </c>
      <c r="F1081" s="31" t="s">
        <v>481</v>
      </c>
      <c r="G1081" s="31" t="s">
        <v>466</v>
      </c>
      <c r="H1081" s="31" t="s">
        <v>41</v>
      </c>
      <c r="I1081" s="31" t="n">
        <f aca="false">VLOOKUP(H1081,Paramètres!$A$15:$B$19,2,FALSE())</f>
        <v>1</v>
      </c>
      <c r="J1081" s="31" t="n">
        <v>0</v>
      </c>
      <c r="K1081" s="50" t="str">
        <f aca="false">C1081&amp;"|"&amp;J1081</f>
        <v>ADM-FND|0</v>
      </c>
      <c r="L1081" s="31"/>
      <c r="M1081" s="31" t="n">
        <v>0</v>
      </c>
      <c r="N1081" s="51" t="s">
        <v>462</v>
      </c>
      <c r="O1081" s="35" t="s">
        <v>78</v>
      </c>
      <c r="P1081" s="52"/>
      <c r="Q1081" s="52"/>
      <c r="R1081" s="33" t="n">
        <f aca="false">INDEX(Épopées!$L$6:$L$59,MATCH(K1081,Épopées!$A$6:$A$59,0))</f>
        <v>46328</v>
      </c>
      <c r="S1081" s="33" t="n">
        <f aca="false">INDEX(Épopées!$M$6:$M$59,MATCH(K1081,Épopées!$A$6:$A$59,0))</f>
        <v>46353</v>
      </c>
      <c r="T1081" s="53" t="s">
        <v>463</v>
      </c>
    </row>
    <row r="1082" customFormat="false" ht="15" hidden="false" customHeight="false" outlineLevel="0" collapsed="false">
      <c r="A1082" s="31" t="s">
        <v>2974</v>
      </c>
      <c r="B1082" s="31" t="s">
        <v>404</v>
      </c>
      <c r="C1082" s="31" t="s">
        <v>405</v>
      </c>
      <c r="D1082" s="31" t="s">
        <v>406</v>
      </c>
      <c r="E1082" s="31" t="s">
        <v>2975</v>
      </c>
      <c r="F1082" s="31" t="s">
        <v>491</v>
      </c>
      <c r="G1082" s="31" t="s">
        <v>461</v>
      </c>
      <c r="H1082" s="31" t="s">
        <v>41</v>
      </c>
      <c r="I1082" s="31" t="n">
        <f aca="false">VLOOKUP(H1082,Paramètres!$A$15:$B$19,2,FALSE())</f>
        <v>1</v>
      </c>
      <c r="J1082" s="31" t="n">
        <v>0</v>
      </c>
      <c r="K1082" s="50" t="str">
        <f aca="false">C1082&amp;"|"&amp;J1082</f>
        <v>ADM-FND|0</v>
      </c>
      <c r="L1082" s="31"/>
      <c r="M1082" s="31" t="n">
        <v>0</v>
      </c>
      <c r="N1082" s="51" t="s">
        <v>462</v>
      </c>
      <c r="O1082" s="35" t="s">
        <v>78</v>
      </c>
      <c r="P1082" s="52"/>
      <c r="Q1082" s="52"/>
      <c r="R1082" s="33" t="n">
        <f aca="false">INDEX(Épopées!$L$6:$L$59,MATCH(K1082,Épopées!$A$6:$A$59,0))</f>
        <v>46328</v>
      </c>
      <c r="S1082" s="33" t="n">
        <f aca="false">INDEX(Épopées!$M$6:$M$59,MATCH(K1082,Épopées!$A$6:$A$59,0))</f>
        <v>46353</v>
      </c>
      <c r="T1082" s="53" t="s">
        <v>463</v>
      </c>
    </row>
    <row r="1083" customFormat="false" ht="15" hidden="false" customHeight="false" outlineLevel="0" collapsed="false">
      <c r="A1083" s="31" t="s">
        <v>2976</v>
      </c>
      <c r="B1083" s="31" t="s">
        <v>404</v>
      </c>
      <c r="C1083" s="31" t="s">
        <v>405</v>
      </c>
      <c r="D1083" s="31" t="s">
        <v>406</v>
      </c>
      <c r="E1083" s="31" t="s">
        <v>2977</v>
      </c>
      <c r="F1083" s="31" t="s">
        <v>1863</v>
      </c>
      <c r="G1083" s="31" t="s">
        <v>466</v>
      </c>
      <c r="H1083" s="31" t="s">
        <v>41</v>
      </c>
      <c r="I1083" s="31" t="n">
        <f aca="false">VLOOKUP(H1083,Paramètres!$A$15:$B$19,2,FALSE())</f>
        <v>1</v>
      </c>
      <c r="J1083" s="31" t="n">
        <v>0</v>
      </c>
      <c r="K1083" s="50" t="str">
        <f aca="false">C1083&amp;"|"&amp;J1083</f>
        <v>ADM-FND|0</v>
      </c>
      <c r="L1083" s="31"/>
      <c r="M1083" s="31" t="n">
        <v>0</v>
      </c>
      <c r="N1083" s="51" t="s">
        <v>462</v>
      </c>
      <c r="O1083" s="35" t="s">
        <v>78</v>
      </c>
      <c r="P1083" s="52"/>
      <c r="Q1083" s="52"/>
      <c r="R1083" s="33" t="n">
        <f aca="false">INDEX(Épopées!$L$6:$L$59,MATCH(K1083,Épopées!$A$6:$A$59,0))</f>
        <v>46328</v>
      </c>
      <c r="S1083" s="33" t="n">
        <f aca="false">INDEX(Épopées!$M$6:$M$59,MATCH(K1083,Épopées!$A$6:$A$59,0))</f>
        <v>46353</v>
      </c>
      <c r="T1083" s="53" t="s">
        <v>463</v>
      </c>
    </row>
    <row r="1084" customFormat="false" ht="15" hidden="false" customHeight="false" outlineLevel="0" collapsed="false">
      <c r="A1084" s="31" t="s">
        <v>2978</v>
      </c>
      <c r="B1084" s="31" t="s">
        <v>404</v>
      </c>
      <c r="C1084" s="31" t="s">
        <v>405</v>
      </c>
      <c r="D1084" s="31" t="s">
        <v>406</v>
      </c>
      <c r="E1084" s="31" t="s">
        <v>2979</v>
      </c>
      <c r="F1084" s="31" t="s">
        <v>491</v>
      </c>
      <c r="G1084" s="31" t="s">
        <v>461</v>
      </c>
      <c r="H1084" s="31" t="s">
        <v>41</v>
      </c>
      <c r="I1084" s="31" t="n">
        <f aca="false">VLOOKUP(H1084,Paramètres!$A$15:$B$19,2,FALSE())</f>
        <v>1</v>
      </c>
      <c r="J1084" s="31" t="n">
        <v>0</v>
      </c>
      <c r="K1084" s="50" t="str">
        <f aca="false">C1084&amp;"|"&amp;J1084</f>
        <v>ADM-FND|0</v>
      </c>
      <c r="L1084" s="31"/>
      <c r="M1084" s="31" t="n">
        <v>0</v>
      </c>
      <c r="N1084" s="51" t="s">
        <v>462</v>
      </c>
      <c r="O1084" s="35" t="s">
        <v>78</v>
      </c>
      <c r="P1084" s="52"/>
      <c r="Q1084" s="52"/>
      <c r="R1084" s="33" t="n">
        <f aca="false">INDEX(Épopées!$L$6:$L$59,MATCH(K1084,Épopées!$A$6:$A$59,0))</f>
        <v>46328</v>
      </c>
      <c r="S1084" s="33" t="n">
        <f aca="false">INDEX(Épopées!$M$6:$M$59,MATCH(K1084,Épopées!$A$6:$A$59,0))</f>
        <v>46353</v>
      </c>
      <c r="T1084" s="53" t="s">
        <v>463</v>
      </c>
    </row>
    <row r="1085" customFormat="false" ht="15" hidden="false" customHeight="false" outlineLevel="0" collapsed="false">
      <c r="A1085" s="31" t="s">
        <v>2980</v>
      </c>
      <c r="B1085" s="31" t="s">
        <v>404</v>
      </c>
      <c r="C1085" s="31" t="s">
        <v>405</v>
      </c>
      <c r="D1085" s="31" t="s">
        <v>406</v>
      </c>
      <c r="E1085" s="31" t="s">
        <v>2981</v>
      </c>
      <c r="F1085" s="31" t="s">
        <v>491</v>
      </c>
      <c r="G1085" s="31" t="s">
        <v>466</v>
      </c>
      <c r="H1085" s="31" t="s">
        <v>41</v>
      </c>
      <c r="I1085" s="31" t="n">
        <f aca="false">VLOOKUP(H1085,Paramètres!$A$15:$B$19,2,FALSE())</f>
        <v>1</v>
      </c>
      <c r="J1085" s="31" t="n">
        <v>0</v>
      </c>
      <c r="K1085" s="50" t="str">
        <f aca="false">C1085&amp;"|"&amp;J1085</f>
        <v>ADM-FND|0</v>
      </c>
      <c r="L1085" s="31"/>
      <c r="M1085" s="31" t="n">
        <v>0</v>
      </c>
      <c r="N1085" s="51" t="s">
        <v>462</v>
      </c>
      <c r="O1085" s="35" t="s">
        <v>78</v>
      </c>
      <c r="P1085" s="52"/>
      <c r="Q1085" s="52"/>
      <c r="R1085" s="33" t="n">
        <f aca="false">INDEX(Épopées!$L$6:$L$59,MATCH(K1085,Épopées!$A$6:$A$59,0))</f>
        <v>46328</v>
      </c>
      <c r="S1085" s="33" t="n">
        <f aca="false">INDEX(Épopées!$M$6:$M$59,MATCH(K1085,Épopées!$A$6:$A$59,0))</f>
        <v>46353</v>
      </c>
      <c r="T1085" s="53" t="s">
        <v>463</v>
      </c>
    </row>
    <row r="1086" customFormat="false" ht="15" hidden="false" customHeight="false" outlineLevel="0" collapsed="false">
      <c r="A1086" s="31" t="s">
        <v>2982</v>
      </c>
      <c r="B1086" s="31" t="s">
        <v>404</v>
      </c>
      <c r="C1086" s="31" t="s">
        <v>405</v>
      </c>
      <c r="D1086" s="31" t="s">
        <v>406</v>
      </c>
      <c r="E1086" s="31" t="s">
        <v>2983</v>
      </c>
      <c r="F1086" s="31" t="s">
        <v>588</v>
      </c>
      <c r="G1086" s="31" t="s">
        <v>461</v>
      </c>
      <c r="H1086" s="31" t="s">
        <v>43</v>
      </c>
      <c r="I1086" s="31" t="n">
        <f aca="false">VLOOKUP(H1086,Paramètres!$A$15:$B$19,2,FALSE())</f>
        <v>2</v>
      </c>
      <c r="J1086" s="31" t="n">
        <v>0</v>
      </c>
      <c r="K1086" s="50" t="str">
        <f aca="false">C1086&amp;"|"&amp;J1086</f>
        <v>ADM-FND|0</v>
      </c>
      <c r="L1086" s="31"/>
      <c r="M1086" s="31" t="n">
        <v>0</v>
      </c>
      <c r="N1086" s="51" t="s">
        <v>462</v>
      </c>
      <c r="O1086" s="35" t="s">
        <v>78</v>
      </c>
      <c r="P1086" s="52"/>
      <c r="Q1086" s="52"/>
      <c r="R1086" s="33" t="n">
        <f aca="false">INDEX(Épopées!$L$6:$L$59,MATCH(K1086,Épopées!$A$6:$A$59,0))</f>
        <v>46328</v>
      </c>
      <c r="S1086" s="33" t="n">
        <f aca="false">INDEX(Épopées!$M$6:$M$59,MATCH(K1086,Épopées!$A$6:$A$59,0))</f>
        <v>46353</v>
      </c>
      <c r="T1086" s="53" t="s">
        <v>463</v>
      </c>
    </row>
    <row r="1087" customFormat="false" ht="15" hidden="false" customHeight="false" outlineLevel="0" collapsed="false">
      <c r="A1087" s="31" t="s">
        <v>2984</v>
      </c>
      <c r="B1087" s="31" t="s">
        <v>404</v>
      </c>
      <c r="C1087" s="31" t="s">
        <v>405</v>
      </c>
      <c r="D1087" s="31" t="s">
        <v>406</v>
      </c>
      <c r="E1087" s="31" t="s">
        <v>2985</v>
      </c>
      <c r="F1087" s="31" t="s">
        <v>588</v>
      </c>
      <c r="G1087" s="31" t="s">
        <v>461</v>
      </c>
      <c r="H1087" s="31" t="s">
        <v>41</v>
      </c>
      <c r="I1087" s="31" t="n">
        <f aca="false">VLOOKUP(H1087,Paramètres!$A$15:$B$19,2,FALSE())</f>
        <v>1</v>
      </c>
      <c r="J1087" s="31" t="n">
        <v>0</v>
      </c>
      <c r="K1087" s="50" t="str">
        <f aca="false">C1087&amp;"|"&amp;J1087</f>
        <v>ADM-FND|0</v>
      </c>
      <c r="L1087" s="31"/>
      <c r="M1087" s="31" t="n">
        <v>0</v>
      </c>
      <c r="N1087" s="51" t="s">
        <v>462</v>
      </c>
      <c r="O1087" s="35" t="s">
        <v>78</v>
      </c>
      <c r="P1087" s="52"/>
      <c r="Q1087" s="52"/>
      <c r="R1087" s="33" t="n">
        <f aca="false">INDEX(Épopées!$L$6:$L$59,MATCH(K1087,Épopées!$A$6:$A$59,0))</f>
        <v>46328</v>
      </c>
      <c r="S1087" s="33" t="n">
        <f aca="false">INDEX(Épopées!$M$6:$M$59,MATCH(K1087,Épopées!$A$6:$A$59,0))</f>
        <v>46353</v>
      </c>
      <c r="T1087" s="53" t="s">
        <v>463</v>
      </c>
    </row>
    <row r="1088" customFormat="false" ht="15" hidden="false" customHeight="false" outlineLevel="0" collapsed="false">
      <c r="A1088" s="31" t="s">
        <v>2986</v>
      </c>
      <c r="B1088" s="31" t="s">
        <v>404</v>
      </c>
      <c r="C1088" s="31" t="s">
        <v>405</v>
      </c>
      <c r="D1088" s="31" t="s">
        <v>406</v>
      </c>
      <c r="E1088" s="31" t="s">
        <v>2987</v>
      </c>
      <c r="F1088" s="31" t="s">
        <v>491</v>
      </c>
      <c r="G1088" s="31" t="s">
        <v>461</v>
      </c>
      <c r="H1088" s="31" t="s">
        <v>41</v>
      </c>
      <c r="I1088" s="31" t="n">
        <f aca="false">VLOOKUP(H1088,Paramètres!$A$15:$B$19,2,FALSE())</f>
        <v>1</v>
      </c>
      <c r="J1088" s="31" t="n">
        <v>0</v>
      </c>
      <c r="K1088" s="50" t="str">
        <f aca="false">C1088&amp;"|"&amp;J1088</f>
        <v>ADM-FND|0</v>
      </c>
      <c r="L1088" s="31"/>
      <c r="M1088" s="31" t="n">
        <v>0</v>
      </c>
      <c r="N1088" s="51" t="s">
        <v>462</v>
      </c>
      <c r="O1088" s="35" t="s">
        <v>78</v>
      </c>
      <c r="P1088" s="52"/>
      <c r="Q1088" s="52"/>
      <c r="R1088" s="33" t="n">
        <f aca="false">INDEX(Épopées!$L$6:$L$59,MATCH(K1088,Épopées!$A$6:$A$59,0))</f>
        <v>46328</v>
      </c>
      <c r="S1088" s="33" t="n">
        <f aca="false">INDEX(Épopées!$M$6:$M$59,MATCH(K1088,Épopées!$A$6:$A$59,0))</f>
        <v>46353</v>
      </c>
      <c r="T1088" s="53" t="s">
        <v>463</v>
      </c>
    </row>
    <row r="1089" customFormat="false" ht="15" hidden="false" customHeight="false" outlineLevel="0" collapsed="false">
      <c r="A1089" s="31" t="s">
        <v>2988</v>
      </c>
      <c r="B1089" s="31" t="s">
        <v>404</v>
      </c>
      <c r="C1089" s="31" t="s">
        <v>405</v>
      </c>
      <c r="D1089" s="31" t="s">
        <v>406</v>
      </c>
      <c r="E1089" s="31" t="s">
        <v>2989</v>
      </c>
      <c r="F1089" s="31" t="s">
        <v>491</v>
      </c>
      <c r="G1089" s="31" t="s">
        <v>466</v>
      </c>
      <c r="H1089" s="31" t="s">
        <v>41</v>
      </c>
      <c r="I1089" s="31" t="n">
        <f aca="false">VLOOKUP(H1089,Paramètres!$A$15:$B$19,2,FALSE())</f>
        <v>1</v>
      </c>
      <c r="J1089" s="31" t="n">
        <v>0</v>
      </c>
      <c r="K1089" s="50" t="str">
        <f aca="false">C1089&amp;"|"&amp;J1089</f>
        <v>ADM-FND|0</v>
      </c>
      <c r="L1089" s="31" t="s">
        <v>2986</v>
      </c>
      <c r="M1089" s="31" t="n">
        <v>0</v>
      </c>
      <c r="N1089" s="51" t="s">
        <v>462</v>
      </c>
      <c r="O1089" s="35" t="s">
        <v>78</v>
      </c>
      <c r="P1089" s="52"/>
      <c r="Q1089" s="52"/>
      <c r="R1089" s="33" t="n">
        <f aca="false">INDEX(Épopées!$L$6:$L$59,MATCH(K1089,Épopées!$A$6:$A$59,0))</f>
        <v>46328</v>
      </c>
      <c r="S1089" s="33" t="n">
        <f aca="false">INDEX(Épopées!$M$6:$M$59,MATCH(K1089,Épopées!$A$6:$A$59,0))</f>
        <v>46353</v>
      </c>
      <c r="T1089" s="53" t="s">
        <v>463</v>
      </c>
    </row>
    <row r="1090" customFormat="false" ht="15" hidden="false" customHeight="false" outlineLevel="0" collapsed="false">
      <c r="A1090" s="31" t="s">
        <v>2990</v>
      </c>
      <c r="B1090" s="31" t="s">
        <v>404</v>
      </c>
      <c r="C1090" s="31" t="s">
        <v>405</v>
      </c>
      <c r="D1090" s="31" t="s">
        <v>406</v>
      </c>
      <c r="E1090" s="31" t="s">
        <v>2991</v>
      </c>
      <c r="F1090" s="31" t="s">
        <v>491</v>
      </c>
      <c r="G1090" s="31" t="s">
        <v>612</v>
      </c>
      <c r="H1090" s="31" t="s">
        <v>41</v>
      </c>
      <c r="I1090" s="31" t="n">
        <f aca="false">VLOOKUP(H1090,Paramètres!$A$15:$B$19,2,FALSE())</f>
        <v>1</v>
      </c>
      <c r="J1090" s="31" t="n">
        <v>0</v>
      </c>
      <c r="K1090" s="50" t="str">
        <f aca="false">C1090&amp;"|"&amp;J1090</f>
        <v>ADM-FND|0</v>
      </c>
      <c r="L1090" s="31" t="s">
        <v>2986</v>
      </c>
      <c r="M1090" s="31" t="n">
        <v>0</v>
      </c>
      <c r="N1090" s="51" t="s">
        <v>462</v>
      </c>
      <c r="O1090" s="35" t="s">
        <v>78</v>
      </c>
      <c r="P1090" s="52"/>
      <c r="Q1090" s="52"/>
      <c r="R1090" s="33" t="n">
        <f aca="false">INDEX(Épopées!$L$6:$L$59,MATCH(K1090,Épopées!$A$6:$A$59,0))</f>
        <v>46328</v>
      </c>
      <c r="S1090" s="33" t="n">
        <f aca="false">INDEX(Épopées!$M$6:$M$59,MATCH(K1090,Épopées!$A$6:$A$59,0))</f>
        <v>46353</v>
      </c>
      <c r="T1090" s="53" t="s">
        <v>463</v>
      </c>
    </row>
    <row r="1091" customFormat="false" ht="15" hidden="false" customHeight="false" outlineLevel="0" collapsed="false">
      <c r="A1091" s="31" t="s">
        <v>2992</v>
      </c>
      <c r="B1091" s="31" t="s">
        <v>404</v>
      </c>
      <c r="C1091" s="31" t="s">
        <v>405</v>
      </c>
      <c r="D1091" s="31" t="s">
        <v>406</v>
      </c>
      <c r="E1091" s="31" t="s">
        <v>2993</v>
      </c>
      <c r="F1091" s="31" t="s">
        <v>491</v>
      </c>
      <c r="G1091" s="31" t="s">
        <v>461</v>
      </c>
      <c r="H1091" s="31" t="s">
        <v>43</v>
      </c>
      <c r="I1091" s="31" t="n">
        <f aca="false">VLOOKUP(H1091,Paramètres!$A$15:$B$19,2,FALSE())</f>
        <v>2</v>
      </c>
      <c r="J1091" s="31" t="n">
        <v>0</v>
      </c>
      <c r="K1091" s="50" t="str">
        <f aca="false">C1091&amp;"|"&amp;J1091</f>
        <v>ADM-FND|0</v>
      </c>
      <c r="L1091" s="31"/>
      <c r="M1091" s="31" t="n">
        <v>0</v>
      </c>
      <c r="N1091" s="51" t="s">
        <v>462</v>
      </c>
      <c r="O1091" s="35" t="s">
        <v>78</v>
      </c>
      <c r="P1091" s="52"/>
      <c r="Q1091" s="52"/>
      <c r="R1091" s="33" t="n">
        <f aca="false">INDEX(Épopées!$L$6:$L$59,MATCH(K1091,Épopées!$A$6:$A$59,0))</f>
        <v>46328</v>
      </c>
      <c r="S1091" s="33" t="n">
        <f aca="false">INDEX(Épopées!$M$6:$M$59,MATCH(K1091,Épopées!$A$6:$A$59,0))</f>
        <v>46353</v>
      </c>
      <c r="T1091" s="53" t="s">
        <v>463</v>
      </c>
    </row>
    <row r="1092" customFormat="false" ht="15" hidden="false" customHeight="false" outlineLevel="0" collapsed="false">
      <c r="A1092" s="31" t="s">
        <v>2994</v>
      </c>
      <c r="B1092" s="31" t="s">
        <v>404</v>
      </c>
      <c r="C1092" s="31" t="s">
        <v>405</v>
      </c>
      <c r="D1092" s="31" t="s">
        <v>406</v>
      </c>
      <c r="E1092" s="31" t="s">
        <v>2995</v>
      </c>
      <c r="F1092" s="31" t="s">
        <v>472</v>
      </c>
      <c r="G1092" s="31" t="s">
        <v>461</v>
      </c>
      <c r="H1092" s="31" t="s">
        <v>41</v>
      </c>
      <c r="I1092" s="31" t="n">
        <f aca="false">VLOOKUP(H1092,Paramètres!$A$15:$B$19,2,FALSE())</f>
        <v>1</v>
      </c>
      <c r="J1092" s="31" t="n">
        <v>0</v>
      </c>
      <c r="K1092" s="50" t="str">
        <f aca="false">C1092&amp;"|"&amp;J1092</f>
        <v>ADM-FND|0</v>
      </c>
      <c r="L1092" s="31"/>
      <c r="M1092" s="31" t="n">
        <v>0</v>
      </c>
      <c r="N1092" s="51" t="s">
        <v>462</v>
      </c>
      <c r="O1092" s="35" t="s">
        <v>78</v>
      </c>
      <c r="P1092" s="52"/>
      <c r="Q1092" s="52"/>
      <c r="R1092" s="33" t="n">
        <f aca="false">INDEX(Épopées!$L$6:$L$59,MATCH(K1092,Épopées!$A$6:$A$59,0))</f>
        <v>46328</v>
      </c>
      <c r="S1092" s="33" t="n">
        <f aca="false">INDEX(Épopées!$M$6:$M$59,MATCH(K1092,Épopées!$A$6:$A$59,0))</f>
        <v>46353</v>
      </c>
      <c r="T1092" s="53" t="s">
        <v>463</v>
      </c>
    </row>
    <row r="1093" customFormat="false" ht="15" hidden="false" customHeight="false" outlineLevel="0" collapsed="false">
      <c r="A1093" s="31" t="s">
        <v>2996</v>
      </c>
      <c r="B1093" s="31" t="s">
        <v>404</v>
      </c>
      <c r="C1093" s="31" t="s">
        <v>405</v>
      </c>
      <c r="D1093" s="31" t="s">
        <v>406</v>
      </c>
      <c r="E1093" s="31" t="s">
        <v>2997</v>
      </c>
      <c r="F1093" s="31" t="s">
        <v>472</v>
      </c>
      <c r="G1093" s="31" t="s">
        <v>461</v>
      </c>
      <c r="H1093" s="31" t="s">
        <v>41</v>
      </c>
      <c r="I1093" s="31" t="n">
        <f aca="false">VLOOKUP(H1093,Paramètres!$A$15:$B$19,2,FALSE())</f>
        <v>1</v>
      </c>
      <c r="J1093" s="31" t="n">
        <v>0</v>
      </c>
      <c r="K1093" s="50" t="str">
        <f aca="false">C1093&amp;"|"&amp;J1093</f>
        <v>ADM-FND|0</v>
      </c>
      <c r="L1093" s="31"/>
      <c r="M1093" s="31" t="n">
        <v>0</v>
      </c>
      <c r="N1093" s="51" t="s">
        <v>462</v>
      </c>
      <c r="O1093" s="35" t="s">
        <v>78</v>
      </c>
      <c r="P1093" s="52"/>
      <c r="Q1093" s="52"/>
      <c r="R1093" s="33" t="n">
        <f aca="false">INDEX(Épopées!$L$6:$L$59,MATCH(K1093,Épopées!$A$6:$A$59,0))</f>
        <v>46328</v>
      </c>
      <c r="S1093" s="33" t="n">
        <f aca="false">INDEX(Épopées!$M$6:$M$59,MATCH(K1093,Épopées!$A$6:$A$59,0))</f>
        <v>46353</v>
      </c>
      <c r="T1093" s="53" t="s">
        <v>463</v>
      </c>
    </row>
    <row r="1094" customFormat="false" ht="15" hidden="false" customHeight="false" outlineLevel="0" collapsed="false">
      <c r="A1094" s="31" t="s">
        <v>2998</v>
      </c>
      <c r="B1094" s="31" t="s">
        <v>404</v>
      </c>
      <c r="C1094" s="31" t="s">
        <v>405</v>
      </c>
      <c r="D1094" s="31" t="s">
        <v>406</v>
      </c>
      <c r="E1094" s="31" t="s">
        <v>2999</v>
      </c>
      <c r="F1094" s="31" t="s">
        <v>472</v>
      </c>
      <c r="G1094" s="31" t="s">
        <v>466</v>
      </c>
      <c r="H1094" s="31" t="s">
        <v>41</v>
      </c>
      <c r="I1094" s="31" t="n">
        <f aca="false">VLOOKUP(H1094,Paramètres!$A$15:$B$19,2,FALSE())</f>
        <v>1</v>
      </c>
      <c r="J1094" s="31" t="n">
        <v>0</v>
      </c>
      <c r="K1094" s="50" t="str">
        <f aca="false">C1094&amp;"|"&amp;J1094</f>
        <v>ADM-FND|0</v>
      </c>
      <c r="L1094" s="31"/>
      <c r="M1094" s="31" t="n">
        <v>0</v>
      </c>
      <c r="N1094" s="51" t="s">
        <v>462</v>
      </c>
      <c r="O1094" s="35" t="s">
        <v>78</v>
      </c>
      <c r="P1094" s="52"/>
      <c r="Q1094" s="52"/>
      <c r="R1094" s="33" t="n">
        <f aca="false">INDEX(Épopées!$L$6:$L$59,MATCH(K1094,Épopées!$A$6:$A$59,0))</f>
        <v>46328</v>
      </c>
      <c r="S1094" s="33" t="n">
        <f aca="false">INDEX(Épopées!$M$6:$M$59,MATCH(K1094,Épopées!$A$6:$A$59,0))</f>
        <v>46353</v>
      </c>
      <c r="T1094" s="53" t="s">
        <v>463</v>
      </c>
    </row>
    <row r="1095" customFormat="false" ht="15" hidden="false" customHeight="false" outlineLevel="0" collapsed="false">
      <c r="A1095" s="31" t="s">
        <v>3000</v>
      </c>
      <c r="B1095" s="31" t="s">
        <v>404</v>
      </c>
      <c r="C1095" s="31" t="s">
        <v>405</v>
      </c>
      <c r="D1095" s="31" t="s">
        <v>406</v>
      </c>
      <c r="E1095" s="31" t="s">
        <v>3001</v>
      </c>
      <c r="F1095" s="31" t="s">
        <v>481</v>
      </c>
      <c r="G1095" s="31" t="s">
        <v>461</v>
      </c>
      <c r="H1095" s="31" t="s">
        <v>41</v>
      </c>
      <c r="I1095" s="31" t="n">
        <f aca="false">VLOOKUP(H1095,Paramètres!$A$15:$B$19,2,FALSE())</f>
        <v>1</v>
      </c>
      <c r="J1095" s="31" t="n">
        <v>0</v>
      </c>
      <c r="K1095" s="50" t="str">
        <f aca="false">C1095&amp;"|"&amp;J1095</f>
        <v>ADM-FND|0</v>
      </c>
      <c r="L1095" s="31"/>
      <c r="M1095" s="31" t="n">
        <v>0</v>
      </c>
      <c r="N1095" s="51" t="s">
        <v>462</v>
      </c>
      <c r="O1095" s="35" t="s">
        <v>78</v>
      </c>
      <c r="P1095" s="52"/>
      <c r="Q1095" s="52"/>
      <c r="R1095" s="33" t="n">
        <f aca="false">INDEX(Épopées!$L$6:$L$59,MATCH(K1095,Épopées!$A$6:$A$59,0))</f>
        <v>46328</v>
      </c>
      <c r="S1095" s="33" t="n">
        <f aca="false">INDEX(Épopées!$M$6:$M$59,MATCH(K1095,Épopées!$A$6:$A$59,0))</f>
        <v>46353</v>
      </c>
      <c r="T1095" s="53" t="s">
        <v>463</v>
      </c>
    </row>
    <row r="1096" customFormat="false" ht="15" hidden="false" customHeight="false" outlineLevel="0" collapsed="false">
      <c r="A1096" s="31" t="s">
        <v>3002</v>
      </c>
      <c r="B1096" s="31" t="s">
        <v>404</v>
      </c>
      <c r="C1096" s="31" t="s">
        <v>405</v>
      </c>
      <c r="D1096" s="31" t="s">
        <v>406</v>
      </c>
      <c r="E1096" s="31" t="s">
        <v>3003</v>
      </c>
      <c r="F1096" s="31" t="s">
        <v>481</v>
      </c>
      <c r="G1096" s="31" t="s">
        <v>466</v>
      </c>
      <c r="H1096" s="31" t="s">
        <v>41</v>
      </c>
      <c r="I1096" s="31" t="n">
        <f aca="false">VLOOKUP(H1096,Paramètres!$A$15:$B$19,2,FALSE())</f>
        <v>1</v>
      </c>
      <c r="J1096" s="31" t="n">
        <v>0</v>
      </c>
      <c r="K1096" s="50" t="str">
        <f aca="false">C1096&amp;"|"&amp;J1096</f>
        <v>ADM-FND|0</v>
      </c>
      <c r="L1096" s="31"/>
      <c r="M1096" s="31" t="n">
        <v>0</v>
      </c>
      <c r="N1096" s="51" t="s">
        <v>462</v>
      </c>
      <c r="O1096" s="35" t="s">
        <v>78</v>
      </c>
      <c r="P1096" s="52"/>
      <c r="Q1096" s="52"/>
      <c r="R1096" s="33" t="n">
        <f aca="false">INDEX(Épopées!$L$6:$L$59,MATCH(K1096,Épopées!$A$6:$A$59,0))</f>
        <v>46328</v>
      </c>
      <c r="S1096" s="33" t="n">
        <f aca="false">INDEX(Épopées!$M$6:$M$59,MATCH(K1096,Épopées!$A$6:$A$59,0))</f>
        <v>46353</v>
      </c>
      <c r="T1096" s="53" t="s">
        <v>463</v>
      </c>
    </row>
    <row r="1097" customFormat="false" ht="15" hidden="false" customHeight="false" outlineLevel="0" collapsed="false">
      <c r="A1097" s="31" t="s">
        <v>3004</v>
      </c>
      <c r="B1097" s="31" t="s">
        <v>404</v>
      </c>
      <c r="C1097" s="31" t="s">
        <v>405</v>
      </c>
      <c r="D1097" s="31" t="s">
        <v>406</v>
      </c>
      <c r="E1097" s="31" t="s">
        <v>3005</v>
      </c>
      <c r="F1097" s="31" t="s">
        <v>481</v>
      </c>
      <c r="G1097" s="31" t="s">
        <v>461</v>
      </c>
      <c r="H1097" s="31" t="s">
        <v>41</v>
      </c>
      <c r="I1097" s="31" t="n">
        <f aca="false">VLOOKUP(H1097,Paramètres!$A$15:$B$19,2,FALSE())</f>
        <v>1</v>
      </c>
      <c r="J1097" s="31" t="n">
        <v>0</v>
      </c>
      <c r="K1097" s="50" t="str">
        <f aca="false">C1097&amp;"|"&amp;J1097</f>
        <v>ADM-FND|0</v>
      </c>
      <c r="L1097" s="31"/>
      <c r="M1097" s="31" t="n">
        <v>0</v>
      </c>
      <c r="N1097" s="51" t="s">
        <v>462</v>
      </c>
      <c r="O1097" s="35" t="s">
        <v>78</v>
      </c>
      <c r="P1097" s="52"/>
      <c r="Q1097" s="52"/>
      <c r="R1097" s="33" t="n">
        <f aca="false">INDEX(Épopées!$L$6:$L$59,MATCH(K1097,Épopées!$A$6:$A$59,0))</f>
        <v>46328</v>
      </c>
      <c r="S1097" s="33" t="n">
        <f aca="false">INDEX(Épopées!$M$6:$M$59,MATCH(K1097,Épopées!$A$6:$A$59,0))</f>
        <v>46353</v>
      </c>
      <c r="T1097" s="53" t="s">
        <v>463</v>
      </c>
    </row>
    <row r="1098" customFormat="false" ht="15" hidden="false" customHeight="false" outlineLevel="0" collapsed="false">
      <c r="A1098" s="31" t="s">
        <v>3006</v>
      </c>
      <c r="B1098" s="31" t="s">
        <v>404</v>
      </c>
      <c r="C1098" s="31" t="s">
        <v>405</v>
      </c>
      <c r="D1098" s="31" t="s">
        <v>406</v>
      </c>
      <c r="E1098" s="31" t="s">
        <v>3007</v>
      </c>
      <c r="F1098" s="31" t="s">
        <v>469</v>
      </c>
      <c r="G1098" s="31" t="s">
        <v>466</v>
      </c>
      <c r="H1098" s="31" t="s">
        <v>41</v>
      </c>
      <c r="I1098" s="31" t="n">
        <f aca="false">VLOOKUP(H1098,Paramètres!$A$15:$B$19,2,FALSE())</f>
        <v>1</v>
      </c>
      <c r="J1098" s="31" t="n">
        <v>0</v>
      </c>
      <c r="K1098" s="50" t="str">
        <f aca="false">C1098&amp;"|"&amp;J1098</f>
        <v>ADM-FND|0</v>
      </c>
      <c r="L1098" s="31"/>
      <c r="M1098" s="31" t="n">
        <v>0</v>
      </c>
      <c r="N1098" s="51" t="s">
        <v>462</v>
      </c>
      <c r="O1098" s="35" t="s">
        <v>78</v>
      </c>
      <c r="P1098" s="52"/>
      <c r="Q1098" s="52"/>
      <c r="R1098" s="33" t="n">
        <f aca="false">INDEX(Épopées!$L$6:$L$59,MATCH(K1098,Épopées!$A$6:$A$59,0))</f>
        <v>46328</v>
      </c>
      <c r="S1098" s="33" t="n">
        <f aca="false">INDEX(Épopées!$M$6:$M$59,MATCH(K1098,Épopées!$A$6:$A$59,0))</f>
        <v>46353</v>
      </c>
      <c r="T1098" s="53" t="s">
        <v>463</v>
      </c>
    </row>
    <row r="1099" customFormat="false" ht="15" hidden="false" customHeight="false" outlineLevel="0" collapsed="false">
      <c r="A1099" s="31" t="s">
        <v>3008</v>
      </c>
      <c r="B1099" s="31" t="s">
        <v>404</v>
      </c>
      <c r="C1099" s="31" t="s">
        <v>405</v>
      </c>
      <c r="D1099" s="31" t="s">
        <v>406</v>
      </c>
      <c r="E1099" s="31" t="s">
        <v>3009</v>
      </c>
      <c r="F1099" s="31" t="s">
        <v>481</v>
      </c>
      <c r="G1099" s="31" t="s">
        <v>466</v>
      </c>
      <c r="H1099" s="31" t="s">
        <v>43</v>
      </c>
      <c r="I1099" s="31" t="n">
        <f aca="false">VLOOKUP(H1099,Paramètres!$A$15:$B$19,2,FALSE())</f>
        <v>2</v>
      </c>
      <c r="J1099" s="31" t="n">
        <v>0</v>
      </c>
      <c r="K1099" s="50" t="str">
        <f aca="false">C1099&amp;"|"&amp;J1099</f>
        <v>ADM-FND|0</v>
      </c>
      <c r="L1099" s="31"/>
      <c r="M1099" s="31" t="n">
        <v>0</v>
      </c>
      <c r="N1099" s="51" t="s">
        <v>462</v>
      </c>
      <c r="O1099" s="35" t="s">
        <v>78</v>
      </c>
      <c r="P1099" s="52"/>
      <c r="Q1099" s="52"/>
      <c r="R1099" s="33" t="n">
        <f aca="false">INDEX(Épopées!$L$6:$L$59,MATCH(K1099,Épopées!$A$6:$A$59,0))</f>
        <v>46328</v>
      </c>
      <c r="S1099" s="33" t="n">
        <f aca="false">INDEX(Épopées!$M$6:$M$59,MATCH(K1099,Épopées!$A$6:$A$59,0))</f>
        <v>46353</v>
      </c>
      <c r="T1099" s="53" t="s">
        <v>463</v>
      </c>
    </row>
    <row r="1100" customFormat="false" ht="15" hidden="false" customHeight="false" outlineLevel="0" collapsed="false">
      <c r="A1100" s="31" t="s">
        <v>3010</v>
      </c>
      <c r="B1100" s="31" t="s">
        <v>404</v>
      </c>
      <c r="C1100" s="31" t="s">
        <v>405</v>
      </c>
      <c r="D1100" s="31" t="s">
        <v>406</v>
      </c>
      <c r="E1100" s="31" t="s">
        <v>3011</v>
      </c>
      <c r="F1100" s="31" t="s">
        <v>548</v>
      </c>
      <c r="G1100" s="31" t="s">
        <v>466</v>
      </c>
      <c r="H1100" s="31" t="s">
        <v>41</v>
      </c>
      <c r="I1100" s="31" t="n">
        <f aca="false">VLOOKUP(H1100,Paramètres!$A$15:$B$19,2,FALSE())</f>
        <v>1</v>
      </c>
      <c r="J1100" s="31" t="n">
        <v>0</v>
      </c>
      <c r="K1100" s="50" t="str">
        <f aca="false">C1100&amp;"|"&amp;J1100</f>
        <v>ADM-FND|0</v>
      </c>
      <c r="L1100" s="31"/>
      <c r="M1100" s="31" t="n">
        <v>0</v>
      </c>
      <c r="N1100" s="51" t="s">
        <v>462</v>
      </c>
      <c r="O1100" s="35" t="s">
        <v>78</v>
      </c>
      <c r="P1100" s="52"/>
      <c r="Q1100" s="52"/>
      <c r="R1100" s="33" t="n">
        <f aca="false">INDEX(Épopées!$L$6:$L$59,MATCH(K1100,Épopées!$A$6:$A$59,0))</f>
        <v>46328</v>
      </c>
      <c r="S1100" s="33" t="n">
        <f aca="false">INDEX(Épopées!$M$6:$M$59,MATCH(K1100,Épopées!$A$6:$A$59,0))</f>
        <v>46353</v>
      </c>
      <c r="T1100" s="53" t="s">
        <v>463</v>
      </c>
    </row>
    <row r="1101" customFormat="false" ht="15" hidden="false" customHeight="false" outlineLevel="0" collapsed="false">
      <c r="A1101" s="31" t="s">
        <v>3012</v>
      </c>
      <c r="B1101" s="31" t="s">
        <v>404</v>
      </c>
      <c r="C1101" s="31" t="s">
        <v>408</v>
      </c>
      <c r="D1101" s="31" t="s">
        <v>409</v>
      </c>
      <c r="E1101" s="31" t="s">
        <v>3013</v>
      </c>
      <c r="F1101" s="31" t="s">
        <v>1863</v>
      </c>
      <c r="G1101" s="31" t="s">
        <v>461</v>
      </c>
      <c r="H1101" s="31" t="s">
        <v>41</v>
      </c>
      <c r="I1101" s="31" t="n">
        <f aca="false">VLOOKUP(H1101,Paramètres!$A$15:$B$19,2,FALSE())</f>
        <v>1</v>
      </c>
      <c r="J1101" s="31" t="n">
        <v>0</v>
      </c>
      <c r="K1101" s="50" t="str">
        <f aca="false">C1101&amp;"|"&amp;J1101</f>
        <v>ADM-ADS|0</v>
      </c>
      <c r="L1101" s="31"/>
      <c r="M1101" s="31" t="n">
        <v>1</v>
      </c>
      <c r="N1101" s="51" t="s">
        <v>462</v>
      </c>
      <c r="O1101" s="35" t="s">
        <v>78</v>
      </c>
      <c r="P1101" s="52"/>
      <c r="Q1101" s="52"/>
      <c r="R1101" s="33" t="n">
        <f aca="false">INDEX(Épopées!$L$6:$L$59,MATCH(K1101,Épopées!$A$6:$A$59,0))</f>
        <v>46356</v>
      </c>
      <c r="S1101" s="33" t="n">
        <f aca="false">INDEX(Épopées!$M$6:$M$59,MATCH(K1101,Épopées!$A$6:$A$59,0))</f>
        <v>46387</v>
      </c>
      <c r="T1101" s="53" t="s">
        <v>463</v>
      </c>
    </row>
    <row r="1102" customFormat="false" ht="15" hidden="false" customHeight="false" outlineLevel="0" collapsed="false">
      <c r="A1102" s="31" t="s">
        <v>3014</v>
      </c>
      <c r="B1102" s="31" t="s">
        <v>404</v>
      </c>
      <c r="C1102" s="31" t="s">
        <v>408</v>
      </c>
      <c r="D1102" s="31" t="s">
        <v>409</v>
      </c>
      <c r="E1102" s="31" t="s">
        <v>3015</v>
      </c>
      <c r="F1102" s="31" t="s">
        <v>1863</v>
      </c>
      <c r="G1102" s="31" t="s">
        <v>461</v>
      </c>
      <c r="H1102" s="31" t="s">
        <v>39</v>
      </c>
      <c r="I1102" s="31" t="n">
        <f aca="false">VLOOKUP(H1102,Paramètres!$A$15:$B$19,2,FALSE())</f>
        <v>0.5</v>
      </c>
      <c r="J1102" s="31" t="n">
        <v>0</v>
      </c>
      <c r="K1102" s="50" t="str">
        <f aca="false">C1102&amp;"|"&amp;J1102</f>
        <v>ADM-ADS|0</v>
      </c>
      <c r="L1102" s="31"/>
      <c r="M1102" s="31" t="n">
        <v>1</v>
      </c>
      <c r="N1102" s="51" t="s">
        <v>462</v>
      </c>
      <c r="O1102" s="35" t="s">
        <v>78</v>
      </c>
      <c r="P1102" s="52"/>
      <c r="Q1102" s="52"/>
      <c r="R1102" s="33" t="n">
        <f aca="false">INDEX(Épopées!$L$6:$L$59,MATCH(K1102,Épopées!$A$6:$A$59,0))</f>
        <v>46356</v>
      </c>
      <c r="S1102" s="33" t="n">
        <f aca="false">INDEX(Épopées!$M$6:$M$59,MATCH(K1102,Épopées!$A$6:$A$59,0))</f>
        <v>46387</v>
      </c>
      <c r="T1102" s="53" t="s">
        <v>463</v>
      </c>
    </row>
    <row r="1103" customFormat="false" ht="15" hidden="false" customHeight="false" outlineLevel="0" collapsed="false">
      <c r="A1103" s="31" t="s">
        <v>3016</v>
      </c>
      <c r="B1103" s="31" t="s">
        <v>404</v>
      </c>
      <c r="C1103" s="31" t="s">
        <v>408</v>
      </c>
      <c r="D1103" s="31" t="s">
        <v>409</v>
      </c>
      <c r="E1103" s="31" t="s">
        <v>3017</v>
      </c>
      <c r="F1103" s="31" t="s">
        <v>1863</v>
      </c>
      <c r="G1103" s="31" t="s">
        <v>461</v>
      </c>
      <c r="H1103" s="31" t="s">
        <v>39</v>
      </c>
      <c r="I1103" s="31" t="n">
        <f aca="false">VLOOKUP(H1103,Paramètres!$A$15:$B$19,2,FALSE())</f>
        <v>0.5</v>
      </c>
      <c r="J1103" s="31" t="n">
        <v>0</v>
      </c>
      <c r="K1103" s="50" t="str">
        <f aca="false">C1103&amp;"|"&amp;J1103</f>
        <v>ADM-ADS|0</v>
      </c>
      <c r="L1103" s="31"/>
      <c r="M1103" s="31" t="n">
        <v>1</v>
      </c>
      <c r="N1103" s="51" t="s">
        <v>462</v>
      </c>
      <c r="O1103" s="35" t="s">
        <v>78</v>
      </c>
      <c r="P1103" s="52"/>
      <c r="Q1103" s="52"/>
      <c r="R1103" s="33" t="n">
        <f aca="false">INDEX(Épopées!$L$6:$L$59,MATCH(K1103,Épopées!$A$6:$A$59,0))</f>
        <v>46356</v>
      </c>
      <c r="S1103" s="33" t="n">
        <f aca="false">INDEX(Épopées!$M$6:$M$59,MATCH(K1103,Épopées!$A$6:$A$59,0))</f>
        <v>46387</v>
      </c>
      <c r="T1103" s="53" t="s">
        <v>463</v>
      </c>
    </row>
    <row r="1104" customFormat="false" ht="15" hidden="false" customHeight="false" outlineLevel="0" collapsed="false">
      <c r="A1104" s="31" t="s">
        <v>3018</v>
      </c>
      <c r="B1104" s="31" t="s">
        <v>404</v>
      </c>
      <c r="C1104" s="31" t="s">
        <v>408</v>
      </c>
      <c r="D1104" s="31" t="s">
        <v>409</v>
      </c>
      <c r="E1104" s="31" t="s">
        <v>3019</v>
      </c>
      <c r="F1104" s="31" t="s">
        <v>1863</v>
      </c>
      <c r="G1104" s="31" t="s">
        <v>466</v>
      </c>
      <c r="H1104" s="31" t="s">
        <v>39</v>
      </c>
      <c r="I1104" s="31" t="n">
        <f aca="false">VLOOKUP(H1104,Paramètres!$A$15:$B$19,2,FALSE())</f>
        <v>0.5</v>
      </c>
      <c r="J1104" s="31" t="n">
        <v>0</v>
      </c>
      <c r="K1104" s="50" t="str">
        <f aca="false">C1104&amp;"|"&amp;J1104</f>
        <v>ADM-ADS|0</v>
      </c>
      <c r="L1104" s="31"/>
      <c r="M1104" s="31" t="n">
        <v>1</v>
      </c>
      <c r="N1104" s="51" t="s">
        <v>462</v>
      </c>
      <c r="O1104" s="35" t="s">
        <v>78</v>
      </c>
      <c r="P1104" s="52"/>
      <c r="Q1104" s="52"/>
      <c r="R1104" s="33" t="n">
        <f aca="false">INDEX(Épopées!$L$6:$L$59,MATCH(K1104,Épopées!$A$6:$A$59,0))</f>
        <v>46356</v>
      </c>
      <c r="S1104" s="33" t="n">
        <f aca="false">INDEX(Épopées!$M$6:$M$59,MATCH(K1104,Épopées!$A$6:$A$59,0))</f>
        <v>46387</v>
      </c>
      <c r="T1104" s="53" t="s">
        <v>463</v>
      </c>
    </row>
    <row r="1105" customFormat="false" ht="15" hidden="false" customHeight="false" outlineLevel="0" collapsed="false">
      <c r="A1105" s="31" t="s">
        <v>3020</v>
      </c>
      <c r="B1105" s="31" t="s">
        <v>404</v>
      </c>
      <c r="C1105" s="31" t="s">
        <v>408</v>
      </c>
      <c r="D1105" s="31" t="s">
        <v>409</v>
      </c>
      <c r="E1105" s="31" t="s">
        <v>3021</v>
      </c>
      <c r="F1105" s="31" t="s">
        <v>1863</v>
      </c>
      <c r="G1105" s="31" t="s">
        <v>466</v>
      </c>
      <c r="H1105" s="31" t="s">
        <v>39</v>
      </c>
      <c r="I1105" s="31" t="n">
        <f aca="false">VLOOKUP(H1105,Paramètres!$A$15:$B$19,2,FALSE())</f>
        <v>0.5</v>
      </c>
      <c r="J1105" s="31" t="n">
        <v>0</v>
      </c>
      <c r="K1105" s="50" t="str">
        <f aca="false">C1105&amp;"|"&amp;J1105</f>
        <v>ADM-ADS|0</v>
      </c>
      <c r="L1105" s="31"/>
      <c r="M1105" s="31" t="n">
        <v>1</v>
      </c>
      <c r="N1105" s="51" t="s">
        <v>462</v>
      </c>
      <c r="O1105" s="35" t="s">
        <v>78</v>
      </c>
      <c r="P1105" s="52"/>
      <c r="Q1105" s="52"/>
      <c r="R1105" s="33" t="n">
        <f aca="false">INDEX(Épopées!$L$6:$L$59,MATCH(K1105,Épopées!$A$6:$A$59,0))</f>
        <v>46356</v>
      </c>
      <c r="S1105" s="33" t="n">
        <f aca="false">INDEX(Épopées!$M$6:$M$59,MATCH(K1105,Épopées!$A$6:$A$59,0))</f>
        <v>46387</v>
      </c>
      <c r="T1105" s="53" t="s">
        <v>463</v>
      </c>
    </row>
    <row r="1106" customFormat="false" ht="15" hidden="false" customHeight="false" outlineLevel="0" collapsed="false">
      <c r="A1106" s="31" t="s">
        <v>3022</v>
      </c>
      <c r="B1106" s="31" t="s">
        <v>404</v>
      </c>
      <c r="C1106" s="31" t="s">
        <v>408</v>
      </c>
      <c r="D1106" s="31" t="s">
        <v>409</v>
      </c>
      <c r="E1106" s="31" t="s">
        <v>3023</v>
      </c>
      <c r="F1106" s="31" t="s">
        <v>1863</v>
      </c>
      <c r="G1106" s="31" t="s">
        <v>461</v>
      </c>
      <c r="H1106" s="31" t="s">
        <v>41</v>
      </c>
      <c r="I1106" s="31" t="n">
        <f aca="false">VLOOKUP(H1106,Paramètres!$A$15:$B$19,2,FALSE())</f>
        <v>1</v>
      </c>
      <c r="J1106" s="31" t="n">
        <v>0</v>
      </c>
      <c r="K1106" s="50" t="str">
        <f aca="false">C1106&amp;"|"&amp;J1106</f>
        <v>ADM-ADS|0</v>
      </c>
      <c r="L1106" s="31" t="s">
        <v>3024</v>
      </c>
      <c r="M1106" s="31" t="n">
        <v>1</v>
      </c>
      <c r="N1106" s="51" t="s">
        <v>462</v>
      </c>
      <c r="O1106" s="35" t="s">
        <v>78</v>
      </c>
      <c r="P1106" s="52"/>
      <c r="Q1106" s="52"/>
      <c r="R1106" s="33" t="n">
        <f aca="false">INDEX(Épopées!$L$6:$L$59,MATCH(K1106,Épopées!$A$6:$A$59,0))</f>
        <v>46356</v>
      </c>
      <c r="S1106" s="33" t="n">
        <f aca="false">INDEX(Épopées!$M$6:$M$59,MATCH(K1106,Épopées!$A$6:$A$59,0))</f>
        <v>46387</v>
      </c>
      <c r="T1106" s="53" t="s">
        <v>463</v>
      </c>
    </row>
    <row r="1107" customFormat="false" ht="15" hidden="false" customHeight="false" outlineLevel="0" collapsed="false">
      <c r="A1107" s="31" t="s">
        <v>3025</v>
      </c>
      <c r="B1107" s="31" t="s">
        <v>404</v>
      </c>
      <c r="C1107" s="31" t="s">
        <v>408</v>
      </c>
      <c r="D1107" s="31" t="s">
        <v>409</v>
      </c>
      <c r="E1107" s="31" t="s">
        <v>3026</v>
      </c>
      <c r="F1107" s="31" t="s">
        <v>1863</v>
      </c>
      <c r="G1107" s="31" t="s">
        <v>461</v>
      </c>
      <c r="H1107" s="31" t="s">
        <v>41</v>
      </c>
      <c r="I1107" s="31" t="n">
        <f aca="false">VLOOKUP(H1107,Paramètres!$A$15:$B$19,2,FALSE())</f>
        <v>1</v>
      </c>
      <c r="J1107" s="31" t="n">
        <v>0</v>
      </c>
      <c r="K1107" s="50" t="str">
        <f aca="false">C1107&amp;"|"&amp;J1107</f>
        <v>ADM-ADS|0</v>
      </c>
      <c r="L1107" s="31" t="s">
        <v>3012</v>
      </c>
      <c r="M1107" s="31" t="n">
        <v>1</v>
      </c>
      <c r="N1107" s="51" t="s">
        <v>462</v>
      </c>
      <c r="O1107" s="35" t="s">
        <v>78</v>
      </c>
      <c r="P1107" s="52"/>
      <c r="Q1107" s="52"/>
      <c r="R1107" s="33" t="n">
        <f aca="false">INDEX(Épopées!$L$6:$L$59,MATCH(K1107,Épopées!$A$6:$A$59,0))</f>
        <v>46356</v>
      </c>
      <c r="S1107" s="33" t="n">
        <f aca="false">INDEX(Épopées!$M$6:$M$59,MATCH(K1107,Épopées!$A$6:$A$59,0))</f>
        <v>46387</v>
      </c>
      <c r="T1107" s="53" t="s">
        <v>463</v>
      </c>
    </row>
    <row r="1108" customFormat="false" ht="15" hidden="false" customHeight="false" outlineLevel="0" collapsed="false">
      <c r="A1108" s="31" t="s">
        <v>3027</v>
      </c>
      <c r="B1108" s="31" t="s">
        <v>404</v>
      </c>
      <c r="C1108" s="31" t="s">
        <v>408</v>
      </c>
      <c r="D1108" s="31" t="s">
        <v>409</v>
      </c>
      <c r="E1108" s="31" t="s">
        <v>3028</v>
      </c>
      <c r="F1108" s="31" t="s">
        <v>1863</v>
      </c>
      <c r="G1108" s="31" t="s">
        <v>461</v>
      </c>
      <c r="H1108" s="31" t="s">
        <v>41</v>
      </c>
      <c r="I1108" s="31" t="n">
        <f aca="false">VLOOKUP(H1108,Paramètres!$A$15:$B$19,2,FALSE())</f>
        <v>1</v>
      </c>
      <c r="J1108" s="31" t="n">
        <v>0</v>
      </c>
      <c r="K1108" s="50" t="str">
        <f aca="false">C1108&amp;"|"&amp;J1108</f>
        <v>ADM-ADS|0</v>
      </c>
      <c r="L1108" s="31" t="s">
        <v>3025</v>
      </c>
      <c r="M1108" s="31" t="n">
        <v>2</v>
      </c>
      <c r="N1108" s="51" t="s">
        <v>462</v>
      </c>
      <c r="O1108" s="35" t="s">
        <v>78</v>
      </c>
      <c r="P1108" s="52"/>
      <c r="Q1108" s="52"/>
      <c r="R1108" s="33" t="n">
        <f aca="false">INDEX(Épopées!$L$6:$L$59,MATCH(K1108,Épopées!$A$6:$A$59,0))</f>
        <v>46356</v>
      </c>
      <c r="S1108" s="33" t="n">
        <f aca="false">INDEX(Épopées!$M$6:$M$59,MATCH(K1108,Épopées!$A$6:$A$59,0))</f>
        <v>46387</v>
      </c>
      <c r="T1108" s="53" t="s">
        <v>463</v>
      </c>
    </row>
    <row r="1109" customFormat="false" ht="15" hidden="false" customHeight="false" outlineLevel="0" collapsed="false">
      <c r="A1109" s="31" t="s">
        <v>3029</v>
      </c>
      <c r="B1109" s="31" t="s">
        <v>404</v>
      </c>
      <c r="C1109" s="31" t="s">
        <v>408</v>
      </c>
      <c r="D1109" s="31" t="s">
        <v>409</v>
      </c>
      <c r="E1109" s="31" t="s">
        <v>3030</v>
      </c>
      <c r="F1109" s="31" t="s">
        <v>1863</v>
      </c>
      <c r="G1109" s="31" t="s">
        <v>461</v>
      </c>
      <c r="H1109" s="31" t="s">
        <v>43</v>
      </c>
      <c r="I1109" s="31" t="n">
        <f aca="false">VLOOKUP(H1109,Paramètres!$A$15:$B$19,2,FALSE())</f>
        <v>2</v>
      </c>
      <c r="J1109" s="31" t="n">
        <v>0</v>
      </c>
      <c r="K1109" s="50" t="str">
        <f aca="false">C1109&amp;"|"&amp;J1109</f>
        <v>ADM-ADS|0</v>
      </c>
      <c r="L1109" s="31" t="s">
        <v>3012</v>
      </c>
      <c r="M1109" s="31" t="n">
        <v>1</v>
      </c>
      <c r="N1109" s="51" t="s">
        <v>462</v>
      </c>
      <c r="O1109" s="35" t="s">
        <v>78</v>
      </c>
      <c r="P1109" s="52"/>
      <c r="Q1109" s="52"/>
      <c r="R1109" s="33" t="n">
        <f aca="false">INDEX(Épopées!$L$6:$L$59,MATCH(K1109,Épopées!$A$6:$A$59,0))</f>
        <v>46356</v>
      </c>
      <c r="S1109" s="33" t="n">
        <f aca="false">INDEX(Épopées!$M$6:$M$59,MATCH(K1109,Épopées!$A$6:$A$59,0))</f>
        <v>46387</v>
      </c>
      <c r="T1109" s="53" t="s">
        <v>463</v>
      </c>
    </row>
    <row r="1110" customFormat="false" ht="15" hidden="false" customHeight="false" outlineLevel="0" collapsed="false">
      <c r="A1110" s="31" t="s">
        <v>3031</v>
      </c>
      <c r="B1110" s="31" t="s">
        <v>404</v>
      </c>
      <c r="C1110" s="31" t="s">
        <v>408</v>
      </c>
      <c r="D1110" s="31" t="s">
        <v>409</v>
      </c>
      <c r="E1110" s="31" t="s">
        <v>3032</v>
      </c>
      <c r="F1110" s="31" t="s">
        <v>1863</v>
      </c>
      <c r="G1110" s="31" t="s">
        <v>461</v>
      </c>
      <c r="H1110" s="31" t="s">
        <v>41</v>
      </c>
      <c r="I1110" s="31" t="n">
        <f aca="false">VLOOKUP(H1110,Paramètres!$A$15:$B$19,2,FALSE())</f>
        <v>1</v>
      </c>
      <c r="J1110" s="31" t="n">
        <v>0</v>
      </c>
      <c r="K1110" s="50" t="str">
        <f aca="false">C1110&amp;"|"&amp;J1110</f>
        <v>ADM-ADS|0</v>
      </c>
      <c r="L1110" s="31" t="s">
        <v>3033</v>
      </c>
      <c r="M1110" s="31" t="n">
        <v>2</v>
      </c>
      <c r="N1110" s="51" t="s">
        <v>462</v>
      </c>
      <c r="O1110" s="35" t="s">
        <v>78</v>
      </c>
      <c r="P1110" s="52"/>
      <c r="Q1110" s="52"/>
      <c r="R1110" s="33" t="n">
        <f aca="false">INDEX(Épopées!$L$6:$L$59,MATCH(K1110,Épopées!$A$6:$A$59,0))</f>
        <v>46356</v>
      </c>
      <c r="S1110" s="33" t="n">
        <f aca="false">INDEX(Épopées!$M$6:$M$59,MATCH(K1110,Épopées!$A$6:$A$59,0))</f>
        <v>46387</v>
      </c>
      <c r="T1110" s="53" t="s">
        <v>463</v>
      </c>
    </row>
    <row r="1111" customFormat="false" ht="15" hidden="false" customHeight="false" outlineLevel="0" collapsed="false">
      <c r="A1111" s="31" t="s">
        <v>3034</v>
      </c>
      <c r="B1111" s="31" t="s">
        <v>404</v>
      </c>
      <c r="C1111" s="31" t="s">
        <v>408</v>
      </c>
      <c r="D1111" s="31" t="s">
        <v>409</v>
      </c>
      <c r="E1111" s="31" t="s">
        <v>3035</v>
      </c>
      <c r="F1111" s="31" t="s">
        <v>1863</v>
      </c>
      <c r="G1111" s="31" t="s">
        <v>466</v>
      </c>
      <c r="H1111" s="31" t="s">
        <v>41</v>
      </c>
      <c r="I1111" s="31" t="n">
        <f aca="false">VLOOKUP(H1111,Paramètres!$A$15:$B$19,2,FALSE())</f>
        <v>1</v>
      </c>
      <c r="J1111" s="31" t="n">
        <v>0</v>
      </c>
      <c r="K1111" s="50" t="str">
        <f aca="false">C1111&amp;"|"&amp;J1111</f>
        <v>ADM-ADS|0</v>
      </c>
      <c r="L1111" s="31" t="s">
        <v>3036</v>
      </c>
      <c r="M1111" s="31" t="n">
        <v>1</v>
      </c>
      <c r="N1111" s="51" t="s">
        <v>462</v>
      </c>
      <c r="O1111" s="35" t="s">
        <v>78</v>
      </c>
      <c r="P1111" s="52"/>
      <c r="Q1111" s="52"/>
      <c r="R1111" s="33" t="n">
        <f aca="false">INDEX(Épopées!$L$6:$L$59,MATCH(K1111,Épopées!$A$6:$A$59,0))</f>
        <v>46356</v>
      </c>
      <c r="S1111" s="33" t="n">
        <f aca="false">INDEX(Épopées!$M$6:$M$59,MATCH(K1111,Épopées!$A$6:$A$59,0))</f>
        <v>46387</v>
      </c>
      <c r="T1111" s="53" t="s">
        <v>463</v>
      </c>
    </row>
    <row r="1112" customFormat="false" ht="15" hidden="false" customHeight="false" outlineLevel="0" collapsed="false">
      <c r="A1112" s="31" t="s">
        <v>3037</v>
      </c>
      <c r="B1112" s="31" t="s">
        <v>404</v>
      </c>
      <c r="C1112" s="31" t="s">
        <v>408</v>
      </c>
      <c r="D1112" s="31" t="s">
        <v>409</v>
      </c>
      <c r="E1112" s="31" t="s">
        <v>3038</v>
      </c>
      <c r="F1112" s="31" t="s">
        <v>1863</v>
      </c>
      <c r="G1112" s="31" t="s">
        <v>461</v>
      </c>
      <c r="H1112" s="31" t="s">
        <v>39</v>
      </c>
      <c r="I1112" s="31" t="n">
        <f aca="false">VLOOKUP(H1112,Paramètres!$A$15:$B$19,2,FALSE())</f>
        <v>0.5</v>
      </c>
      <c r="J1112" s="31" t="n">
        <v>0</v>
      </c>
      <c r="K1112" s="50" t="str">
        <f aca="false">C1112&amp;"|"&amp;J1112</f>
        <v>ADM-ADS|0</v>
      </c>
      <c r="L1112" s="31" t="s">
        <v>3012</v>
      </c>
      <c r="M1112" s="31" t="n">
        <v>1</v>
      </c>
      <c r="N1112" s="51" t="s">
        <v>462</v>
      </c>
      <c r="O1112" s="35" t="s">
        <v>78</v>
      </c>
      <c r="P1112" s="52"/>
      <c r="Q1112" s="52"/>
      <c r="R1112" s="33" t="n">
        <f aca="false">INDEX(Épopées!$L$6:$L$59,MATCH(K1112,Épopées!$A$6:$A$59,0))</f>
        <v>46356</v>
      </c>
      <c r="S1112" s="33" t="n">
        <f aca="false">INDEX(Épopées!$M$6:$M$59,MATCH(K1112,Épopées!$A$6:$A$59,0))</f>
        <v>46387</v>
      </c>
      <c r="T1112" s="53" t="s">
        <v>463</v>
      </c>
    </row>
    <row r="1113" customFormat="false" ht="15" hidden="false" customHeight="false" outlineLevel="0" collapsed="false">
      <c r="A1113" s="31" t="s">
        <v>3039</v>
      </c>
      <c r="B1113" s="31" t="s">
        <v>404</v>
      </c>
      <c r="C1113" s="31" t="s">
        <v>408</v>
      </c>
      <c r="D1113" s="31" t="s">
        <v>409</v>
      </c>
      <c r="E1113" s="31" t="s">
        <v>3040</v>
      </c>
      <c r="F1113" s="31" t="s">
        <v>1863</v>
      </c>
      <c r="G1113" s="31" t="s">
        <v>466</v>
      </c>
      <c r="H1113" s="31" t="s">
        <v>39</v>
      </c>
      <c r="I1113" s="31" t="n">
        <f aca="false">VLOOKUP(H1113,Paramètres!$A$15:$B$19,2,FALSE())</f>
        <v>0.5</v>
      </c>
      <c r="J1113" s="31" t="n">
        <v>0</v>
      </c>
      <c r="K1113" s="50" t="str">
        <f aca="false">C1113&amp;"|"&amp;J1113</f>
        <v>ADM-ADS|0</v>
      </c>
      <c r="L1113" s="31" t="s">
        <v>3012</v>
      </c>
      <c r="M1113" s="31" t="n">
        <v>1</v>
      </c>
      <c r="N1113" s="51" t="s">
        <v>462</v>
      </c>
      <c r="O1113" s="35" t="s">
        <v>78</v>
      </c>
      <c r="P1113" s="52"/>
      <c r="Q1113" s="52"/>
      <c r="R1113" s="33" t="n">
        <f aca="false">INDEX(Épopées!$L$6:$L$59,MATCH(K1113,Épopées!$A$6:$A$59,0))</f>
        <v>46356</v>
      </c>
      <c r="S1113" s="33" t="n">
        <f aca="false">INDEX(Épopées!$M$6:$M$59,MATCH(K1113,Épopées!$A$6:$A$59,0))</f>
        <v>46387</v>
      </c>
      <c r="T1113" s="53" t="s">
        <v>463</v>
      </c>
    </row>
    <row r="1114" customFormat="false" ht="15" hidden="false" customHeight="false" outlineLevel="0" collapsed="false">
      <c r="A1114" s="31" t="s">
        <v>3041</v>
      </c>
      <c r="B1114" s="31" t="s">
        <v>404</v>
      </c>
      <c r="C1114" s="31" t="s">
        <v>408</v>
      </c>
      <c r="D1114" s="31" t="s">
        <v>409</v>
      </c>
      <c r="E1114" s="31" t="s">
        <v>3042</v>
      </c>
      <c r="F1114" s="31" t="s">
        <v>1863</v>
      </c>
      <c r="G1114" s="31" t="s">
        <v>461</v>
      </c>
      <c r="H1114" s="31" t="s">
        <v>41</v>
      </c>
      <c r="I1114" s="31" t="n">
        <f aca="false">VLOOKUP(H1114,Paramètres!$A$15:$B$19,2,FALSE())</f>
        <v>1</v>
      </c>
      <c r="J1114" s="31" t="n">
        <v>0</v>
      </c>
      <c r="K1114" s="50" t="str">
        <f aca="false">C1114&amp;"|"&amp;J1114</f>
        <v>ADM-ADS|0</v>
      </c>
      <c r="L1114" s="31" t="s">
        <v>3043</v>
      </c>
      <c r="M1114" s="31" t="n">
        <v>2</v>
      </c>
      <c r="N1114" s="51" t="s">
        <v>462</v>
      </c>
      <c r="O1114" s="35" t="s">
        <v>78</v>
      </c>
      <c r="P1114" s="52"/>
      <c r="Q1114" s="52"/>
      <c r="R1114" s="33" t="n">
        <f aca="false">INDEX(Épopées!$L$6:$L$59,MATCH(K1114,Épopées!$A$6:$A$59,0))</f>
        <v>46356</v>
      </c>
      <c r="S1114" s="33" t="n">
        <f aca="false">INDEX(Épopées!$M$6:$M$59,MATCH(K1114,Épopées!$A$6:$A$59,0))</f>
        <v>46387</v>
      </c>
      <c r="T1114" s="53" t="s">
        <v>463</v>
      </c>
    </row>
    <row r="1115" customFormat="false" ht="15" hidden="false" customHeight="false" outlineLevel="0" collapsed="false">
      <c r="A1115" s="31" t="s">
        <v>3044</v>
      </c>
      <c r="B1115" s="31" t="s">
        <v>404</v>
      </c>
      <c r="C1115" s="31" t="s">
        <v>408</v>
      </c>
      <c r="D1115" s="31" t="s">
        <v>409</v>
      </c>
      <c r="E1115" s="31" t="s">
        <v>3045</v>
      </c>
      <c r="F1115" s="31" t="s">
        <v>1863</v>
      </c>
      <c r="G1115" s="31" t="s">
        <v>461</v>
      </c>
      <c r="H1115" s="31" t="s">
        <v>43</v>
      </c>
      <c r="I1115" s="31" t="n">
        <f aca="false">VLOOKUP(H1115,Paramètres!$A$15:$B$19,2,FALSE())</f>
        <v>2</v>
      </c>
      <c r="J1115" s="31" t="n">
        <v>0</v>
      </c>
      <c r="K1115" s="50" t="str">
        <f aca="false">C1115&amp;"|"&amp;J1115</f>
        <v>ADM-ADS|0</v>
      </c>
      <c r="L1115" s="31" t="s">
        <v>3046</v>
      </c>
      <c r="M1115" s="31" t="n">
        <v>2</v>
      </c>
      <c r="N1115" s="51" t="s">
        <v>462</v>
      </c>
      <c r="O1115" s="35" t="s">
        <v>78</v>
      </c>
      <c r="P1115" s="52"/>
      <c r="Q1115" s="52"/>
      <c r="R1115" s="33" t="n">
        <f aca="false">INDEX(Épopées!$L$6:$L$59,MATCH(K1115,Épopées!$A$6:$A$59,0))</f>
        <v>46356</v>
      </c>
      <c r="S1115" s="33" t="n">
        <f aca="false">INDEX(Épopées!$M$6:$M$59,MATCH(K1115,Épopées!$A$6:$A$59,0))</f>
        <v>46387</v>
      </c>
      <c r="T1115" s="53" t="s">
        <v>463</v>
      </c>
    </row>
    <row r="1116" customFormat="false" ht="15" hidden="false" customHeight="false" outlineLevel="0" collapsed="false">
      <c r="A1116" s="31" t="s">
        <v>3047</v>
      </c>
      <c r="B1116" s="31" t="s">
        <v>404</v>
      </c>
      <c r="C1116" s="31" t="s">
        <v>408</v>
      </c>
      <c r="D1116" s="31" t="s">
        <v>409</v>
      </c>
      <c r="E1116" s="31" t="s">
        <v>3048</v>
      </c>
      <c r="F1116" s="31" t="s">
        <v>1863</v>
      </c>
      <c r="G1116" s="31" t="s">
        <v>461</v>
      </c>
      <c r="H1116" s="31" t="s">
        <v>41</v>
      </c>
      <c r="I1116" s="31" t="n">
        <f aca="false">VLOOKUP(H1116,Paramètres!$A$15:$B$19,2,FALSE())</f>
        <v>1</v>
      </c>
      <c r="J1116" s="31" t="n">
        <v>0</v>
      </c>
      <c r="K1116" s="50" t="str">
        <f aca="false">C1116&amp;"|"&amp;J1116</f>
        <v>ADM-ADS|0</v>
      </c>
      <c r="L1116" s="31" t="s">
        <v>3049</v>
      </c>
      <c r="M1116" s="31" t="n">
        <v>2</v>
      </c>
      <c r="N1116" s="51" t="s">
        <v>462</v>
      </c>
      <c r="O1116" s="35" t="s">
        <v>78</v>
      </c>
      <c r="P1116" s="52"/>
      <c r="Q1116" s="52"/>
      <c r="R1116" s="33" t="n">
        <f aca="false">INDEX(Épopées!$L$6:$L$59,MATCH(K1116,Épopées!$A$6:$A$59,0))</f>
        <v>46356</v>
      </c>
      <c r="S1116" s="33" t="n">
        <f aca="false">INDEX(Épopées!$M$6:$M$59,MATCH(K1116,Épopées!$A$6:$A$59,0))</f>
        <v>46387</v>
      </c>
      <c r="T1116" s="53" t="s">
        <v>463</v>
      </c>
    </row>
    <row r="1117" customFormat="false" ht="15" hidden="false" customHeight="false" outlineLevel="0" collapsed="false">
      <c r="A1117" s="31" t="s">
        <v>3050</v>
      </c>
      <c r="B1117" s="31" t="s">
        <v>404</v>
      </c>
      <c r="C1117" s="31" t="s">
        <v>408</v>
      </c>
      <c r="D1117" s="31" t="s">
        <v>409</v>
      </c>
      <c r="E1117" s="31" t="s">
        <v>3051</v>
      </c>
      <c r="F1117" s="31" t="s">
        <v>1863</v>
      </c>
      <c r="G1117" s="31" t="s">
        <v>461</v>
      </c>
      <c r="H1117" s="31" t="s">
        <v>39</v>
      </c>
      <c r="I1117" s="31" t="n">
        <f aca="false">VLOOKUP(H1117,Paramètres!$A$15:$B$19,2,FALSE())</f>
        <v>0.5</v>
      </c>
      <c r="J1117" s="31" t="n">
        <v>0</v>
      </c>
      <c r="K1117" s="50" t="str">
        <f aca="false">C1117&amp;"|"&amp;J1117</f>
        <v>ADM-ADS|0</v>
      </c>
      <c r="L1117" s="31" t="s">
        <v>3012</v>
      </c>
      <c r="M1117" s="31" t="n">
        <v>1</v>
      </c>
      <c r="N1117" s="51" t="s">
        <v>462</v>
      </c>
      <c r="O1117" s="35" t="s">
        <v>78</v>
      </c>
      <c r="P1117" s="52"/>
      <c r="Q1117" s="52"/>
      <c r="R1117" s="33" t="n">
        <f aca="false">INDEX(Épopées!$L$6:$L$59,MATCH(K1117,Épopées!$A$6:$A$59,0))</f>
        <v>46356</v>
      </c>
      <c r="S1117" s="33" t="n">
        <f aca="false">INDEX(Épopées!$M$6:$M$59,MATCH(K1117,Épopées!$A$6:$A$59,0))</f>
        <v>46387</v>
      </c>
      <c r="T1117" s="53" t="s">
        <v>463</v>
      </c>
    </row>
    <row r="1118" customFormat="false" ht="15" hidden="false" customHeight="false" outlineLevel="0" collapsed="false">
      <c r="A1118" s="31" t="s">
        <v>3052</v>
      </c>
      <c r="B1118" s="31" t="s">
        <v>404</v>
      </c>
      <c r="C1118" s="31" t="s">
        <v>408</v>
      </c>
      <c r="D1118" s="31" t="s">
        <v>409</v>
      </c>
      <c r="E1118" s="31" t="s">
        <v>3053</v>
      </c>
      <c r="F1118" s="31" t="s">
        <v>1863</v>
      </c>
      <c r="G1118" s="31" t="s">
        <v>466</v>
      </c>
      <c r="H1118" s="31" t="s">
        <v>39</v>
      </c>
      <c r="I1118" s="31" t="n">
        <f aca="false">VLOOKUP(H1118,Paramètres!$A$15:$B$19,2,FALSE())</f>
        <v>0.5</v>
      </c>
      <c r="J1118" s="31" t="n">
        <v>0</v>
      </c>
      <c r="K1118" s="50" t="str">
        <f aca="false">C1118&amp;"|"&amp;J1118</f>
        <v>ADM-ADS|0</v>
      </c>
      <c r="L1118" s="31" t="s">
        <v>3022</v>
      </c>
      <c r="M1118" s="31" t="n">
        <v>1</v>
      </c>
      <c r="N1118" s="51" t="s">
        <v>462</v>
      </c>
      <c r="O1118" s="35" t="s">
        <v>78</v>
      </c>
      <c r="P1118" s="52"/>
      <c r="Q1118" s="52"/>
      <c r="R1118" s="33" t="n">
        <f aca="false">INDEX(Épopées!$L$6:$L$59,MATCH(K1118,Épopées!$A$6:$A$59,0))</f>
        <v>46356</v>
      </c>
      <c r="S1118" s="33" t="n">
        <f aca="false">INDEX(Épopées!$M$6:$M$59,MATCH(K1118,Épopées!$A$6:$A$59,0))</f>
        <v>46387</v>
      </c>
      <c r="T1118" s="53" t="s">
        <v>463</v>
      </c>
    </row>
    <row r="1119" customFormat="false" ht="15" hidden="false" customHeight="false" outlineLevel="0" collapsed="false">
      <c r="A1119" s="31" t="s">
        <v>3054</v>
      </c>
      <c r="B1119" s="31" t="s">
        <v>404</v>
      </c>
      <c r="C1119" s="31" t="s">
        <v>408</v>
      </c>
      <c r="D1119" s="31" t="s">
        <v>409</v>
      </c>
      <c r="E1119" s="31" t="s">
        <v>3055</v>
      </c>
      <c r="F1119" s="31" t="s">
        <v>1863</v>
      </c>
      <c r="G1119" s="31" t="s">
        <v>461</v>
      </c>
      <c r="H1119" s="31" t="s">
        <v>39</v>
      </c>
      <c r="I1119" s="31" t="n">
        <f aca="false">VLOOKUP(H1119,Paramètres!$A$15:$B$19,2,FALSE())</f>
        <v>0.5</v>
      </c>
      <c r="J1119" s="31" t="n">
        <v>0</v>
      </c>
      <c r="K1119" s="50" t="str">
        <f aca="false">C1119&amp;"|"&amp;J1119</f>
        <v>ADM-ADS|0</v>
      </c>
      <c r="L1119" s="31" t="s">
        <v>3033</v>
      </c>
      <c r="M1119" s="31" t="n">
        <v>1</v>
      </c>
      <c r="N1119" s="51" t="s">
        <v>462</v>
      </c>
      <c r="O1119" s="35" t="s">
        <v>78</v>
      </c>
      <c r="P1119" s="52"/>
      <c r="Q1119" s="52"/>
      <c r="R1119" s="33" t="n">
        <f aca="false">INDEX(Épopées!$L$6:$L$59,MATCH(K1119,Épopées!$A$6:$A$59,0))</f>
        <v>46356</v>
      </c>
      <c r="S1119" s="33" t="n">
        <f aca="false">INDEX(Épopées!$M$6:$M$59,MATCH(K1119,Épopées!$A$6:$A$59,0))</f>
        <v>46387</v>
      </c>
      <c r="T1119" s="53" t="s">
        <v>463</v>
      </c>
    </row>
    <row r="1120" customFormat="false" ht="15" hidden="false" customHeight="false" outlineLevel="0" collapsed="false">
      <c r="A1120" s="31" t="s">
        <v>3056</v>
      </c>
      <c r="B1120" s="31" t="s">
        <v>404</v>
      </c>
      <c r="C1120" s="31" t="s">
        <v>408</v>
      </c>
      <c r="D1120" s="31" t="s">
        <v>409</v>
      </c>
      <c r="E1120" s="31" t="s">
        <v>3057</v>
      </c>
      <c r="F1120" s="31" t="s">
        <v>1863</v>
      </c>
      <c r="G1120" s="31" t="s">
        <v>461</v>
      </c>
      <c r="H1120" s="31" t="s">
        <v>41</v>
      </c>
      <c r="I1120" s="31" t="n">
        <f aca="false">VLOOKUP(H1120,Paramètres!$A$15:$B$19,2,FALSE())</f>
        <v>1</v>
      </c>
      <c r="J1120" s="31" t="n">
        <v>0</v>
      </c>
      <c r="K1120" s="50" t="str">
        <f aca="false">C1120&amp;"|"&amp;J1120</f>
        <v>ADM-ADS|0</v>
      </c>
      <c r="L1120" s="31" t="s">
        <v>3058</v>
      </c>
      <c r="M1120" s="31" t="n">
        <v>1</v>
      </c>
      <c r="N1120" s="51" t="s">
        <v>462</v>
      </c>
      <c r="O1120" s="35" t="s">
        <v>78</v>
      </c>
      <c r="P1120" s="52"/>
      <c r="Q1120" s="52"/>
      <c r="R1120" s="33" t="n">
        <f aca="false">INDEX(Épopées!$L$6:$L$59,MATCH(K1120,Épopées!$A$6:$A$59,0))</f>
        <v>46356</v>
      </c>
      <c r="S1120" s="33" t="n">
        <f aca="false">INDEX(Épopées!$M$6:$M$59,MATCH(K1120,Épopées!$A$6:$A$59,0))</f>
        <v>46387</v>
      </c>
      <c r="T1120" s="53" t="s">
        <v>463</v>
      </c>
    </row>
    <row r="1121" customFormat="false" ht="15" hidden="false" customHeight="false" outlineLevel="0" collapsed="false">
      <c r="A1121" s="31" t="s">
        <v>3059</v>
      </c>
      <c r="B1121" s="31" t="s">
        <v>404</v>
      </c>
      <c r="C1121" s="31" t="s">
        <v>408</v>
      </c>
      <c r="D1121" s="31" t="s">
        <v>409</v>
      </c>
      <c r="E1121" s="31" t="s">
        <v>3060</v>
      </c>
      <c r="F1121" s="31" t="s">
        <v>1863</v>
      </c>
      <c r="G1121" s="31" t="s">
        <v>461</v>
      </c>
      <c r="H1121" s="31" t="s">
        <v>39</v>
      </c>
      <c r="I1121" s="31" t="n">
        <f aca="false">VLOOKUP(H1121,Paramètres!$A$15:$B$19,2,FALSE())</f>
        <v>0.5</v>
      </c>
      <c r="J1121" s="31" t="n">
        <v>0</v>
      </c>
      <c r="K1121" s="50" t="str">
        <f aca="false">C1121&amp;"|"&amp;J1121</f>
        <v>ADM-ADS|0</v>
      </c>
      <c r="L1121" s="31" t="s">
        <v>3024</v>
      </c>
      <c r="M1121" s="31" t="n">
        <v>3</v>
      </c>
      <c r="N1121" s="51" t="s">
        <v>462</v>
      </c>
      <c r="O1121" s="35" t="s">
        <v>78</v>
      </c>
      <c r="P1121" s="52"/>
      <c r="Q1121" s="52"/>
      <c r="R1121" s="33" t="n">
        <f aca="false">INDEX(Épopées!$L$6:$L$59,MATCH(K1121,Épopées!$A$6:$A$59,0))</f>
        <v>46356</v>
      </c>
      <c r="S1121" s="33" t="n">
        <f aca="false">INDEX(Épopées!$M$6:$M$59,MATCH(K1121,Épopées!$A$6:$A$59,0))</f>
        <v>46387</v>
      </c>
      <c r="T1121" s="53" t="s">
        <v>463</v>
      </c>
    </row>
    <row r="1122" customFormat="false" ht="15" hidden="false" customHeight="false" outlineLevel="0" collapsed="false">
      <c r="A1122" s="31" t="s">
        <v>3061</v>
      </c>
      <c r="B1122" s="31" t="s">
        <v>404</v>
      </c>
      <c r="C1122" s="31" t="s">
        <v>408</v>
      </c>
      <c r="D1122" s="31" t="s">
        <v>409</v>
      </c>
      <c r="E1122" s="31" t="s">
        <v>3062</v>
      </c>
      <c r="F1122" s="31" t="s">
        <v>1863</v>
      </c>
      <c r="G1122" s="31" t="s">
        <v>466</v>
      </c>
      <c r="H1122" s="31" t="s">
        <v>41</v>
      </c>
      <c r="I1122" s="31" t="n">
        <f aca="false">VLOOKUP(H1122,Paramètres!$A$15:$B$19,2,FALSE())</f>
        <v>1</v>
      </c>
      <c r="J1122" s="31" t="n">
        <v>0</v>
      </c>
      <c r="K1122" s="50" t="str">
        <f aca="false">C1122&amp;"|"&amp;J1122</f>
        <v>ADM-ADS|0</v>
      </c>
      <c r="L1122" s="31" t="s">
        <v>3063</v>
      </c>
      <c r="M1122" s="31" t="n">
        <v>1</v>
      </c>
      <c r="N1122" s="51" t="s">
        <v>462</v>
      </c>
      <c r="O1122" s="35" t="s">
        <v>78</v>
      </c>
      <c r="P1122" s="52"/>
      <c r="Q1122" s="52"/>
      <c r="R1122" s="33" t="n">
        <f aca="false">INDEX(Épopées!$L$6:$L$59,MATCH(K1122,Épopées!$A$6:$A$59,0))</f>
        <v>46356</v>
      </c>
      <c r="S1122" s="33" t="n">
        <f aca="false">INDEX(Épopées!$M$6:$M$59,MATCH(K1122,Épopées!$A$6:$A$59,0))</f>
        <v>46387</v>
      </c>
      <c r="T1122" s="53" t="s">
        <v>463</v>
      </c>
    </row>
    <row r="1123" customFormat="false" ht="15" hidden="false" customHeight="false" outlineLevel="0" collapsed="false">
      <c r="A1123" s="31" t="s">
        <v>3064</v>
      </c>
      <c r="B1123" s="31" t="s">
        <v>404</v>
      </c>
      <c r="C1123" s="31" t="s">
        <v>408</v>
      </c>
      <c r="D1123" s="31" t="s">
        <v>409</v>
      </c>
      <c r="E1123" s="31" t="s">
        <v>3065</v>
      </c>
      <c r="F1123" s="31" t="s">
        <v>1863</v>
      </c>
      <c r="G1123" s="31" t="s">
        <v>461</v>
      </c>
      <c r="H1123" s="31" t="s">
        <v>43</v>
      </c>
      <c r="I1123" s="31" t="n">
        <f aca="false">VLOOKUP(H1123,Paramètres!$A$15:$B$19,2,FALSE())</f>
        <v>2</v>
      </c>
      <c r="J1123" s="31" t="n">
        <v>0</v>
      </c>
      <c r="K1123" s="50" t="str">
        <f aca="false">C1123&amp;"|"&amp;J1123</f>
        <v>ADM-ADS|0</v>
      </c>
      <c r="L1123" s="31" t="s">
        <v>3066</v>
      </c>
      <c r="M1123" s="31" t="n">
        <v>1</v>
      </c>
      <c r="N1123" s="51" t="s">
        <v>462</v>
      </c>
      <c r="O1123" s="35" t="s">
        <v>78</v>
      </c>
      <c r="P1123" s="52"/>
      <c r="Q1123" s="52"/>
      <c r="R1123" s="33" t="n">
        <f aca="false">INDEX(Épopées!$L$6:$L$59,MATCH(K1123,Épopées!$A$6:$A$59,0))</f>
        <v>46356</v>
      </c>
      <c r="S1123" s="33" t="n">
        <f aca="false">INDEX(Épopées!$M$6:$M$59,MATCH(K1123,Épopées!$A$6:$A$59,0))</f>
        <v>46387</v>
      </c>
      <c r="T1123" s="53" t="s">
        <v>463</v>
      </c>
    </row>
    <row r="1124" customFormat="false" ht="15" hidden="false" customHeight="false" outlineLevel="0" collapsed="false">
      <c r="A1124" s="31" t="s">
        <v>3067</v>
      </c>
      <c r="B1124" s="31" t="s">
        <v>404</v>
      </c>
      <c r="C1124" s="31" t="s">
        <v>408</v>
      </c>
      <c r="D1124" s="31" t="s">
        <v>409</v>
      </c>
      <c r="E1124" s="31" t="s">
        <v>3068</v>
      </c>
      <c r="F1124" s="31" t="s">
        <v>1863</v>
      </c>
      <c r="G1124" s="31" t="s">
        <v>461</v>
      </c>
      <c r="H1124" s="31" t="s">
        <v>41</v>
      </c>
      <c r="I1124" s="31" t="n">
        <f aca="false">VLOOKUP(H1124,Paramètres!$A$15:$B$19,2,FALSE())</f>
        <v>1</v>
      </c>
      <c r="J1124" s="31" t="n">
        <v>0</v>
      </c>
      <c r="K1124" s="50" t="str">
        <f aca="false">C1124&amp;"|"&amp;J1124</f>
        <v>ADM-ADS|0</v>
      </c>
      <c r="L1124" s="31" t="s">
        <v>3069</v>
      </c>
      <c r="M1124" s="31" t="n">
        <v>1</v>
      </c>
      <c r="N1124" s="51" t="s">
        <v>462</v>
      </c>
      <c r="O1124" s="35" t="s">
        <v>78</v>
      </c>
      <c r="P1124" s="52"/>
      <c r="Q1124" s="52"/>
      <c r="R1124" s="33" t="n">
        <f aca="false">INDEX(Épopées!$L$6:$L$59,MATCH(K1124,Épopées!$A$6:$A$59,0))</f>
        <v>46356</v>
      </c>
      <c r="S1124" s="33" t="n">
        <f aca="false">INDEX(Épopées!$M$6:$M$59,MATCH(K1124,Épopées!$A$6:$A$59,0))</f>
        <v>46387</v>
      </c>
      <c r="T1124" s="53" t="s">
        <v>463</v>
      </c>
    </row>
    <row r="1125" customFormat="false" ht="15" hidden="false" customHeight="false" outlineLevel="0" collapsed="false">
      <c r="A1125" s="31" t="s">
        <v>3070</v>
      </c>
      <c r="B1125" s="31" t="s">
        <v>404</v>
      </c>
      <c r="C1125" s="31" t="s">
        <v>408</v>
      </c>
      <c r="D1125" s="31" t="s">
        <v>409</v>
      </c>
      <c r="E1125" s="31" t="s">
        <v>3071</v>
      </c>
      <c r="F1125" s="31" t="s">
        <v>1863</v>
      </c>
      <c r="G1125" s="31" t="s">
        <v>466</v>
      </c>
      <c r="H1125" s="31" t="s">
        <v>41</v>
      </c>
      <c r="I1125" s="31" t="n">
        <f aca="false">VLOOKUP(H1125,Paramètres!$A$15:$B$19,2,FALSE())</f>
        <v>1</v>
      </c>
      <c r="J1125" s="31" t="n">
        <v>0</v>
      </c>
      <c r="K1125" s="50" t="str">
        <f aca="false">C1125&amp;"|"&amp;J1125</f>
        <v>ADM-ADS|0</v>
      </c>
      <c r="L1125" s="31" t="s">
        <v>3072</v>
      </c>
      <c r="M1125" s="31" t="n">
        <v>1</v>
      </c>
      <c r="N1125" s="51" t="s">
        <v>462</v>
      </c>
      <c r="O1125" s="35" t="s">
        <v>78</v>
      </c>
      <c r="P1125" s="52"/>
      <c r="Q1125" s="52"/>
      <c r="R1125" s="33" t="n">
        <f aca="false">INDEX(Épopées!$L$6:$L$59,MATCH(K1125,Épopées!$A$6:$A$59,0))</f>
        <v>46356</v>
      </c>
      <c r="S1125" s="33" t="n">
        <f aca="false">INDEX(Épopées!$M$6:$M$59,MATCH(K1125,Épopées!$A$6:$A$59,0))</f>
        <v>46387</v>
      </c>
      <c r="T1125" s="53" t="s">
        <v>463</v>
      </c>
    </row>
    <row r="1126" customFormat="false" ht="15" hidden="false" customHeight="false" outlineLevel="0" collapsed="false">
      <c r="A1126" s="31" t="s">
        <v>3073</v>
      </c>
      <c r="B1126" s="31" t="s">
        <v>404</v>
      </c>
      <c r="C1126" s="31" t="s">
        <v>408</v>
      </c>
      <c r="D1126" s="31" t="s">
        <v>409</v>
      </c>
      <c r="E1126" s="31" t="s">
        <v>3074</v>
      </c>
      <c r="F1126" s="31" t="s">
        <v>1863</v>
      </c>
      <c r="G1126" s="31" t="s">
        <v>461</v>
      </c>
      <c r="H1126" s="31" t="s">
        <v>41</v>
      </c>
      <c r="I1126" s="31" t="n">
        <f aca="false">VLOOKUP(H1126,Paramètres!$A$15:$B$19,2,FALSE())</f>
        <v>1</v>
      </c>
      <c r="J1126" s="31" t="n">
        <v>0</v>
      </c>
      <c r="K1126" s="50" t="str">
        <f aca="false">C1126&amp;"|"&amp;J1126</f>
        <v>ADM-ADS|0</v>
      </c>
      <c r="L1126" s="31" t="s">
        <v>3075</v>
      </c>
      <c r="M1126" s="31" t="n">
        <v>2</v>
      </c>
      <c r="N1126" s="51" t="s">
        <v>462</v>
      </c>
      <c r="O1126" s="35" t="s">
        <v>78</v>
      </c>
      <c r="P1126" s="52"/>
      <c r="Q1126" s="52"/>
      <c r="R1126" s="33" t="n">
        <f aca="false">INDEX(Épopées!$L$6:$L$59,MATCH(K1126,Épopées!$A$6:$A$59,0))</f>
        <v>46356</v>
      </c>
      <c r="S1126" s="33" t="n">
        <f aca="false">INDEX(Épopées!$M$6:$M$59,MATCH(K1126,Épopées!$A$6:$A$59,0))</f>
        <v>46387</v>
      </c>
      <c r="T1126" s="53" t="s">
        <v>463</v>
      </c>
    </row>
    <row r="1127" customFormat="false" ht="15" hidden="false" customHeight="false" outlineLevel="0" collapsed="false">
      <c r="A1127" s="31" t="s">
        <v>3076</v>
      </c>
      <c r="B1127" s="31" t="s">
        <v>404</v>
      </c>
      <c r="C1127" s="31" t="s">
        <v>408</v>
      </c>
      <c r="D1127" s="31" t="s">
        <v>409</v>
      </c>
      <c r="E1127" s="31" t="s">
        <v>3077</v>
      </c>
      <c r="F1127" s="31" t="s">
        <v>1863</v>
      </c>
      <c r="G1127" s="31" t="s">
        <v>466</v>
      </c>
      <c r="H1127" s="31" t="s">
        <v>41</v>
      </c>
      <c r="I1127" s="31" t="n">
        <f aca="false">VLOOKUP(H1127,Paramètres!$A$15:$B$19,2,FALSE())</f>
        <v>1</v>
      </c>
      <c r="J1127" s="31" t="n">
        <v>0</v>
      </c>
      <c r="K1127" s="50" t="str">
        <f aca="false">C1127&amp;"|"&amp;J1127</f>
        <v>ADM-ADS|0</v>
      </c>
      <c r="L1127" s="31" t="s">
        <v>3078</v>
      </c>
      <c r="M1127" s="31" t="n">
        <v>2</v>
      </c>
      <c r="N1127" s="51" t="s">
        <v>462</v>
      </c>
      <c r="O1127" s="35" t="s">
        <v>78</v>
      </c>
      <c r="P1127" s="52"/>
      <c r="Q1127" s="52"/>
      <c r="R1127" s="33" t="n">
        <f aca="false">INDEX(Épopées!$L$6:$L$59,MATCH(K1127,Épopées!$A$6:$A$59,0))</f>
        <v>46356</v>
      </c>
      <c r="S1127" s="33" t="n">
        <f aca="false">INDEX(Épopées!$M$6:$M$59,MATCH(K1127,Épopées!$A$6:$A$59,0))</f>
        <v>46387</v>
      </c>
      <c r="T1127" s="53" t="s">
        <v>463</v>
      </c>
    </row>
    <row r="1128" customFormat="false" ht="15" hidden="false" customHeight="false" outlineLevel="0" collapsed="false">
      <c r="A1128" s="31" t="s">
        <v>3079</v>
      </c>
      <c r="B1128" s="31" t="s">
        <v>404</v>
      </c>
      <c r="C1128" s="31" t="s">
        <v>408</v>
      </c>
      <c r="D1128" s="31" t="s">
        <v>409</v>
      </c>
      <c r="E1128" s="31" t="s">
        <v>3080</v>
      </c>
      <c r="F1128" s="31" t="s">
        <v>1863</v>
      </c>
      <c r="G1128" s="31" t="s">
        <v>461</v>
      </c>
      <c r="H1128" s="31" t="s">
        <v>41</v>
      </c>
      <c r="I1128" s="31" t="n">
        <f aca="false">VLOOKUP(H1128,Paramètres!$A$15:$B$19,2,FALSE())</f>
        <v>1</v>
      </c>
      <c r="J1128" s="31" t="n">
        <v>0</v>
      </c>
      <c r="K1128" s="50" t="str">
        <f aca="false">C1128&amp;"|"&amp;J1128</f>
        <v>ADM-ADS|0</v>
      </c>
      <c r="L1128" s="31" t="s">
        <v>3044</v>
      </c>
      <c r="M1128" s="31" t="n">
        <v>1</v>
      </c>
      <c r="N1128" s="51" t="s">
        <v>462</v>
      </c>
      <c r="O1128" s="35" t="s">
        <v>78</v>
      </c>
      <c r="P1128" s="52"/>
      <c r="Q1128" s="52"/>
      <c r="R1128" s="33" t="n">
        <f aca="false">INDEX(Épopées!$L$6:$L$59,MATCH(K1128,Épopées!$A$6:$A$59,0))</f>
        <v>46356</v>
      </c>
      <c r="S1128" s="33" t="n">
        <f aca="false">INDEX(Épopées!$M$6:$M$59,MATCH(K1128,Épopées!$A$6:$A$59,0))</f>
        <v>46387</v>
      </c>
      <c r="T1128" s="53" t="s">
        <v>463</v>
      </c>
    </row>
    <row r="1129" customFormat="false" ht="15" hidden="false" customHeight="false" outlineLevel="0" collapsed="false">
      <c r="A1129" s="31" t="s">
        <v>3081</v>
      </c>
      <c r="B1129" s="31" t="s">
        <v>404</v>
      </c>
      <c r="C1129" s="31" t="s">
        <v>408</v>
      </c>
      <c r="D1129" s="31" t="s">
        <v>409</v>
      </c>
      <c r="E1129" s="31" t="s">
        <v>3082</v>
      </c>
      <c r="F1129" s="31" t="s">
        <v>1863</v>
      </c>
      <c r="G1129" s="31" t="s">
        <v>461</v>
      </c>
      <c r="H1129" s="31" t="s">
        <v>41</v>
      </c>
      <c r="I1129" s="31" t="n">
        <f aca="false">VLOOKUP(H1129,Paramètres!$A$15:$B$19,2,FALSE())</f>
        <v>1</v>
      </c>
      <c r="J1129" s="31" t="n">
        <v>0</v>
      </c>
      <c r="K1129" s="50" t="str">
        <f aca="false">C1129&amp;"|"&amp;J1129</f>
        <v>ADM-ADS|0</v>
      </c>
      <c r="L1129" s="31" t="s">
        <v>3036</v>
      </c>
      <c r="M1129" s="31" t="n">
        <v>1</v>
      </c>
      <c r="N1129" s="51" t="s">
        <v>462</v>
      </c>
      <c r="O1129" s="35" t="s">
        <v>78</v>
      </c>
      <c r="P1129" s="52"/>
      <c r="Q1129" s="52"/>
      <c r="R1129" s="33" t="n">
        <f aca="false">INDEX(Épopées!$L$6:$L$59,MATCH(K1129,Épopées!$A$6:$A$59,0))</f>
        <v>46356</v>
      </c>
      <c r="S1129" s="33" t="n">
        <f aca="false">INDEX(Épopées!$M$6:$M$59,MATCH(K1129,Épopées!$A$6:$A$59,0))</f>
        <v>46387</v>
      </c>
      <c r="T1129" s="53" t="s">
        <v>463</v>
      </c>
    </row>
    <row r="1130" customFormat="false" ht="15" hidden="false" customHeight="false" outlineLevel="0" collapsed="false">
      <c r="A1130" s="31" t="s">
        <v>3083</v>
      </c>
      <c r="B1130" s="31" t="s">
        <v>404</v>
      </c>
      <c r="C1130" s="31" t="s">
        <v>408</v>
      </c>
      <c r="D1130" s="31" t="s">
        <v>409</v>
      </c>
      <c r="E1130" s="31" t="s">
        <v>3084</v>
      </c>
      <c r="F1130" s="31" t="s">
        <v>1863</v>
      </c>
      <c r="G1130" s="31" t="s">
        <v>466</v>
      </c>
      <c r="H1130" s="31" t="s">
        <v>39</v>
      </c>
      <c r="I1130" s="31" t="n">
        <f aca="false">VLOOKUP(H1130,Paramètres!$A$15:$B$19,2,FALSE())</f>
        <v>0.5</v>
      </c>
      <c r="J1130" s="31" t="n">
        <v>0</v>
      </c>
      <c r="K1130" s="50" t="str">
        <f aca="false">C1130&amp;"|"&amp;J1130</f>
        <v>ADM-ADS|0</v>
      </c>
      <c r="L1130" s="31" t="s">
        <v>3016</v>
      </c>
      <c r="M1130" s="31" t="n">
        <v>1</v>
      </c>
      <c r="N1130" s="51" t="s">
        <v>462</v>
      </c>
      <c r="O1130" s="35" t="s">
        <v>78</v>
      </c>
      <c r="P1130" s="52"/>
      <c r="Q1130" s="52"/>
      <c r="R1130" s="33" t="n">
        <f aca="false">INDEX(Épopées!$L$6:$L$59,MATCH(K1130,Épopées!$A$6:$A$59,0))</f>
        <v>46356</v>
      </c>
      <c r="S1130" s="33" t="n">
        <f aca="false">INDEX(Épopées!$M$6:$M$59,MATCH(K1130,Épopées!$A$6:$A$59,0))</f>
        <v>46387</v>
      </c>
      <c r="T1130" s="53" t="s">
        <v>463</v>
      </c>
    </row>
    <row r="1131" customFormat="false" ht="15" hidden="false" customHeight="false" outlineLevel="0" collapsed="false">
      <c r="A1131" s="31" t="s">
        <v>3085</v>
      </c>
      <c r="B1131" s="31" t="s">
        <v>404</v>
      </c>
      <c r="C1131" s="31" t="s">
        <v>408</v>
      </c>
      <c r="D1131" s="31" t="s">
        <v>409</v>
      </c>
      <c r="E1131" s="31" t="s">
        <v>3086</v>
      </c>
      <c r="F1131" s="31" t="s">
        <v>1863</v>
      </c>
      <c r="G1131" s="31" t="s">
        <v>612</v>
      </c>
      <c r="H1131" s="31" t="s">
        <v>39</v>
      </c>
      <c r="I1131" s="31" t="n">
        <f aca="false">VLOOKUP(H1131,Paramètres!$A$15:$B$19,2,FALSE())</f>
        <v>0.5</v>
      </c>
      <c r="J1131" s="31" t="n">
        <v>0</v>
      </c>
      <c r="K1131" s="50" t="str">
        <f aca="false">C1131&amp;"|"&amp;J1131</f>
        <v>ADM-ADS|0</v>
      </c>
      <c r="L1131" s="31" t="s">
        <v>3087</v>
      </c>
      <c r="M1131" s="31" t="n">
        <v>1</v>
      </c>
      <c r="N1131" s="51" t="s">
        <v>462</v>
      </c>
      <c r="O1131" s="35" t="s">
        <v>78</v>
      </c>
      <c r="P1131" s="52"/>
      <c r="Q1131" s="52"/>
      <c r="R1131" s="33" t="n">
        <f aca="false">INDEX(Épopées!$L$6:$L$59,MATCH(K1131,Épopées!$A$6:$A$59,0))</f>
        <v>46356</v>
      </c>
      <c r="S1131" s="33" t="n">
        <f aca="false">INDEX(Épopées!$M$6:$M$59,MATCH(K1131,Épopées!$A$6:$A$59,0))</f>
        <v>46387</v>
      </c>
      <c r="T1131" s="53" t="s">
        <v>463</v>
      </c>
    </row>
    <row r="1132" customFormat="false" ht="15" hidden="false" customHeight="false" outlineLevel="0" collapsed="false">
      <c r="A1132" s="31" t="s">
        <v>3088</v>
      </c>
      <c r="B1132" s="31" t="s">
        <v>404</v>
      </c>
      <c r="C1132" s="31" t="s">
        <v>408</v>
      </c>
      <c r="D1132" s="31" t="s">
        <v>409</v>
      </c>
      <c r="E1132" s="31" t="s">
        <v>3089</v>
      </c>
      <c r="F1132" s="31" t="s">
        <v>1863</v>
      </c>
      <c r="G1132" s="31" t="s">
        <v>612</v>
      </c>
      <c r="H1132" s="31" t="s">
        <v>39</v>
      </c>
      <c r="I1132" s="31" t="n">
        <f aca="false">VLOOKUP(H1132,Paramètres!$A$15:$B$19,2,FALSE())</f>
        <v>0.5</v>
      </c>
      <c r="J1132" s="31" t="n">
        <v>0</v>
      </c>
      <c r="K1132" s="50" t="str">
        <f aca="false">C1132&amp;"|"&amp;J1132</f>
        <v>ADM-ADS|0</v>
      </c>
      <c r="L1132" s="31" t="s">
        <v>3085</v>
      </c>
      <c r="M1132" s="31" t="n">
        <v>1</v>
      </c>
      <c r="N1132" s="51" t="s">
        <v>462</v>
      </c>
      <c r="O1132" s="35" t="s">
        <v>78</v>
      </c>
      <c r="P1132" s="52"/>
      <c r="Q1132" s="52"/>
      <c r="R1132" s="33" t="n">
        <f aca="false">INDEX(Épopées!$L$6:$L$59,MATCH(K1132,Épopées!$A$6:$A$59,0))</f>
        <v>46356</v>
      </c>
      <c r="S1132" s="33" t="n">
        <f aca="false">INDEX(Épopées!$M$6:$M$59,MATCH(K1132,Épopées!$A$6:$A$59,0))</f>
        <v>46387</v>
      </c>
      <c r="T1132" s="53" t="s">
        <v>463</v>
      </c>
    </row>
    <row r="1133" customFormat="false" ht="15" hidden="false" customHeight="false" outlineLevel="0" collapsed="false">
      <c r="A1133" s="31" t="s">
        <v>3090</v>
      </c>
      <c r="B1133" s="31" t="s">
        <v>404</v>
      </c>
      <c r="C1133" s="31" t="s">
        <v>408</v>
      </c>
      <c r="D1133" s="31" t="s">
        <v>409</v>
      </c>
      <c r="E1133" s="31" t="s">
        <v>3091</v>
      </c>
      <c r="F1133" s="31" t="s">
        <v>1863</v>
      </c>
      <c r="G1133" s="31" t="s">
        <v>612</v>
      </c>
      <c r="H1133" s="31" t="s">
        <v>39</v>
      </c>
      <c r="I1133" s="31" t="n">
        <f aca="false">VLOOKUP(H1133,Paramètres!$A$15:$B$19,2,FALSE())</f>
        <v>0.5</v>
      </c>
      <c r="J1133" s="31" t="n">
        <v>0</v>
      </c>
      <c r="K1133" s="50" t="str">
        <f aca="false">C1133&amp;"|"&amp;J1133</f>
        <v>ADM-ADS|0</v>
      </c>
      <c r="L1133" s="31" t="s">
        <v>3092</v>
      </c>
      <c r="M1133" s="31" t="n">
        <v>1</v>
      </c>
      <c r="N1133" s="51" t="s">
        <v>462</v>
      </c>
      <c r="O1133" s="35" t="s">
        <v>78</v>
      </c>
      <c r="P1133" s="52"/>
      <c r="Q1133" s="52"/>
      <c r="R1133" s="33" t="n">
        <f aca="false">INDEX(Épopées!$L$6:$L$59,MATCH(K1133,Épopées!$A$6:$A$59,0))</f>
        <v>46356</v>
      </c>
      <c r="S1133" s="33" t="n">
        <f aca="false">INDEX(Épopées!$M$6:$M$59,MATCH(K1133,Épopées!$A$6:$A$59,0))</f>
        <v>46387</v>
      </c>
      <c r="T1133" s="53" t="s">
        <v>463</v>
      </c>
    </row>
    <row r="1134" customFormat="false" ht="15" hidden="false" customHeight="false" outlineLevel="0" collapsed="false">
      <c r="A1134" s="31" t="s">
        <v>3093</v>
      </c>
      <c r="B1134" s="31" t="s">
        <v>404</v>
      </c>
      <c r="C1134" s="31" t="s">
        <v>408</v>
      </c>
      <c r="D1134" s="31" t="s">
        <v>409</v>
      </c>
      <c r="E1134" s="31" t="s">
        <v>3094</v>
      </c>
      <c r="F1134" s="31" t="s">
        <v>1863</v>
      </c>
      <c r="G1134" s="31" t="s">
        <v>466</v>
      </c>
      <c r="H1134" s="31" t="s">
        <v>41</v>
      </c>
      <c r="I1134" s="31" t="n">
        <f aca="false">VLOOKUP(H1134,Paramètres!$A$15:$B$19,2,FALSE())</f>
        <v>1</v>
      </c>
      <c r="J1134" s="31" t="n">
        <v>0</v>
      </c>
      <c r="K1134" s="50" t="str">
        <f aca="false">C1134&amp;"|"&amp;J1134</f>
        <v>ADM-ADS|0</v>
      </c>
      <c r="L1134" s="31" t="s">
        <v>3095</v>
      </c>
      <c r="M1134" s="31" t="n">
        <v>1</v>
      </c>
      <c r="N1134" s="51" t="s">
        <v>462</v>
      </c>
      <c r="O1134" s="35" t="s">
        <v>78</v>
      </c>
      <c r="P1134" s="52"/>
      <c r="Q1134" s="52"/>
      <c r="R1134" s="33" t="n">
        <f aca="false">INDEX(Épopées!$L$6:$L$59,MATCH(K1134,Épopées!$A$6:$A$59,0))</f>
        <v>46356</v>
      </c>
      <c r="S1134" s="33" t="n">
        <f aca="false">INDEX(Épopées!$M$6:$M$59,MATCH(K1134,Épopées!$A$6:$A$59,0))</f>
        <v>46387</v>
      </c>
      <c r="T1134" s="53" t="s">
        <v>463</v>
      </c>
    </row>
    <row r="1135" customFormat="false" ht="15" hidden="false" customHeight="false" outlineLevel="0" collapsed="false">
      <c r="A1135" s="31" t="s">
        <v>3096</v>
      </c>
      <c r="B1135" s="31" t="s">
        <v>404</v>
      </c>
      <c r="C1135" s="31" t="s">
        <v>408</v>
      </c>
      <c r="D1135" s="31" t="s">
        <v>409</v>
      </c>
      <c r="E1135" s="31" t="s">
        <v>3097</v>
      </c>
      <c r="F1135" s="31" t="s">
        <v>503</v>
      </c>
      <c r="G1135" s="31" t="s">
        <v>612</v>
      </c>
      <c r="H1135" s="31" t="s">
        <v>39</v>
      </c>
      <c r="I1135" s="31" t="n">
        <f aca="false">VLOOKUP(H1135,Paramètres!$A$15:$B$19,2,FALSE())</f>
        <v>0.5</v>
      </c>
      <c r="J1135" s="31" t="n">
        <v>0</v>
      </c>
      <c r="K1135" s="50" t="str">
        <f aca="false">C1135&amp;"|"&amp;J1135</f>
        <v>ADM-ADS|0</v>
      </c>
      <c r="L1135" s="31" t="s">
        <v>3063</v>
      </c>
      <c r="M1135" s="31" t="n">
        <v>2</v>
      </c>
      <c r="N1135" s="51" t="s">
        <v>462</v>
      </c>
      <c r="O1135" s="35" t="s">
        <v>78</v>
      </c>
      <c r="P1135" s="52"/>
      <c r="Q1135" s="52"/>
      <c r="R1135" s="33" t="n">
        <f aca="false">INDEX(Épopées!$L$6:$L$59,MATCH(K1135,Épopées!$A$6:$A$59,0))</f>
        <v>46356</v>
      </c>
      <c r="S1135" s="33" t="n">
        <f aca="false">INDEX(Épopées!$M$6:$M$59,MATCH(K1135,Épopées!$A$6:$A$59,0))</f>
        <v>46387</v>
      </c>
      <c r="T1135" s="53" t="s">
        <v>463</v>
      </c>
    </row>
    <row r="1136" customFormat="false" ht="15" hidden="false" customHeight="false" outlineLevel="0" collapsed="false">
      <c r="A1136" s="31" t="s">
        <v>3098</v>
      </c>
      <c r="B1136" s="31" t="s">
        <v>404</v>
      </c>
      <c r="C1136" s="31" t="s">
        <v>408</v>
      </c>
      <c r="D1136" s="31" t="s">
        <v>409</v>
      </c>
      <c r="E1136" s="31" t="s">
        <v>3099</v>
      </c>
      <c r="F1136" s="31" t="s">
        <v>503</v>
      </c>
      <c r="G1136" s="31" t="s">
        <v>466</v>
      </c>
      <c r="H1136" s="31" t="s">
        <v>41</v>
      </c>
      <c r="I1136" s="31" t="n">
        <f aca="false">VLOOKUP(H1136,Paramètres!$A$15:$B$19,2,FALSE())</f>
        <v>1</v>
      </c>
      <c r="J1136" s="31" t="n">
        <v>0</v>
      </c>
      <c r="K1136" s="50" t="str">
        <f aca="false">C1136&amp;"|"&amp;J1136</f>
        <v>ADM-ADS|0</v>
      </c>
      <c r="L1136" s="31" t="s">
        <v>3100</v>
      </c>
      <c r="M1136" s="31" t="n">
        <v>7</v>
      </c>
      <c r="N1136" s="51" t="s">
        <v>462</v>
      </c>
      <c r="O1136" s="35" t="s">
        <v>78</v>
      </c>
      <c r="P1136" s="52"/>
      <c r="Q1136" s="52"/>
      <c r="R1136" s="33" t="n">
        <f aca="false">INDEX(Épopées!$L$6:$L$59,MATCH(K1136,Épopées!$A$6:$A$59,0))</f>
        <v>46356</v>
      </c>
      <c r="S1136" s="33" t="n">
        <f aca="false">INDEX(Épopées!$M$6:$M$59,MATCH(K1136,Épopées!$A$6:$A$59,0))</f>
        <v>46387</v>
      </c>
      <c r="T1136" s="53" t="s">
        <v>463</v>
      </c>
    </row>
    <row r="1137" customFormat="false" ht="15" hidden="false" customHeight="false" outlineLevel="0" collapsed="false">
      <c r="A1137" s="31" t="s">
        <v>3101</v>
      </c>
      <c r="B1137" s="31" t="s">
        <v>404</v>
      </c>
      <c r="C1137" s="31" t="s">
        <v>408</v>
      </c>
      <c r="D1137" s="31" t="s">
        <v>409</v>
      </c>
      <c r="E1137" s="31" t="s">
        <v>3102</v>
      </c>
      <c r="F1137" s="31" t="s">
        <v>472</v>
      </c>
      <c r="G1137" s="31" t="s">
        <v>466</v>
      </c>
      <c r="H1137" s="31" t="s">
        <v>41</v>
      </c>
      <c r="I1137" s="31" t="n">
        <f aca="false">VLOOKUP(H1137,Paramètres!$A$15:$B$19,2,FALSE())</f>
        <v>1</v>
      </c>
      <c r="J1137" s="31" t="n">
        <v>0</v>
      </c>
      <c r="K1137" s="50" t="str">
        <f aca="false">C1137&amp;"|"&amp;J1137</f>
        <v>ADM-ADS|0</v>
      </c>
      <c r="L1137" s="31" t="s">
        <v>3103</v>
      </c>
      <c r="M1137" s="31" t="n">
        <v>4</v>
      </c>
      <c r="N1137" s="51" t="s">
        <v>462</v>
      </c>
      <c r="O1137" s="35" t="s">
        <v>78</v>
      </c>
      <c r="P1137" s="52"/>
      <c r="Q1137" s="52"/>
      <c r="R1137" s="33" t="n">
        <f aca="false">INDEX(Épopées!$L$6:$L$59,MATCH(K1137,Épopées!$A$6:$A$59,0))</f>
        <v>46356</v>
      </c>
      <c r="S1137" s="33" t="n">
        <f aca="false">INDEX(Épopées!$M$6:$M$59,MATCH(K1137,Épopées!$A$6:$A$59,0))</f>
        <v>46387</v>
      </c>
      <c r="T1137" s="53" t="s">
        <v>463</v>
      </c>
    </row>
    <row r="1138" customFormat="false" ht="15" hidden="false" customHeight="false" outlineLevel="0" collapsed="false">
      <c r="A1138" s="31" t="s">
        <v>3104</v>
      </c>
      <c r="B1138" s="31" t="s">
        <v>404</v>
      </c>
      <c r="C1138" s="31" t="s">
        <v>411</v>
      </c>
      <c r="D1138" s="31" t="s">
        <v>412</v>
      </c>
      <c r="E1138" s="31" t="s">
        <v>3105</v>
      </c>
      <c r="F1138" s="31" t="s">
        <v>460</v>
      </c>
      <c r="G1138" s="31" t="s">
        <v>461</v>
      </c>
      <c r="H1138" s="31" t="s">
        <v>41</v>
      </c>
      <c r="I1138" s="31" t="n">
        <f aca="false">VLOOKUP(H1138,Paramètres!$A$15:$B$19,2,FALSE())</f>
        <v>1</v>
      </c>
      <c r="J1138" s="31" t="n">
        <v>1</v>
      </c>
      <c r="K1138" s="50" t="str">
        <f aca="false">C1138&amp;"|"&amp;J1138</f>
        <v>ADM-WA|1</v>
      </c>
      <c r="L1138" s="31"/>
      <c r="M1138" s="31" t="n">
        <v>7</v>
      </c>
      <c r="N1138" s="51" t="s">
        <v>462</v>
      </c>
      <c r="O1138" s="35" t="s">
        <v>78</v>
      </c>
      <c r="P1138" s="52"/>
      <c r="Q1138" s="52"/>
      <c r="R1138" s="33" t="n">
        <f aca="false">INDEX(Épopées!$L$6:$L$59,MATCH(K1138,Épopées!$A$6:$A$59,0))</f>
        <v>46388</v>
      </c>
      <c r="S1138" s="33" t="n">
        <f aca="false">INDEX(Épopées!$M$6:$M$59,MATCH(K1138,Épopées!$A$6:$A$59,0))</f>
        <v>46406</v>
      </c>
      <c r="T1138" s="53" t="s">
        <v>463</v>
      </c>
    </row>
    <row r="1139" customFormat="false" ht="15" hidden="false" customHeight="false" outlineLevel="0" collapsed="false">
      <c r="A1139" s="31" t="s">
        <v>3106</v>
      </c>
      <c r="B1139" s="31" t="s">
        <v>404</v>
      </c>
      <c r="C1139" s="31" t="s">
        <v>411</v>
      </c>
      <c r="D1139" s="31" t="s">
        <v>412</v>
      </c>
      <c r="E1139" s="31" t="s">
        <v>3107</v>
      </c>
      <c r="F1139" s="31" t="s">
        <v>1863</v>
      </c>
      <c r="G1139" s="31" t="s">
        <v>461</v>
      </c>
      <c r="H1139" s="31" t="s">
        <v>41</v>
      </c>
      <c r="I1139" s="31" t="n">
        <f aca="false">VLOOKUP(H1139,Paramètres!$A$15:$B$19,2,FALSE())</f>
        <v>1</v>
      </c>
      <c r="J1139" s="31" t="n">
        <v>1</v>
      </c>
      <c r="K1139" s="50" t="str">
        <f aca="false">C1139&amp;"|"&amp;J1139</f>
        <v>ADM-WA|1</v>
      </c>
      <c r="L1139" s="31"/>
      <c r="M1139" s="31" t="n">
        <v>7</v>
      </c>
      <c r="N1139" s="51" t="s">
        <v>462</v>
      </c>
      <c r="O1139" s="35" t="s">
        <v>78</v>
      </c>
      <c r="P1139" s="52"/>
      <c r="Q1139" s="52"/>
      <c r="R1139" s="33" t="n">
        <f aca="false">INDEX(Épopées!$L$6:$L$59,MATCH(K1139,Épopées!$A$6:$A$59,0))</f>
        <v>46388</v>
      </c>
      <c r="S1139" s="33" t="n">
        <f aca="false">INDEX(Épopées!$M$6:$M$59,MATCH(K1139,Épopées!$A$6:$A$59,0))</f>
        <v>46406</v>
      </c>
      <c r="T1139" s="53" t="s">
        <v>463</v>
      </c>
    </row>
    <row r="1140" customFormat="false" ht="15" hidden="false" customHeight="false" outlineLevel="0" collapsed="false">
      <c r="A1140" s="31" t="s">
        <v>3108</v>
      </c>
      <c r="B1140" s="31" t="s">
        <v>404</v>
      </c>
      <c r="C1140" s="31" t="s">
        <v>411</v>
      </c>
      <c r="D1140" s="31" t="s">
        <v>412</v>
      </c>
      <c r="E1140" s="31" t="s">
        <v>3109</v>
      </c>
      <c r="F1140" s="31" t="s">
        <v>1623</v>
      </c>
      <c r="G1140" s="31" t="s">
        <v>461</v>
      </c>
      <c r="H1140" s="31" t="s">
        <v>41</v>
      </c>
      <c r="I1140" s="31" t="n">
        <f aca="false">VLOOKUP(H1140,Paramètres!$A$15:$B$19,2,FALSE())</f>
        <v>1</v>
      </c>
      <c r="J1140" s="31" t="n">
        <v>1</v>
      </c>
      <c r="K1140" s="50" t="str">
        <f aca="false">C1140&amp;"|"&amp;J1140</f>
        <v>ADM-WA|1</v>
      </c>
      <c r="L1140" s="31" t="s">
        <v>3110</v>
      </c>
      <c r="M1140" s="31" t="n">
        <v>1</v>
      </c>
      <c r="N1140" s="51" t="s">
        <v>462</v>
      </c>
      <c r="O1140" s="35" t="s">
        <v>78</v>
      </c>
      <c r="P1140" s="52"/>
      <c r="Q1140" s="52"/>
      <c r="R1140" s="33" t="n">
        <f aca="false">INDEX(Épopées!$L$6:$L$59,MATCH(K1140,Épopées!$A$6:$A$59,0))</f>
        <v>46388</v>
      </c>
      <c r="S1140" s="33" t="n">
        <f aca="false">INDEX(Épopées!$M$6:$M$59,MATCH(K1140,Épopées!$A$6:$A$59,0))</f>
        <v>46406</v>
      </c>
      <c r="T1140" s="53" t="s">
        <v>463</v>
      </c>
    </row>
    <row r="1141" customFormat="false" ht="15" hidden="false" customHeight="false" outlineLevel="0" collapsed="false">
      <c r="A1141" s="31" t="s">
        <v>3111</v>
      </c>
      <c r="B1141" s="31" t="s">
        <v>404</v>
      </c>
      <c r="C1141" s="31" t="s">
        <v>411</v>
      </c>
      <c r="D1141" s="31" t="s">
        <v>412</v>
      </c>
      <c r="E1141" s="31" t="s">
        <v>3112</v>
      </c>
      <c r="F1141" s="31" t="s">
        <v>1623</v>
      </c>
      <c r="G1141" s="31" t="s">
        <v>461</v>
      </c>
      <c r="H1141" s="31" t="s">
        <v>39</v>
      </c>
      <c r="I1141" s="31" t="n">
        <f aca="false">VLOOKUP(H1141,Paramètres!$A$15:$B$19,2,FALSE())</f>
        <v>0.5</v>
      </c>
      <c r="J1141" s="31" t="n">
        <v>1</v>
      </c>
      <c r="K1141" s="50" t="str">
        <f aca="false">C1141&amp;"|"&amp;J1141</f>
        <v>ADM-WA|1</v>
      </c>
      <c r="L1141" s="31" t="s">
        <v>3108</v>
      </c>
      <c r="M1141" s="31" t="n">
        <v>1</v>
      </c>
      <c r="N1141" s="51" t="s">
        <v>462</v>
      </c>
      <c r="O1141" s="35" t="s">
        <v>78</v>
      </c>
      <c r="P1141" s="52"/>
      <c r="Q1141" s="52"/>
      <c r="R1141" s="33" t="n">
        <f aca="false">INDEX(Épopées!$L$6:$L$59,MATCH(K1141,Épopées!$A$6:$A$59,0))</f>
        <v>46388</v>
      </c>
      <c r="S1141" s="33" t="n">
        <f aca="false">INDEX(Épopées!$M$6:$M$59,MATCH(K1141,Épopées!$A$6:$A$59,0))</f>
        <v>46406</v>
      </c>
      <c r="T1141" s="53" t="s">
        <v>463</v>
      </c>
    </row>
    <row r="1142" customFormat="false" ht="15" hidden="false" customHeight="false" outlineLevel="0" collapsed="false">
      <c r="A1142" s="31" t="s">
        <v>3113</v>
      </c>
      <c r="B1142" s="31" t="s">
        <v>404</v>
      </c>
      <c r="C1142" s="31" t="s">
        <v>411</v>
      </c>
      <c r="D1142" s="31" t="s">
        <v>412</v>
      </c>
      <c r="E1142" s="31" t="s">
        <v>3114</v>
      </c>
      <c r="F1142" s="31" t="s">
        <v>1623</v>
      </c>
      <c r="G1142" s="31" t="s">
        <v>461</v>
      </c>
      <c r="H1142" s="31" t="s">
        <v>41</v>
      </c>
      <c r="I1142" s="31" t="n">
        <f aca="false">VLOOKUP(H1142,Paramètres!$A$15:$B$19,2,FALSE())</f>
        <v>1</v>
      </c>
      <c r="J1142" s="31" t="n">
        <v>1</v>
      </c>
      <c r="K1142" s="50" t="str">
        <f aca="false">C1142&amp;"|"&amp;J1142</f>
        <v>ADM-WA|1</v>
      </c>
      <c r="L1142" s="31" t="s">
        <v>3111</v>
      </c>
      <c r="M1142" s="31" t="n">
        <v>1</v>
      </c>
      <c r="N1142" s="51" t="s">
        <v>462</v>
      </c>
      <c r="O1142" s="35" t="s">
        <v>78</v>
      </c>
      <c r="P1142" s="52"/>
      <c r="Q1142" s="52"/>
      <c r="R1142" s="33" t="n">
        <f aca="false">INDEX(Épopées!$L$6:$L$59,MATCH(K1142,Épopées!$A$6:$A$59,0))</f>
        <v>46388</v>
      </c>
      <c r="S1142" s="33" t="n">
        <f aca="false">INDEX(Épopées!$M$6:$M$59,MATCH(K1142,Épopées!$A$6:$A$59,0))</f>
        <v>46406</v>
      </c>
      <c r="T1142" s="53" t="s">
        <v>463</v>
      </c>
    </row>
    <row r="1143" customFormat="false" ht="15" hidden="false" customHeight="false" outlineLevel="0" collapsed="false">
      <c r="A1143" s="31" t="s">
        <v>3115</v>
      </c>
      <c r="B1143" s="31" t="s">
        <v>404</v>
      </c>
      <c r="C1143" s="31" t="s">
        <v>411</v>
      </c>
      <c r="D1143" s="31" t="s">
        <v>412</v>
      </c>
      <c r="E1143" s="31" t="s">
        <v>3116</v>
      </c>
      <c r="F1143" s="31" t="s">
        <v>491</v>
      </c>
      <c r="G1143" s="31" t="s">
        <v>461</v>
      </c>
      <c r="H1143" s="31" t="s">
        <v>39</v>
      </c>
      <c r="I1143" s="31" t="n">
        <f aca="false">VLOOKUP(H1143,Paramètres!$A$15:$B$19,2,FALSE())</f>
        <v>0.5</v>
      </c>
      <c r="J1143" s="31" t="n">
        <v>1</v>
      </c>
      <c r="K1143" s="50" t="str">
        <f aca="false">C1143&amp;"|"&amp;J1143</f>
        <v>ADM-WA|1</v>
      </c>
      <c r="L1143" s="31"/>
      <c r="M1143" s="31" t="n">
        <v>2</v>
      </c>
      <c r="N1143" s="51" t="s">
        <v>462</v>
      </c>
      <c r="O1143" s="35" t="s">
        <v>78</v>
      </c>
      <c r="P1143" s="52"/>
      <c r="Q1143" s="52"/>
      <c r="R1143" s="33" t="n">
        <f aca="false">INDEX(Épopées!$L$6:$L$59,MATCH(K1143,Épopées!$A$6:$A$59,0))</f>
        <v>46388</v>
      </c>
      <c r="S1143" s="33" t="n">
        <f aca="false">INDEX(Épopées!$M$6:$M$59,MATCH(K1143,Épopées!$A$6:$A$59,0))</f>
        <v>46406</v>
      </c>
      <c r="T1143" s="53" t="s">
        <v>463</v>
      </c>
    </row>
    <row r="1144" customFormat="false" ht="15" hidden="false" customHeight="false" outlineLevel="0" collapsed="false">
      <c r="A1144" s="31" t="s">
        <v>3117</v>
      </c>
      <c r="B1144" s="31" t="s">
        <v>404</v>
      </c>
      <c r="C1144" s="31" t="s">
        <v>411</v>
      </c>
      <c r="D1144" s="31" t="s">
        <v>412</v>
      </c>
      <c r="E1144" s="31" t="s">
        <v>3118</v>
      </c>
      <c r="F1144" s="31" t="s">
        <v>1623</v>
      </c>
      <c r="G1144" s="31" t="s">
        <v>461</v>
      </c>
      <c r="H1144" s="31" t="s">
        <v>41</v>
      </c>
      <c r="I1144" s="31" t="n">
        <f aca="false">VLOOKUP(H1144,Paramètres!$A$15:$B$19,2,FALSE())</f>
        <v>1</v>
      </c>
      <c r="J1144" s="31" t="n">
        <v>1</v>
      </c>
      <c r="K1144" s="50" t="str">
        <f aca="false">C1144&amp;"|"&amp;J1144</f>
        <v>ADM-WA|1</v>
      </c>
      <c r="L1144" s="31" t="s">
        <v>3119</v>
      </c>
      <c r="M1144" s="31" t="n">
        <v>1</v>
      </c>
      <c r="N1144" s="51" t="s">
        <v>462</v>
      </c>
      <c r="O1144" s="35" t="s">
        <v>78</v>
      </c>
      <c r="P1144" s="52"/>
      <c r="Q1144" s="52"/>
      <c r="R1144" s="33" t="n">
        <f aca="false">INDEX(Épopées!$L$6:$L$59,MATCH(K1144,Épopées!$A$6:$A$59,0))</f>
        <v>46388</v>
      </c>
      <c r="S1144" s="33" t="n">
        <f aca="false">INDEX(Épopées!$M$6:$M$59,MATCH(K1144,Épopées!$A$6:$A$59,0))</f>
        <v>46406</v>
      </c>
      <c r="T1144" s="53" t="s">
        <v>463</v>
      </c>
    </row>
    <row r="1145" customFormat="false" ht="15" hidden="false" customHeight="false" outlineLevel="0" collapsed="false">
      <c r="A1145" s="31" t="s">
        <v>3120</v>
      </c>
      <c r="B1145" s="31" t="s">
        <v>404</v>
      </c>
      <c r="C1145" s="31" t="s">
        <v>411</v>
      </c>
      <c r="D1145" s="31" t="s">
        <v>412</v>
      </c>
      <c r="E1145" s="31" t="s">
        <v>3121</v>
      </c>
      <c r="F1145" s="31" t="s">
        <v>491</v>
      </c>
      <c r="G1145" s="31" t="s">
        <v>461</v>
      </c>
      <c r="H1145" s="31" t="s">
        <v>39</v>
      </c>
      <c r="I1145" s="31" t="n">
        <f aca="false">VLOOKUP(H1145,Paramètres!$A$15:$B$19,2,FALSE())</f>
        <v>0.5</v>
      </c>
      <c r="J1145" s="31" t="n">
        <v>1</v>
      </c>
      <c r="K1145" s="50" t="str">
        <f aca="false">C1145&amp;"|"&amp;J1145</f>
        <v>ADM-WA|1</v>
      </c>
      <c r="L1145" s="31" t="s">
        <v>3104</v>
      </c>
      <c r="M1145" s="31" t="n">
        <v>1</v>
      </c>
      <c r="N1145" s="51" t="s">
        <v>462</v>
      </c>
      <c r="O1145" s="35" t="s">
        <v>78</v>
      </c>
      <c r="P1145" s="52"/>
      <c r="Q1145" s="52"/>
      <c r="R1145" s="33" t="n">
        <f aca="false">INDEX(Épopées!$L$6:$L$59,MATCH(K1145,Épopées!$A$6:$A$59,0))</f>
        <v>46388</v>
      </c>
      <c r="S1145" s="33" t="n">
        <f aca="false">INDEX(Épopées!$M$6:$M$59,MATCH(K1145,Épopées!$A$6:$A$59,0))</f>
        <v>46406</v>
      </c>
      <c r="T1145" s="53" t="s">
        <v>463</v>
      </c>
    </row>
    <row r="1146" customFormat="false" ht="15" hidden="false" customHeight="false" outlineLevel="0" collapsed="false">
      <c r="A1146" s="31" t="s">
        <v>3122</v>
      </c>
      <c r="B1146" s="31" t="s">
        <v>404</v>
      </c>
      <c r="C1146" s="31" t="s">
        <v>411</v>
      </c>
      <c r="D1146" s="31" t="s">
        <v>412</v>
      </c>
      <c r="E1146" s="31" t="s">
        <v>3123</v>
      </c>
      <c r="F1146" s="31" t="s">
        <v>1623</v>
      </c>
      <c r="G1146" s="31" t="s">
        <v>461</v>
      </c>
      <c r="H1146" s="31" t="s">
        <v>41</v>
      </c>
      <c r="I1146" s="31" t="n">
        <f aca="false">VLOOKUP(H1146,Paramètres!$A$15:$B$19,2,FALSE())</f>
        <v>1</v>
      </c>
      <c r="J1146" s="31" t="n">
        <v>1</v>
      </c>
      <c r="K1146" s="50" t="str">
        <f aca="false">C1146&amp;"|"&amp;J1146</f>
        <v>ADM-WA|1</v>
      </c>
      <c r="L1146" s="31" t="s">
        <v>3124</v>
      </c>
      <c r="M1146" s="31" t="n">
        <v>1</v>
      </c>
      <c r="N1146" s="51" t="s">
        <v>462</v>
      </c>
      <c r="O1146" s="35" t="s">
        <v>78</v>
      </c>
      <c r="P1146" s="52"/>
      <c r="Q1146" s="52"/>
      <c r="R1146" s="33" t="n">
        <f aca="false">INDEX(Épopées!$L$6:$L$59,MATCH(K1146,Épopées!$A$6:$A$59,0))</f>
        <v>46388</v>
      </c>
      <c r="S1146" s="33" t="n">
        <f aca="false">INDEX(Épopées!$M$6:$M$59,MATCH(K1146,Épopées!$A$6:$A$59,0))</f>
        <v>46406</v>
      </c>
      <c r="T1146" s="53" t="s">
        <v>463</v>
      </c>
    </row>
    <row r="1147" customFormat="false" ht="15" hidden="false" customHeight="false" outlineLevel="0" collapsed="false">
      <c r="A1147" s="31" t="s">
        <v>3125</v>
      </c>
      <c r="B1147" s="31" t="s">
        <v>404</v>
      </c>
      <c r="C1147" s="31" t="s">
        <v>411</v>
      </c>
      <c r="D1147" s="31" t="s">
        <v>412</v>
      </c>
      <c r="E1147" s="31" t="s">
        <v>3126</v>
      </c>
      <c r="F1147" s="31" t="s">
        <v>1623</v>
      </c>
      <c r="G1147" s="31" t="s">
        <v>461</v>
      </c>
      <c r="H1147" s="31" t="s">
        <v>43</v>
      </c>
      <c r="I1147" s="31" t="n">
        <f aca="false">VLOOKUP(H1147,Paramètres!$A$15:$B$19,2,FALSE())</f>
        <v>2</v>
      </c>
      <c r="J1147" s="31" t="n">
        <v>1</v>
      </c>
      <c r="K1147" s="50" t="str">
        <f aca="false">C1147&amp;"|"&amp;J1147</f>
        <v>ADM-WA|1</v>
      </c>
      <c r="L1147" s="31" t="s">
        <v>3127</v>
      </c>
      <c r="M1147" s="31" t="n">
        <v>1</v>
      </c>
      <c r="N1147" s="51" t="s">
        <v>462</v>
      </c>
      <c r="O1147" s="35" t="s">
        <v>78</v>
      </c>
      <c r="P1147" s="52"/>
      <c r="Q1147" s="52"/>
      <c r="R1147" s="33" t="n">
        <f aca="false">INDEX(Épopées!$L$6:$L$59,MATCH(K1147,Épopées!$A$6:$A$59,0))</f>
        <v>46388</v>
      </c>
      <c r="S1147" s="33" t="n">
        <f aca="false">INDEX(Épopées!$M$6:$M$59,MATCH(K1147,Épopées!$A$6:$A$59,0))</f>
        <v>46406</v>
      </c>
      <c r="T1147" s="53" t="s">
        <v>463</v>
      </c>
    </row>
    <row r="1148" customFormat="false" ht="15" hidden="false" customHeight="false" outlineLevel="0" collapsed="false">
      <c r="A1148" s="31" t="s">
        <v>3128</v>
      </c>
      <c r="B1148" s="31" t="s">
        <v>404</v>
      </c>
      <c r="C1148" s="31" t="s">
        <v>411</v>
      </c>
      <c r="D1148" s="31" t="s">
        <v>412</v>
      </c>
      <c r="E1148" s="31" t="s">
        <v>3129</v>
      </c>
      <c r="F1148" s="31" t="s">
        <v>491</v>
      </c>
      <c r="G1148" s="31" t="s">
        <v>461</v>
      </c>
      <c r="H1148" s="31" t="s">
        <v>43</v>
      </c>
      <c r="I1148" s="31" t="n">
        <f aca="false">VLOOKUP(H1148,Paramètres!$A$15:$B$19,2,FALSE())</f>
        <v>2</v>
      </c>
      <c r="J1148" s="31" t="n">
        <v>1</v>
      </c>
      <c r="K1148" s="50" t="str">
        <f aca="false">C1148&amp;"|"&amp;J1148</f>
        <v>ADM-WA|1</v>
      </c>
      <c r="L1148" s="31" t="s">
        <v>3104</v>
      </c>
      <c r="M1148" s="31" t="n">
        <v>1</v>
      </c>
      <c r="N1148" s="51" t="s">
        <v>462</v>
      </c>
      <c r="O1148" s="35" t="s">
        <v>78</v>
      </c>
      <c r="P1148" s="52"/>
      <c r="Q1148" s="52"/>
      <c r="R1148" s="33" t="n">
        <f aca="false">INDEX(Épopées!$L$6:$L$59,MATCH(K1148,Épopées!$A$6:$A$59,0))</f>
        <v>46388</v>
      </c>
      <c r="S1148" s="33" t="n">
        <f aca="false">INDEX(Épopées!$M$6:$M$59,MATCH(K1148,Épopées!$A$6:$A$59,0))</f>
        <v>46406</v>
      </c>
      <c r="T1148" s="53" t="s">
        <v>463</v>
      </c>
    </row>
    <row r="1149" customFormat="false" ht="15" hidden="false" customHeight="false" outlineLevel="0" collapsed="false">
      <c r="A1149" s="31" t="s">
        <v>3130</v>
      </c>
      <c r="B1149" s="31" t="s">
        <v>404</v>
      </c>
      <c r="C1149" s="31" t="s">
        <v>411</v>
      </c>
      <c r="D1149" s="31" t="s">
        <v>412</v>
      </c>
      <c r="E1149" s="31" t="s">
        <v>3131</v>
      </c>
      <c r="F1149" s="31" t="s">
        <v>1623</v>
      </c>
      <c r="G1149" s="31" t="s">
        <v>461</v>
      </c>
      <c r="H1149" s="31" t="s">
        <v>39</v>
      </c>
      <c r="I1149" s="31" t="n">
        <f aca="false">VLOOKUP(H1149,Paramètres!$A$15:$B$19,2,FALSE())</f>
        <v>0.5</v>
      </c>
      <c r="J1149" s="31" t="n">
        <v>1</v>
      </c>
      <c r="K1149" s="50" t="str">
        <f aca="false">C1149&amp;"|"&amp;J1149</f>
        <v>ADM-WA|1</v>
      </c>
      <c r="L1149" s="31" t="s">
        <v>3132</v>
      </c>
      <c r="M1149" s="31" t="n">
        <v>1</v>
      </c>
      <c r="N1149" s="51" t="s">
        <v>462</v>
      </c>
      <c r="O1149" s="35" t="s">
        <v>78</v>
      </c>
      <c r="P1149" s="52"/>
      <c r="Q1149" s="52"/>
      <c r="R1149" s="33" t="n">
        <f aca="false">INDEX(Épopées!$L$6:$L$59,MATCH(K1149,Épopées!$A$6:$A$59,0))</f>
        <v>46388</v>
      </c>
      <c r="S1149" s="33" t="n">
        <f aca="false">INDEX(Épopées!$M$6:$M$59,MATCH(K1149,Épopées!$A$6:$A$59,0))</f>
        <v>46406</v>
      </c>
      <c r="T1149" s="53" t="s">
        <v>463</v>
      </c>
    </row>
    <row r="1150" customFormat="false" ht="15" hidden="false" customHeight="false" outlineLevel="0" collapsed="false">
      <c r="A1150" s="31" t="s">
        <v>3133</v>
      </c>
      <c r="B1150" s="31" t="s">
        <v>404</v>
      </c>
      <c r="C1150" s="31" t="s">
        <v>411</v>
      </c>
      <c r="D1150" s="31" t="s">
        <v>412</v>
      </c>
      <c r="E1150" s="31" t="s">
        <v>3134</v>
      </c>
      <c r="F1150" s="31" t="s">
        <v>469</v>
      </c>
      <c r="G1150" s="31" t="s">
        <v>461</v>
      </c>
      <c r="H1150" s="31" t="s">
        <v>41</v>
      </c>
      <c r="I1150" s="31" t="n">
        <f aca="false">VLOOKUP(H1150,Paramètres!$A$15:$B$19,2,FALSE())</f>
        <v>1</v>
      </c>
      <c r="J1150" s="31" t="n">
        <v>1</v>
      </c>
      <c r="K1150" s="50" t="str">
        <f aca="false">C1150&amp;"|"&amp;J1150</f>
        <v>ADM-WA|1</v>
      </c>
      <c r="L1150" s="31" t="s">
        <v>3104</v>
      </c>
      <c r="M1150" s="31" t="n">
        <v>1</v>
      </c>
      <c r="N1150" s="51" t="s">
        <v>462</v>
      </c>
      <c r="O1150" s="35" t="s">
        <v>78</v>
      </c>
      <c r="P1150" s="52"/>
      <c r="Q1150" s="52"/>
      <c r="R1150" s="33" t="n">
        <f aca="false">INDEX(Épopées!$L$6:$L$59,MATCH(K1150,Épopées!$A$6:$A$59,0))</f>
        <v>46388</v>
      </c>
      <c r="S1150" s="33" t="n">
        <f aca="false">INDEX(Épopées!$M$6:$M$59,MATCH(K1150,Épopées!$A$6:$A$59,0))</f>
        <v>46406</v>
      </c>
      <c r="T1150" s="53" t="s">
        <v>463</v>
      </c>
    </row>
    <row r="1151" customFormat="false" ht="15" hidden="false" customHeight="false" outlineLevel="0" collapsed="false">
      <c r="A1151" s="31" t="s">
        <v>3135</v>
      </c>
      <c r="B1151" s="31" t="s">
        <v>404</v>
      </c>
      <c r="C1151" s="31" t="s">
        <v>411</v>
      </c>
      <c r="D1151" s="31" t="s">
        <v>412</v>
      </c>
      <c r="E1151" s="31" t="s">
        <v>3136</v>
      </c>
      <c r="F1151" s="31" t="s">
        <v>1623</v>
      </c>
      <c r="G1151" s="31" t="s">
        <v>466</v>
      </c>
      <c r="H1151" s="31" t="s">
        <v>39</v>
      </c>
      <c r="I1151" s="31" t="n">
        <f aca="false">VLOOKUP(H1151,Paramètres!$A$15:$B$19,2,FALSE())</f>
        <v>0.5</v>
      </c>
      <c r="J1151" s="31" t="n">
        <v>1</v>
      </c>
      <c r="K1151" s="50" t="str">
        <f aca="false">C1151&amp;"|"&amp;J1151</f>
        <v>ADM-WA|1</v>
      </c>
      <c r="L1151" s="31" t="s">
        <v>3133</v>
      </c>
      <c r="M1151" s="31" t="n">
        <v>1</v>
      </c>
      <c r="N1151" s="51" t="s">
        <v>462</v>
      </c>
      <c r="O1151" s="35" t="s">
        <v>78</v>
      </c>
      <c r="P1151" s="52"/>
      <c r="Q1151" s="52"/>
      <c r="R1151" s="33" t="n">
        <f aca="false">INDEX(Épopées!$L$6:$L$59,MATCH(K1151,Épopées!$A$6:$A$59,0))</f>
        <v>46388</v>
      </c>
      <c r="S1151" s="33" t="n">
        <f aca="false">INDEX(Épopées!$M$6:$M$59,MATCH(K1151,Épopées!$A$6:$A$59,0))</f>
        <v>46406</v>
      </c>
      <c r="T1151" s="53" t="s">
        <v>463</v>
      </c>
    </row>
    <row r="1152" customFormat="false" ht="15" hidden="false" customHeight="false" outlineLevel="0" collapsed="false">
      <c r="A1152" s="31" t="s">
        <v>3137</v>
      </c>
      <c r="B1152" s="31" t="s">
        <v>404</v>
      </c>
      <c r="C1152" s="31" t="s">
        <v>411</v>
      </c>
      <c r="D1152" s="31" t="s">
        <v>412</v>
      </c>
      <c r="E1152" s="31" t="s">
        <v>3138</v>
      </c>
      <c r="F1152" s="31" t="s">
        <v>1623</v>
      </c>
      <c r="G1152" s="31" t="s">
        <v>466</v>
      </c>
      <c r="H1152" s="31" t="s">
        <v>41</v>
      </c>
      <c r="I1152" s="31" t="n">
        <f aca="false">VLOOKUP(H1152,Paramètres!$A$15:$B$19,2,FALSE())</f>
        <v>1</v>
      </c>
      <c r="J1152" s="31" t="n">
        <v>1</v>
      </c>
      <c r="K1152" s="50" t="str">
        <f aca="false">C1152&amp;"|"&amp;J1152</f>
        <v>ADM-WA|1</v>
      </c>
      <c r="L1152" s="31" t="s">
        <v>3139</v>
      </c>
      <c r="M1152" s="31" t="n">
        <v>1</v>
      </c>
      <c r="N1152" s="51" t="s">
        <v>462</v>
      </c>
      <c r="O1152" s="35" t="s">
        <v>78</v>
      </c>
      <c r="P1152" s="52"/>
      <c r="Q1152" s="52"/>
      <c r="R1152" s="33" t="n">
        <f aca="false">INDEX(Épopées!$L$6:$L$59,MATCH(K1152,Épopées!$A$6:$A$59,0))</f>
        <v>46388</v>
      </c>
      <c r="S1152" s="33" t="n">
        <f aca="false">INDEX(Épopées!$M$6:$M$59,MATCH(K1152,Épopées!$A$6:$A$59,0))</f>
        <v>46406</v>
      </c>
      <c r="T1152" s="53" t="s">
        <v>463</v>
      </c>
    </row>
    <row r="1153" customFormat="false" ht="15" hidden="false" customHeight="false" outlineLevel="0" collapsed="false">
      <c r="A1153" s="31" t="s">
        <v>3139</v>
      </c>
      <c r="B1153" s="31" t="s">
        <v>404</v>
      </c>
      <c r="C1153" s="31" t="s">
        <v>411</v>
      </c>
      <c r="D1153" s="31" t="s">
        <v>412</v>
      </c>
      <c r="E1153" s="31" t="s">
        <v>3140</v>
      </c>
      <c r="F1153" s="31" t="s">
        <v>491</v>
      </c>
      <c r="G1153" s="31" t="s">
        <v>461</v>
      </c>
      <c r="H1153" s="31" t="s">
        <v>41</v>
      </c>
      <c r="I1153" s="31" t="n">
        <f aca="false">VLOOKUP(H1153,Paramètres!$A$15:$B$19,2,FALSE())</f>
        <v>1</v>
      </c>
      <c r="J1153" s="31" t="n">
        <v>1</v>
      </c>
      <c r="K1153" s="50" t="str">
        <f aca="false">C1153&amp;"|"&amp;J1153</f>
        <v>ADM-WA|1</v>
      </c>
      <c r="L1153" s="31"/>
      <c r="M1153" s="31" t="n">
        <v>3</v>
      </c>
      <c r="N1153" s="51" t="s">
        <v>462</v>
      </c>
      <c r="O1153" s="35" t="s">
        <v>78</v>
      </c>
      <c r="P1153" s="52"/>
      <c r="Q1153" s="52"/>
      <c r="R1153" s="33" t="n">
        <f aca="false">INDEX(Épopées!$L$6:$L$59,MATCH(K1153,Épopées!$A$6:$A$59,0))</f>
        <v>46388</v>
      </c>
      <c r="S1153" s="33" t="n">
        <f aca="false">INDEX(Épopées!$M$6:$M$59,MATCH(K1153,Épopées!$A$6:$A$59,0))</f>
        <v>46406</v>
      </c>
      <c r="T1153" s="53" t="s">
        <v>463</v>
      </c>
    </row>
    <row r="1154" customFormat="false" ht="15" hidden="false" customHeight="false" outlineLevel="0" collapsed="false">
      <c r="A1154" s="31" t="s">
        <v>3141</v>
      </c>
      <c r="B1154" s="31" t="s">
        <v>404</v>
      </c>
      <c r="C1154" s="31" t="s">
        <v>411</v>
      </c>
      <c r="D1154" s="31" t="s">
        <v>412</v>
      </c>
      <c r="E1154" s="31" t="s">
        <v>3142</v>
      </c>
      <c r="F1154" s="31" t="s">
        <v>469</v>
      </c>
      <c r="G1154" s="31" t="s">
        <v>466</v>
      </c>
      <c r="H1154" s="31" t="s">
        <v>41</v>
      </c>
      <c r="I1154" s="31" t="n">
        <f aca="false">VLOOKUP(H1154,Paramètres!$A$15:$B$19,2,FALSE())</f>
        <v>1</v>
      </c>
      <c r="J1154" s="31" t="n">
        <v>1</v>
      </c>
      <c r="K1154" s="50" t="str">
        <f aca="false">C1154&amp;"|"&amp;J1154</f>
        <v>ADM-WA|1</v>
      </c>
      <c r="L1154" s="31" t="s">
        <v>3104</v>
      </c>
      <c r="M1154" s="31" t="n">
        <v>2</v>
      </c>
      <c r="N1154" s="51" t="s">
        <v>462</v>
      </c>
      <c r="O1154" s="35" t="s">
        <v>78</v>
      </c>
      <c r="P1154" s="52"/>
      <c r="Q1154" s="52"/>
      <c r="R1154" s="33" t="n">
        <f aca="false">INDEX(Épopées!$L$6:$L$59,MATCH(K1154,Épopées!$A$6:$A$59,0))</f>
        <v>46388</v>
      </c>
      <c r="S1154" s="33" t="n">
        <f aca="false">INDEX(Épopées!$M$6:$M$59,MATCH(K1154,Épopées!$A$6:$A$59,0))</f>
        <v>46406</v>
      </c>
      <c r="T1154" s="53" t="s">
        <v>463</v>
      </c>
    </row>
    <row r="1155" customFormat="false" ht="15" hidden="false" customHeight="false" outlineLevel="0" collapsed="false">
      <c r="A1155" s="31" t="s">
        <v>3143</v>
      </c>
      <c r="B1155" s="31" t="s">
        <v>404</v>
      </c>
      <c r="C1155" s="31" t="s">
        <v>411</v>
      </c>
      <c r="D1155" s="31" t="s">
        <v>412</v>
      </c>
      <c r="E1155" s="31" t="s">
        <v>3144</v>
      </c>
      <c r="F1155" s="31" t="s">
        <v>1863</v>
      </c>
      <c r="G1155" s="31" t="s">
        <v>466</v>
      </c>
      <c r="H1155" s="31" t="s">
        <v>39</v>
      </c>
      <c r="I1155" s="31" t="n">
        <f aca="false">VLOOKUP(H1155,Paramètres!$A$15:$B$19,2,FALSE())</f>
        <v>0.5</v>
      </c>
      <c r="J1155" s="31" t="n">
        <v>1</v>
      </c>
      <c r="K1155" s="50" t="str">
        <f aca="false">C1155&amp;"|"&amp;J1155</f>
        <v>ADM-WA|1</v>
      </c>
      <c r="L1155" s="31" t="s">
        <v>3145</v>
      </c>
      <c r="M1155" s="31" t="n">
        <v>7</v>
      </c>
      <c r="N1155" s="51" t="s">
        <v>462</v>
      </c>
      <c r="O1155" s="35" t="s">
        <v>78</v>
      </c>
      <c r="P1155" s="52"/>
      <c r="Q1155" s="52"/>
      <c r="R1155" s="33" t="n">
        <f aca="false">INDEX(Épopées!$L$6:$L$59,MATCH(K1155,Épopées!$A$6:$A$59,0))</f>
        <v>46388</v>
      </c>
      <c r="S1155" s="33" t="n">
        <f aca="false">INDEX(Épopées!$M$6:$M$59,MATCH(K1155,Épopées!$A$6:$A$59,0))</f>
        <v>46406</v>
      </c>
      <c r="T1155" s="53" t="s">
        <v>463</v>
      </c>
    </row>
    <row r="1156" customFormat="false" ht="15" hidden="false" customHeight="false" outlineLevel="0" collapsed="false">
      <c r="A1156" s="31" t="s">
        <v>3146</v>
      </c>
      <c r="B1156" s="31" t="s">
        <v>404</v>
      </c>
      <c r="C1156" s="31" t="s">
        <v>411</v>
      </c>
      <c r="D1156" s="31" t="s">
        <v>412</v>
      </c>
      <c r="E1156" s="31" t="s">
        <v>3147</v>
      </c>
      <c r="F1156" s="31" t="s">
        <v>472</v>
      </c>
      <c r="G1156" s="31" t="s">
        <v>461</v>
      </c>
      <c r="H1156" s="31" t="s">
        <v>41</v>
      </c>
      <c r="I1156" s="31" t="n">
        <f aca="false">VLOOKUP(H1156,Paramètres!$A$15:$B$19,2,FALSE())</f>
        <v>1</v>
      </c>
      <c r="J1156" s="31" t="n">
        <v>1</v>
      </c>
      <c r="K1156" s="50" t="str">
        <f aca="false">C1156&amp;"|"&amp;J1156</f>
        <v>ADM-WA|1</v>
      </c>
      <c r="L1156" s="31" t="s">
        <v>3148</v>
      </c>
      <c r="M1156" s="31" t="n">
        <v>6</v>
      </c>
      <c r="N1156" s="51" t="s">
        <v>462</v>
      </c>
      <c r="O1156" s="35" t="s">
        <v>78</v>
      </c>
      <c r="P1156" s="52"/>
      <c r="Q1156" s="52"/>
      <c r="R1156" s="33" t="n">
        <f aca="false">INDEX(Épopées!$L$6:$L$59,MATCH(K1156,Épopées!$A$6:$A$59,0))</f>
        <v>46388</v>
      </c>
      <c r="S1156" s="33" t="n">
        <f aca="false">INDEX(Épopées!$M$6:$M$59,MATCH(K1156,Épopées!$A$6:$A$59,0))</f>
        <v>46406</v>
      </c>
      <c r="T1156" s="53" t="s">
        <v>463</v>
      </c>
    </row>
    <row r="1157" customFormat="false" ht="15" hidden="false" customHeight="false" outlineLevel="0" collapsed="false">
      <c r="A1157" s="31" t="s">
        <v>3149</v>
      </c>
      <c r="B1157" s="31" t="s">
        <v>404</v>
      </c>
      <c r="C1157" s="31" t="s">
        <v>414</v>
      </c>
      <c r="D1157" s="31" t="s">
        <v>415</v>
      </c>
      <c r="E1157" s="31" t="s">
        <v>3150</v>
      </c>
      <c r="F1157" s="31" t="s">
        <v>460</v>
      </c>
      <c r="G1157" s="31" t="s">
        <v>461</v>
      </c>
      <c r="H1157" s="31" t="s">
        <v>41</v>
      </c>
      <c r="I1157" s="31" t="n">
        <f aca="false">VLOOKUP(H1157,Paramètres!$A$15:$B$19,2,FALSE())</f>
        <v>1</v>
      </c>
      <c r="J1157" s="31" t="n">
        <v>1</v>
      </c>
      <c r="K1157" s="50" t="str">
        <f aca="false">C1157&amp;"|"&amp;J1157</f>
        <v>ADM-WB|1</v>
      </c>
      <c r="L1157" s="31"/>
      <c r="M1157" s="31" t="n">
        <v>4</v>
      </c>
      <c r="N1157" s="51" t="s">
        <v>462</v>
      </c>
      <c r="O1157" s="35" t="s">
        <v>78</v>
      </c>
      <c r="P1157" s="52"/>
      <c r="Q1157" s="52"/>
      <c r="R1157" s="33" t="n">
        <f aca="false">INDEX(Épopées!$L$6:$L$59,MATCH(K1157,Épopées!$A$6:$A$59,0))</f>
        <v>46407</v>
      </c>
      <c r="S1157" s="33" t="n">
        <f aca="false">INDEX(Épopées!$M$6:$M$59,MATCH(K1157,Épopées!$A$6:$A$59,0))</f>
        <v>46423</v>
      </c>
      <c r="T1157" s="53" t="s">
        <v>463</v>
      </c>
    </row>
    <row r="1158" customFormat="false" ht="15" hidden="false" customHeight="false" outlineLevel="0" collapsed="false">
      <c r="A1158" s="31" t="s">
        <v>3151</v>
      </c>
      <c r="B1158" s="31" t="s">
        <v>404</v>
      </c>
      <c r="C1158" s="31" t="s">
        <v>414</v>
      </c>
      <c r="D1158" s="31" t="s">
        <v>415</v>
      </c>
      <c r="E1158" s="31" t="s">
        <v>3152</v>
      </c>
      <c r="F1158" s="31" t="s">
        <v>1863</v>
      </c>
      <c r="G1158" s="31" t="s">
        <v>461</v>
      </c>
      <c r="H1158" s="31" t="s">
        <v>41</v>
      </c>
      <c r="I1158" s="31" t="n">
        <f aca="false">VLOOKUP(H1158,Paramètres!$A$15:$B$19,2,FALSE())</f>
        <v>1</v>
      </c>
      <c r="J1158" s="31" t="n">
        <v>1</v>
      </c>
      <c r="K1158" s="50" t="str">
        <f aca="false">C1158&amp;"|"&amp;J1158</f>
        <v>ADM-WB|1</v>
      </c>
      <c r="L1158" s="31"/>
      <c r="M1158" s="31" t="n">
        <v>6</v>
      </c>
      <c r="N1158" s="51" t="s">
        <v>462</v>
      </c>
      <c r="O1158" s="35" t="s">
        <v>78</v>
      </c>
      <c r="P1158" s="52"/>
      <c r="Q1158" s="52"/>
      <c r="R1158" s="33" t="n">
        <f aca="false">INDEX(Épopées!$L$6:$L$59,MATCH(K1158,Épopées!$A$6:$A$59,0))</f>
        <v>46407</v>
      </c>
      <c r="S1158" s="33" t="n">
        <f aca="false">INDEX(Épopées!$M$6:$M$59,MATCH(K1158,Épopées!$A$6:$A$59,0))</f>
        <v>46423</v>
      </c>
      <c r="T1158" s="53" t="s">
        <v>463</v>
      </c>
    </row>
    <row r="1159" customFormat="false" ht="15" hidden="false" customHeight="false" outlineLevel="0" collapsed="false">
      <c r="A1159" s="31" t="s">
        <v>3153</v>
      </c>
      <c r="B1159" s="31" t="s">
        <v>404</v>
      </c>
      <c r="C1159" s="31" t="s">
        <v>414</v>
      </c>
      <c r="D1159" s="31" t="s">
        <v>415</v>
      </c>
      <c r="E1159" s="31" t="s">
        <v>3154</v>
      </c>
      <c r="F1159" s="31" t="s">
        <v>1863</v>
      </c>
      <c r="G1159" s="31" t="s">
        <v>461</v>
      </c>
      <c r="H1159" s="31" t="s">
        <v>41</v>
      </c>
      <c r="I1159" s="31" t="n">
        <f aca="false">VLOOKUP(H1159,Paramètres!$A$15:$B$19,2,FALSE())</f>
        <v>1</v>
      </c>
      <c r="J1159" s="31" t="n">
        <v>1</v>
      </c>
      <c r="K1159" s="50" t="str">
        <f aca="false">C1159&amp;"|"&amp;J1159</f>
        <v>ADM-WB|1</v>
      </c>
      <c r="L1159" s="31"/>
      <c r="M1159" s="31" t="n">
        <v>4</v>
      </c>
      <c r="N1159" s="51" t="s">
        <v>462</v>
      </c>
      <c r="O1159" s="35" t="s">
        <v>78</v>
      </c>
      <c r="P1159" s="52"/>
      <c r="Q1159" s="52"/>
      <c r="R1159" s="33" t="n">
        <f aca="false">INDEX(Épopées!$L$6:$L$59,MATCH(K1159,Épopées!$A$6:$A$59,0))</f>
        <v>46407</v>
      </c>
      <c r="S1159" s="33" t="n">
        <f aca="false">INDEX(Épopées!$M$6:$M$59,MATCH(K1159,Épopées!$A$6:$A$59,0))</f>
        <v>46423</v>
      </c>
      <c r="T1159" s="53" t="s">
        <v>463</v>
      </c>
    </row>
    <row r="1160" customFormat="false" ht="15" hidden="false" customHeight="false" outlineLevel="0" collapsed="false">
      <c r="A1160" s="31" t="s">
        <v>3155</v>
      </c>
      <c r="B1160" s="31" t="s">
        <v>404</v>
      </c>
      <c r="C1160" s="31" t="s">
        <v>414</v>
      </c>
      <c r="D1160" s="31" t="s">
        <v>415</v>
      </c>
      <c r="E1160" s="31" t="s">
        <v>3156</v>
      </c>
      <c r="F1160" s="31" t="s">
        <v>1623</v>
      </c>
      <c r="G1160" s="31" t="s">
        <v>461</v>
      </c>
      <c r="H1160" s="31" t="s">
        <v>43</v>
      </c>
      <c r="I1160" s="31" t="n">
        <f aca="false">VLOOKUP(H1160,Paramètres!$A$15:$B$19,2,FALSE())</f>
        <v>2</v>
      </c>
      <c r="J1160" s="31" t="n">
        <v>1</v>
      </c>
      <c r="K1160" s="50" t="str">
        <f aca="false">C1160&amp;"|"&amp;J1160</f>
        <v>ADM-WB|1</v>
      </c>
      <c r="L1160" s="31" t="s">
        <v>3157</v>
      </c>
      <c r="M1160" s="31" t="n">
        <v>1</v>
      </c>
      <c r="N1160" s="51" t="s">
        <v>462</v>
      </c>
      <c r="O1160" s="35" t="s">
        <v>78</v>
      </c>
      <c r="P1160" s="52"/>
      <c r="Q1160" s="52"/>
      <c r="R1160" s="33" t="n">
        <f aca="false">INDEX(Épopées!$L$6:$L$59,MATCH(K1160,Épopées!$A$6:$A$59,0))</f>
        <v>46407</v>
      </c>
      <c r="S1160" s="33" t="n">
        <f aca="false">INDEX(Épopées!$M$6:$M$59,MATCH(K1160,Épopées!$A$6:$A$59,0))</f>
        <v>46423</v>
      </c>
      <c r="T1160" s="53" t="s">
        <v>463</v>
      </c>
    </row>
    <row r="1161" customFormat="false" ht="15" hidden="false" customHeight="false" outlineLevel="0" collapsed="false">
      <c r="A1161" s="31" t="s">
        <v>3158</v>
      </c>
      <c r="B1161" s="31" t="s">
        <v>404</v>
      </c>
      <c r="C1161" s="31" t="s">
        <v>414</v>
      </c>
      <c r="D1161" s="31" t="s">
        <v>415</v>
      </c>
      <c r="E1161" s="31" t="s">
        <v>3159</v>
      </c>
      <c r="F1161" s="31" t="s">
        <v>1623</v>
      </c>
      <c r="G1161" s="31" t="s">
        <v>461</v>
      </c>
      <c r="H1161" s="31" t="s">
        <v>43</v>
      </c>
      <c r="I1161" s="31" t="n">
        <f aca="false">VLOOKUP(H1161,Paramètres!$A$15:$B$19,2,FALSE())</f>
        <v>2</v>
      </c>
      <c r="J1161" s="31" t="n">
        <v>1</v>
      </c>
      <c r="K1161" s="50" t="str">
        <f aca="false">C1161&amp;"|"&amp;J1161</f>
        <v>ADM-WB|1</v>
      </c>
      <c r="L1161" s="31" t="s">
        <v>3160</v>
      </c>
      <c r="M1161" s="31" t="n">
        <v>1</v>
      </c>
      <c r="N1161" s="51" t="s">
        <v>462</v>
      </c>
      <c r="O1161" s="35" t="s">
        <v>78</v>
      </c>
      <c r="P1161" s="52"/>
      <c r="Q1161" s="52"/>
      <c r="R1161" s="33" t="n">
        <f aca="false">INDEX(Épopées!$L$6:$L$59,MATCH(K1161,Épopées!$A$6:$A$59,0))</f>
        <v>46407</v>
      </c>
      <c r="S1161" s="33" t="n">
        <f aca="false">INDEX(Épopées!$M$6:$M$59,MATCH(K1161,Épopées!$A$6:$A$59,0))</f>
        <v>46423</v>
      </c>
      <c r="T1161" s="53" t="s">
        <v>463</v>
      </c>
    </row>
    <row r="1162" customFormat="false" ht="15" hidden="false" customHeight="false" outlineLevel="0" collapsed="false">
      <c r="A1162" s="31" t="s">
        <v>3161</v>
      </c>
      <c r="B1162" s="31" t="s">
        <v>404</v>
      </c>
      <c r="C1162" s="31" t="s">
        <v>414</v>
      </c>
      <c r="D1162" s="31" t="s">
        <v>415</v>
      </c>
      <c r="E1162" s="31" t="s">
        <v>3162</v>
      </c>
      <c r="F1162" s="31" t="s">
        <v>1623</v>
      </c>
      <c r="G1162" s="31" t="s">
        <v>461</v>
      </c>
      <c r="H1162" s="31" t="s">
        <v>41</v>
      </c>
      <c r="I1162" s="31" t="n">
        <f aca="false">VLOOKUP(H1162,Paramètres!$A$15:$B$19,2,FALSE())</f>
        <v>1</v>
      </c>
      <c r="J1162" s="31" t="n">
        <v>1</v>
      </c>
      <c r="K1162" s="50" t="str">
        <f aca="false">C1162&amp;"|"&amp;J1162</f>
        <v>ADM-WB|1</v>
      </c>
      <c r="L1162" s="31" t="s">
        <v>3163</v>
      </c>
      <c r="M1162" s="31" t="n">
        <v>1</v>
      </c>
      <c r="N1162" s="51" t="s">
        <v>462</v>
      </c>
      <c r="O1162" s="35" t="s">
        <v>78</v>
      </c>
      <c r="P1162" s="52"/>
      <c r="Q1162" s="52"/>
      <c r="R1162" s="33" t="n">
        <f aca="false">INDEX(Épopées!$L$6:$L$59,MATCH(K1162,Épopées!$A$6:$A$59,0))</f>
        <v>46407</v>
      </c>
      <c r="S1162" s="33" t="n">
        <f aca="false">INDEX(Épopées!$M$6:$M$59,MATCH(K1162,Épopées!$A$6:$A$59,0))</f>
        <v>46423</v>
      </c>
      <c r="T1162" s="53" t="s">
        <v>463</v>
      </c>
    </row>
    <row r="1163" customFormat="false" ht="15" hidden="false" customHeight="false" outlineLevel="0" collapsed="false">
      <c r="A1163" s="31" t="s">
        <v>3164</v>
      </c>
      <c r="B1163" s="31" t="s">
        <v>404</v>
      </c>
      <c r="C1163" s="31" t="s">
        <v>414</v>
      </c>
      <c r="D1163" s="31" t="s">
        <v>415</v>
      </c>
      <c r="E1163" s="31" t="s">
        <v>3165</v>
      </c>
      <c r="F1163" s="31" t="s">
        <v>1623</v>
      </c>
      <c r="G1163" s="31" t="s">
        <v>461</v>
      </c>
      <c r="H1163" s="31" t="s">
        <v>41</v>
      </c>
      <c r="I1163" s="31" t="n">
        <f aca="false">VLOOKUP(H1163,Paramètres!$A$15:$B$19,2,FALSE())</f>
        <v>1</v>
      </c>
      <c r="J1163" s="31" t="n">
        <v>1</v>
      </c>
      <c r="K1163" s="50" t="str">
        <f aca="false">C1163&amp;"|"&amp;J1163</f>
        <v>ADM-WB|1</v>
      </c>
      <c r="L1163" s="31" t="s">
        <v>3163</v>
      </c>
      <c r="M1163" s="31" t="n">
        <v>1</v>
      </c>
      <c r="N1163" s="51" t="s">
        <v>462</v>
      </c>
      <c r="O1163" s="35" t="s">
        <v>78</v>
      </c>
      <c r="P1163" s="52"/>
      <c r="Q1163" s="52"/>
      <c r="R1163" s="33" t="n">
        <f aca="false">INDEX(Épopées!$L$6:$L$59,MATCH(K1163,Épopées!$A$6:$A$59,0))</f>
        <v>46407</v>
      </c>
      <c r="S1163" s="33" t="n">
        <f aca="false">INDEX(Épopées!$M$6:$M$59,MATCH(K1163,Épopées!$A$6:$A$59,0))</f>
        <v>46423</v>
      </c>
      <c r="T1163" s="53" t="s">
        <v>463</v>
      </c>
    </row>
    <row r="1164" customFormat="false" ht="15" hidden="false" customHeight="false" outlineLevel="0" collapsed="false">
      <c r="A1164" s="31" t="s">
        <v>3166</v>
      </c>
      <c r="B1164" s="31" t="s">
        <v>404</v>
      </c>
      <c r="C1164" s="31" t="s">
        <v>414</v>
      </c>
      <c r="D1164" s="31" t="s">
        <v>415</v>
      </c>
      <c r="E1164" s="31" t="s">
        <v>3167</v>
      </c>
      <c r="F1164" s="31" t="s">
        <v>491</v>
      </c>
      <c r="G1164" s="31" t="s">
        <v>466</v>
      </c>
      <c r="H1164" s="31" t="s">
        <v>41</v>
      </c>
      <c r="I1164" s="31" t="n">
        <f aca="false">VLOOKUP(H1164,Paramètres!$A$15:$B$19,2,FALSE())</f>
        <v>1</v>
      </c>
      <c r="J1164" s="31" t="n">
        <v>1</v>
      </c>
      <c r="K1164" s="50" t="str">
        <f aca="false">C1164&amp;"|"&amp;J1164</f>
        <v>ADM-WB|1</v>
      </c>
      <c r="L1164" s="31" t="s">
        <v>3168</v>
      </c>
      <c r="M1164" s="31" t="n">
        <v>3</v>
      </c>
      <c r="N1164" s="51" t="s">
        <v>462</v>
      </c>
      <c r="O1164" s="35" t="s">
        <v>78</v>
      </c>
      <c r="P1164" s="52"/>
      <c r="Q1164" s="52"/>
      <c r="R1164" s="33" t="n">
        <f aca="false">INDEX(Épopées!$L$6:$L$59,MATCH(K1164,Épopées!$A$6:$A$59,0))</f>
        <v>46407</v>
      </c>
      <c r="S1164" s="33" t="n">
        <f aca="false">INDEX(Épopées!$M$6:$M$59,MATCH(K1164,Épopées!$A$6:$A$59,0))</f>
        <v>46423</v>
      </c>
      <c r="T1164" s="53" t="s">
        <v>463</v>
      </c>
    </row>
    <row r="1165" customFormat="false" ht="15" hidden="false" customHeight="false" outlineLevel="0" collapsed="false">
      <c r="A1165" s="31" t="s">
        <v>3169</v>
      </c>
      <c r="B1165" s="31" t="s">
        <v>404</v>
      </c>
      <c r="C1165" s="31" t="s">
        <v>414</v>
      </c>
      <c r="D1165" s="31" t="s">
        <v>415</v>
      </c>
      <c r="E1165" s="31" t="s">
        <v>3170</v>
      </c>
      <c r="F1165" s="31" t="s">
        <v>1623</v>
      </c>
      <c r="G1165" s="31" t="s">
        <v>466</v>
      </c>
      <c r="H1165" s="31" t="s">
        <v>39</v>
      </c>
      <c r="I1165" s="31" t="n">
        <f aca="false">VLOOKUP(H1165,Paramètres!$A$15:$B$19,2,FALSE())</f>
        <v>0.5</v>
      </c>
      <c r="J1165" s="31" t="n">
        <v>1</v>
      </c>
      <c r="K1165" s="50" t="str">
        <f aca="false">C1165&amp;"|"&amp;J1165</f>
        <v>ADM-WB|1</v>
      </c>
      <c r="L1165" s="31" t="s">
        <v>3155</v>
      </c>
      <c r="M1165" s="31" t="n">
        <v>1</v>
      </c>
      <c r="N1165" s="51" t="s">
        <v>462</v>
      </c>
      <c r="O1165" s="35" t="s">
        <v>78</v>
      </c>
      <c r="P1165" s="52"/>
      <c r="Q1165" s="52"/>
      <c r="R1165" s="33" t="n">
        <f aca="false">INDEX(Épopées!$L$6:$L$59,MATCH(K1165,Épopées!$A$6:$A$59,0))</f>
        <v>46407</v>
      </c>
      <c r="S1165" s="33" t="n">
        <f aca="false">INDEX(Épopées!$M$6:$M$59,MATCH(K1165,Épopées!$A$6:$A$59,0))</f>
        <v>46423</v>
      </c>
      <c r="T1165" s="53" t="s">
        <v>463</v>
      </c>
    </row>
    <row r="1166" customFormat="false" ht="15" hidden="false" customHeight="false" outlineLevel="0" collapsed="false">
      <c r="A1166" s="31" t="s">
        <v>3171</v>
      </c>
      <c r="B1166" s="31" t="s">
        <v>404</v>
      </c>
      <c r="C1166" s="31" t="s">
        <v>414</v>
      </c>
      <c r="D1166" s="31" t="s">
        <v>415</v>
      </c>
      <c r="E1166" s="31" t="s">
        <v>3172</v>
      </c>
      <c r="F1166" s="31" t="s">
        <v>1623</v>
      </c>
      <c r="G1166" s="31" t="s">
        <v>461</v>
      </c>
      <c r="H1166" s="31" t="s">
        <v>41</v>
      </c>
      <c r="I1166" s="31" t="n">
        <f aca="false">VLOOKUP(H1166,Paramètres!$A$15:$B$19,2,FALSE())</f>
        <v>1</v>
      </c>
      <c r="J1166" s="31" t="n">
        <v>1</v>
      </c>
      <c r="K1166" s="50" t="str">
        <f aca="false">C1166&amp;"|"&amp;J1166</f>
        <v>ADM-WB|1</v>
      </c>
      <c r="L1166" s="31" t="s">
        <v>3155</v>
      </c>
      <c r="M1166" s="31" t="n">
        <v>1</v>
      </c>
      <c r="N1166" s="51" t="s">
        <v>462</v>
      </c>
      <c r="O1166" s="35" t="s">
        <v>78</v>
      </c>
      <c r="P1166" s="52"/>
      <c r="Q1166" s="52"/>
      <c r="R1166" s="33" t="n">
        <f aca="false">INDEX(Épopées!$L$6:$L$59,MATCH(K1166,Épopées!$A$6:$A$59,0))</f>
        <v>46407</v>
      </c>
      <c r="S1166" s="33" t="n">
        <f aca="false">INDEX(Épopées!$M$6:$M$59,MATCH(K1166,Épopées!$A$6:$A$59,0))</f>
        <v>46423</v>
      </c>
      <c r="T1166" s="53" t="s">
        <v>463</v>
      </c>
    </row>
    <row r="1167" customFormat="false" ht="15" hidden="false" customHeight="false" outlineLevel="0" collapsed="false">
      <c r="A1167" s="31" t="s">
        <v>3173</v>
      </c>
      <c r="B1167" s="31" t="s">
        <v>404</v>
      </c>
      <c r="C1167" s="31" t="s">
        <v>414</v>
      </c>
      <c r="D1167" s="31" t="s">
        <v>415</v>
      </c>
      <c r="E1167" s="31" t="s">
        <v>3174</v>
      </c>
      <c r="F1167" s="31" t="s">
        <v>460</v>
      </c>
      <c r="G1167" s="31" t="s">
        <v>461</v>
      </c>
      <c r="H1167" s="31" t="s">
        <v>41</v>
      </c>
      <c r="I1167" s="31" t="n">
        <f aca="false">VLOOKUP(H1167,Paramètres!$A$15:$B$19,2,FALSE())</f>
        <v>1</v>
      </c>
      <c r="J1167" s="31" t="n">
        <v>1</v>
      </c>
      <c r="K1167" s="50" t="str">
        <f aca="false">C1167&amp;"|"&amp;J1167</f>
        <v>ADM-WB|1</v>
      </c>
      <c r="L1167" s="31"/>
      <c r="M1167" s="31" t="n">
        <v>2</v>
      </c>
      <c r="N1167" s="51" t="s">
        <v>462</v>
      </c>
      <c r="O1167" s="35" t="s">
        <v>78</v>
      </c>
      <c r="P1167" s="52"/>
      <c r="Q1167" s="52"/>
      <c r="R1167" s="33" t="n">
        <f aca="false">INDEX(Épopées!$L$6:$L$59,MATCH(K1167,Épopées!$A$6:$A$59,0))</f>
        <v>46407</v>
      </c>
      <c r="S1167" s="33" t="n">
        <f aca="false">INDEX(Épopées!$M$6:$M$59,MATCH(K1167,Épopées!$A$6:$A$59,0))</f>
        <v>46423</v>
      </c>
      <c r="T1167" s="53" t="s">
        <v>463</v>
      </c>
    </row>
    <row r="1168" customFormat="false" ht="15" hidden="false" customHeight="false" outlineLevel="0" collapsed="false">
      <c r="A1168" s="31" t="s">
        <v>3175</v>
      </c>
      <c r="B1168" s="31" t="s">
        <v>404</v>
      </c>
      <c r="C1168" s="31" t="s">
        <v>414</v>
      </c>
      <c r="D1168" s="31" t="s">
        <v>415</v>
      </c>
      <c r="E1168" s="31" t="s">
        <v>3176</v>
      </c>
      <c r="F1168" s="31" t="s">
        <v>1623</v>
      </c>
      <c r="G1168" s="31" t="s">
        <v>461</v>
      </c>
      <c r="H1168" s="31" t="s">
        <v>43</v>
      </c>
      <c r="I1168" s="31" t="n">
        <f aca="false">VLOOKUP(H1168,Paramètres!$A$15:$B$19,2,FALSE())</f>
        <v>2</v>
      </c>
      <c r="J1168" s="31" t="n">
        <v>1</v>
      </c>
      <c r="K1168" s="50" t="str">
        <f aca="false">C1168&amp;"|"&amp;J1168</f>
        <v>ADM-WB|1</v>
      </c>
      <c r="L1168" s="31" t="s">
        <v>3177</v>
      </c>
      <c r="M1168" s="31" t="n">
        <v>1</v>
      </c>
      <c r="N1168" s="51" t="s">
        <v>462</v>
      </c>
      <c r="O1168" s="35" t="s">
        <v>78</v>
      </c>
      <c r="P1168" s="52"/>
      <c r="Q1168" s="52"/>
      <c r="R1168" s="33" t="n">
        <f aca="false">INDEX(Épopées!$L$6:$L$59,MATCH(K1168,Épopées!$A$6:$A$59,0))</f>
        <v>46407</v>
      </c>
      <c r="S1168" s="33" t="n">
        <f aca="false">INDEX(Épopées!$M$6:$M$59,MATCH(K1168,Épopées!$A$6:$A$59,0))</f>
        <v>46423</v>
      </c>
      <c r="T1168" s="53" t="s">
        <v>463</v>
      </c>
    </row>
    <row r="1169" customFormat="false" ht="15" hidden="false" customHeight="false" outlineLevel="0" collapsed="false">
      <c r="A1169" s="31" t="s">
        <v>3178</v>
      </c>
      <c r="B1169" s="31" t="s">
        <v>404</v>
      </c>
      <c r="C1169" s="31" t="s">
        <v>414</v>
      </c>
      <c r="D1169" s="31" t="s">
        <v>415</v>
      </c>
      <c r="E1169" s="31" t="s">
        <v>3179</v>
      </c>
      <c r="F1169" s="31" t="s">
        <v>1623</v>
      </c>
      <c r="G1169" s="31" t="s">
        <v>466</v>
      </c>
      <c r="H1169" s="31" t="s">
        <v>39</v>
      </c>
      <c r="I1169" s="31" t="n">
        <f aca="false">VLOOKUP(H1169,Paramètres!$A$15:$B$19,2,FALSE())</f>
        <v>0.5</v>
      </c>
      <c r="J1169" s="31" t="n">
        <v>1</v>
      </c>
      <c r="K1169" s="50" t="str">
        <f aca="false">C1169&amp;"|"&amp;J1169</f>
        <v>ADM-WB|1</v>
      </c>
      <c r="L1169" s="31" t="s">
        <v>3175</v>
      </c>
      <c r="M1169" s="31" t="n">
        <v>1</v>
      </c>
      <c r="N1169" s="51" t="s">
        <v>462</v>
      </c>
      <c r="O1169" s="35" t="s">
        <v>78</v>
      </c>
      <c r="P1169" s="52"/>
      <c r="Q1169" s="52"/>
      <c r="R1169" s="33" t="n">
        <f aca="false">INDEX(Épopées!$L$6:$L$59,MATCH(K1169,Épopées!$A$6:$A$59,0))</f>
        <v>46407</v>
      </c>
      <c r="S1169" s="33" t="n">
        <f aca="false">INDEX(Épopées!$M$6:$M$59,MATCH(K1169,Épopées!$A$6:$A$59,0))</f>
        <v>46423</v>
      </c>
      <c r="T1169" s="53" t="s">
        <v>463</v>
      </c>
    </row>
    <row r="1170" customFormat="false" ht="15" hidden="false" customHeight="false" outlineLevel="0" collapsed="false">
      <c r="A1170" s="31" t="s">
        <v>3180</v>
      </c>
      <c r="B1170" s="31" t="s">
        <v>404</v>
      </c>
      <c r="C1170" s="31" t="s">
        <v>414</v>
      </c>
      <c r="D1170" s="31" t="s">
        <v>415</v>
      </c>
      <c r="E1170" s="31" t="s">
        <v>3181</v>
      </c>
      <c r="F1170" s="31" t="s">
        <v>1623</v>
      </c>
      <c r="G1170" s="31" t="s">
        <v>612</v>
      </c>
      <c r="H1170" s="31" t="s">
        <v>41</v>
      </c>
      <c r="I1170" s="31" t="n">
        <f aca="false">VLOOKUP(H1170,Paramètres!$A$15:$B$19,2,FALSE())</f>
        <v>1</v>
      </c>
      <c r="J1170" s="31" t="n">
        <v>1</v>
      </c>
      <c r="K1170" s="50" t="str">
        <f aca="false">C1170&amp;"|"&amp;J1170</f>
        <v>ADM-WB|1</v>
      </c>
      <c r="L1170" s="31" t="s">
        <v>3175</v>
      </c>
      <c r="M1170" s="31" t="n">
        <v>1</v>
      </c>
      <c r="N1170" s="51" t="s">
        <v>462</v>
      </c>
      <c r="O1170" s="35" t="s">
        <v>78</v>
      </c>
      <c r="P1170" s="52"/>
      <c r="Q1170" s="52"/>
      <c r="R1170" s="33" t="n">
        <f aca="false">INDEX(Épopées!$L$6:$L$59,MATCH(K1170,Épopées!$A$6:$A$59,0))</f>
        <v>46407</v>
      </c>
      <c r="S1170" s="33" t="n">
        <f aca="false">INDEX(Épopées!$M$6:$M$59,MATCH(K1170,Épopées!$A$6:$A$59,0))</f>
        <v>46423</v>
      </c>
      <c r="T1170" s="53" t="s">
        <v>463</v>
      </c>
    </row>
    <row r="1171" customFormat="false" ht="15" hidden="false" customHeight="false" outlineLevel="0" collapsed="false">
      <c r="A1171" s="31" t="s">
        <v>3182</v>
      </c>
      <c r="B1171" s="31" t="s">
        <v>404</v>
      </c>
      <c r="C1171" s="31" t="s">
        <v>414</v>
      </c>
      <c r="D1171" s="31" t="s">
        <v>415</v>
      </c>
      <c r="E1171" s="31" t="s">
        <v>3183</v>
      </c>
      <c r="F1171" s="31" t="s">
        <v>1863</v>
      </c>
      <c r="G1171" s="31" t="s">
        <v>466</v>
      </c>
      <c r="H1171" s="31" t="s">
        <v>39</v>
      </c>
      <c r="I1171" s="31" t="n">
        <f aca="false">VLOOKUP(H1171,Paramètres!$A$15:$B$19,2,FALSE())</f>
        <v>0.5</v>
      </c>
      <c r="J1171" s="31" t="n">
        <v>1</v>
      </c>
      <c r="K1171" s="50" t="str">
        <f aca="false">C1171&amp;"|"&amp;J1171</f>
        <v>ADM-WB|1</v>
      </c>
      <c r="L1171" s="31" t="s">
        <v>3175</v>
      </c>
      <c r="M1171" s="31" t="n">
        <v>2</v>
      </c>
      <c r="N1171" s="51" t="s">
        <v>462</v>
      </c>
      <c r="O1171" s="35" t="s">
        <v>78</v>
      </c>
      <c r="P1171" s="52"/>
      <c r="Q1171" s="52"/>
      <c r="R1171" s="33" t="n">
        <f aca="false">INDEX(Épopées!$L$6:$L$59,MATCH(K1171,Épopées!$A$6:$A$59,0))</f>
        <v>46407</v>
      </c>
      <c r="S1171" s="33" t="n">
        <f aca="false">INDEX(Épopées!$M$6:$M$59,MATCH(K1171,Épopées!$A$6:$A$59,0))</f>
        <v>46423</v>
      </c>
      <c r="T1171" s="53" t="s">
        <v>463</v>
      </c>
    </row>
    <row r="1172" customFormat="false" ht="15" hidden="false" customHeight="false" outlineLevel="0" collapsed="false">
      <c r="A1172" s="31" t="s">
        <v>3184</v>
      </c>
      <c r="B1172" s="31" t="s">
        <v>404</v>
      </c>
      <c r="C1172" s="31" t="s">
        <v>414</v>
      </c>
      <c r="D1172" s="31" t="s">
        <v>415</v>
      </c>
      <c r="E1172" s="31" t="s">
        <v>3185</v>
      </c>
      <c r="F1172" s="31" t="s">
        <v>472</v>
      </c>
      <c r="G1172" s="31" t="s">
        <v>466</v>
      </c>
      <c r="H1172" s="31" t="s">
        <v>41</v>
      </c>
      <c r="I1172" s="31" t="n">
        <f aca="false">VLOOKUP(H1172,Paramètres!$A$15:$B$19,2,FALSE())</f>
        <v>1</v>
      </c>
      <c r="J1172" s="31" t="n">
        <v>1</v>
      </c>
      <c r="K1172" s="50" t="str">
        <f aca="false">C1172&amp;"|"&amp;J1172</f>
        <v>ADM-WB|1</v>
      </c>
      <c r="L1172" s="31" t="s">
        <v>3186</v>
      </c>
      <c r="M1172" s="31" t="n">
        <v>7</v>
      </c>
      <c r="N1172" s="51" t="s">
        <v>462</v>
      </c>
      <c r="O1172" s="35" t="s">
        <v>78</v>
      </c>
      <c r="P1172" s="52"/>
      <c r="Q1172" s="52"/>
      <c r="R1172" s="33" t="n">
        <f aca="false">INDEX(Épopées!$L$6:$L$59,MATCH(K1172,Épopées!$A$6:$A$59,0))</f>
        <v>46407</v>
      </c>
      <c r="S1172" s="33" t="n">
        <f aca="false">INDEX(Épopées!$M$6:$M$59,MATCH(K1172,Épopées!$A$6:$A$59,0))</f>
        <v>46423</v>
      </c>
      <c r="T1172" s="53" t="s">
        <v>463</v>
      </c>
    </row>
    <row r="1173" customFormat="false" ht="15" hidden="false" customHeight="false" outlineLevel="0" collapsed="false">
      <c r="A1173" s="31" t="s">
        <v>3187</v>
      </c>
      <c r="B1173" s="31" t="s">
        <v>404</v>
      </c>
      <c r="C1173" s="31" t="s">
        <v>417</v>
      </c>
      <c r="D1173" s="31" t="s">
        <v>418</v>
      </c>
      <c r="E1173" s="31" t="s">
        <v>3188</v>
      </c>
      <c r="F1173" s="31" t="s">
        <v>486</v>
      </c>
      <c r="G1173" s="31" t="s">
        <v>461</v>
      </c>
      <c r="H1173" s="31" t="s">
        <v>41</v>
      </c>
      <c r="I1173" s="31" t="n">
        <f aca="false">VLOOKUP(H1173,Paramètres!$A$15:$B$19,2,FALSE())</f>
        <v>1</v>
      </c>
      <c r="J1173" s="31" t="n">
        <v>1</v>
      </c>
      <c r="K1173" s="50" t="str">
        <f aca="false">C1173&amp;"|"&amp;J1173</f>
        <v>ADM-WC|1</v>
      </c>
      <c r="L1173" s="31"/>
      <c r="M1173" s="31" t="n">
        <v>2</v>
      </c>
      <c r="N1173" s="51" t="s">
        <v>462</v>
      </c>
      <c r="O1173" s="35" t="s">
        <v>78</v>
      </c>
      <c r="P1173" s="52"/>
      <c r="Q1173" s="52"/>
      <c r="R1173" s="33" t="n">
        <f aca="false">INDEX(Épopées!$L$6:$L$59,MATCH(K1173,Épopées!$A$6:$A$59,0))</f>
        <v>46426</v>
      </c>
      <c r="S1173" s="33" t="n">
        <f aca="false">INDEX(Épopées!$M$6:$M$59,MATCH(K1173,Épopées!$A$6:$A$59,0))</f>
        <v>46455</v>
      </c>
      <c r="T1173" s="53" t="s">
        <v>463</v>
      </c>
    </row>
    <row r="1174" customFormat="false" ht="15" hidden="false" customHeight="false" outlineLevel="0" collapsed="false">
      <c r="A1174" s="31" t="s">
        <v>3189</v>
      </c>
      <c r="B1174" s="31" t="s">
        <v>404</v>
      </c>
      <c r="C1174" s="31" t="s">
        <v>417</v>
      </c>
      <c r="D1174" s="31" t="s">
        <v>418</v>
      </c>
      <c r="E1174" s="31" t="s">
        <v>3190</v>
      </c>
      <c r="F1174" s="31" t="s">
        <v>460</v>
      </c>
      <c r="G1174" s="31" t="s">
        <v>461</v>
      </c>
      <c r="H1174" s="31" t="s">
        <v>41</v>
      </c>
      <c r="I1174" s="31" t="n">
        <f aca="false">VLOOKUP(H1174,Paramètres!$A$15:$B$19,2,FALSE())</f>
        <v>1</v>
      </c>
      <c r="J1174" s="31" t="n">
        <v>1</v>
      </c>
      <c r="K1174" s="50" t="str">
        <f aca="false">C1174&amp;"|"&amp;J1174</f>
        <v>ADM-WC|1</v>
      </c>
      <c r="L1174" s="31" t="s">
        <v>3187</v>
      </c>
      <c r="M1174" s="31" t="n">
        <v>5</v>
      </c>
      <c r="N1174" s="51" t="s">
        <v>462</v>
      </c>
      <c r="O1174" s="35" t="s">
        <v>78</v>
      </c>
      <c r="P1174" s="52"/>
      <c r="Q1174" s="52"/>
      <c r="R1174" s="33" t="n">
        <f aca="false">INDEX(Épopées!$L$6:$L$59,MATCH(K1174,Épopées!$A$6:$A$59,0))</f>
        <v>46426</v>
      </c>
      <c r="S1174" s="33" t="n">
        <f aca="false">INDEX(Épopées!$M$6:$M$59,MATCH(K1174,Épopées!$A$6:$A$59,0))</f>
        <v>46455</v>
      </c>
      <c r="T1174" s="53" t="s">
        <v>463</v>
      </c>
    </row>
    <row r="1175" customFormat="false" ht="15" hidden="false" customHeight="false" outlineLevel="0" collapsed="false">
      <c r="A1175" s="31" t="s">
        <v>3191</v>
      </c>
      <c r="B1175" s="31" t="s">
        <v>404</v>
      </c>
      <c r="C1175" s="31" t="s">
        <v>417</v>
      </c>
      <c r="D1175" s="31" t="s">
        <v>418</v>
      </c>
      <c r="E1175" s="31" t="s">
        <v>3192</v>
      </c>
      <c r="F1175" s="31" t="s">
        <v>491</v>
      </c>
      <c r="G1175" s="31" t="s">
        <v>461</v>
      </c>
      <c r="H1175" s="31" t="s">
        <v>41</v>
      </c>
      <c r="I1175" s="31" t="n">
        <f aca="false">VLOOKUP(H1175,Paramètres!$A$15:$B$19,2,FALSE())</f>
        <v>1</v>
      </c>
      <c r="J1175" s="31" t="n">
        <v>1</v>
      </c>
      <c r="K1175" s="50" t="str">
        <f aca="false">C1175&amp;"|"&amp;J1175</f>
        <v>ADM-WC|1</v>
      </c>
      <c r="L1175" s="31" t="s">
        <v>3189</v>
      </c>
      <c r="M1175" s="31" t="n">
        <v>3</v>
      </c>
      <c r="N1175" s="51" t="s">
        <v>462</v>
      </c>
      <c r="O1175" s="35" t="s">
        <v>78</v>
      </c>
      <c r="P1175" s="52"/>
      <c r="Q1175" s="52"/>
      <c r="R1175" s="33" t="n">
        <f aca="false">INDEX(Épopées!$L$6:$L$59,MATCH(K1175,Épopées!$A$6:$A$59,0))</f>
        <v>46426</v>
      </c>
      <c r="S1175" s="33" t="n">
        <f aca="false">INDEX(Épopées!$M$6:$M$59,MATCH(K1175,Épopées!$A$6:$A$59,0))</f>
        <v>46455</v>
      </c>
      <c r="T1175" s="53" t="s">
        <v>463</v>
      </c>
    </row>
    <row r="1176" customFormat="false" ht="15" hidden="false" customHeight="false" outlineLevel="0" collapsed="false">
      <c r="A1176" s="31" t="s">
        <v>3193</v>
      </c>
      <c r="B1176" s="31" t="s">
        <v>404</v>
      </c>
      <c r="C1176" s="31" t="s">
        <v>417</v>
      </c>
      <c r="D1176" s="31" t="s">
        <v>418</v>
      </c>
      <c r="E1176" s="31" t="s">
        <v>3194</v>
      </c>
      <c r="F1176" s="31" t="s">
        <v>1623</v>
      </c>
      <c r="G1176" s="31" t="s">
        <v>461</v>
      </c>
      <c r="H1176" s="31" t="s">
        <v>43</v>
      </c>
      <c r="I1176" s="31" t="n">
        <f aca="false">VLOOKUP(H1176,Paramètres!$A$15:$B$19,2,FALSE())</f>
        <v>2</v>
      </c>
      <c r="J1176" s="31" t="n">
        <v>1</v>
      </c>
      <c r="K1176" s="50" t="str">
        <f aca="false">C1176&amp;"|"&amp;J1176</f>
        <v>ADM-WC|1</v>
      </c>
      <c r="L1176" s="31" t="s">
        <v>3191</v>
      </c>
      <c r="M1176" s="31" t="n">
        <v>1</v>
      </c>
      <c r="N1176" s="51" t="s">
        <v>462</v>
      </c>
      <c r="O1176" s="35" t="s">
        <v>78</v>
      </c>
      <c r="P1176" s="52"/>
      <c r="Q1176" s="52"/>
      <c r="R1176" s="33" t="n">
        <f aca="false">INDEX(Épopées!$L$6:$L$59,MATCH(K1176,Épopées!$A$6:$A$59,0))</f>
        <v>46426</v>
      </c>
      <c r="S1176" s="33" t="n">
        <f aca="false">INDEX(Épopées!$M$6:$M$59,MATCH(K1176,Épopées!$A$6:$A$59,0))</f>
        <v>46455</v>
      </c>
      <c r="T1176" s="53" t="s">
        <v>463</v>
      </c>
    </row>
    <row r="1177" customFormat="false" ht="15" hidden="false" customHeight="false" outlineLevel="0" collapsed="false">
      <c r="A1177" s="31" t="s">
        <v>3195</v>
      </c>
      <c r="B1177" s="31" t="s">
        <v>404</v>
      </c>
      <c r="C1177" s="31" t="s">
        <v>417</v>
      </c>
      <c r="D1177" s="31" t="s">
        <v>418</v>
      </c>
      <c r="E1177" s="31" t="s">
        <v>3196</v>
      </c>
      <c r="F1177" s="31" t="s">
        <v>491</v>
      </c>
      <c r="G1177" s="31" t="s">
        <v>461</v>
      </c>
      <c r="H1177" s="31" t="s">
        <v>41</v>
      </c>
      <c r="I1177" s="31" t="n">
        <f aca="false">VLOOKUP(H1177,Paramètres!$A$15:$B$19,2,FALSE())</f>
        <v>1</v>
      </c>
      <c r="J1177" s="31" t="n">
        <v>1</v>
      </c>
      <c r="K1177" s="50" t="str">
        <f aca="false">C1177&amp;"|"&amp;J1177</f>
        <v>ADM-WC|1</v>
      </c>
      <c r="L1177" s="31" t="s">
        <v>3197</v>
      </c>
      <c r="M1177" s="31" t="n">
        <v>2</v>
      </c>
      <c r="N1177" s="51" t="s">
        <v>462</v>
      </c>
      <c r="O1177" s="35" t="s">
        <v>78</v>
      </c>
      <c r="P1177" s="52"/>
      <c r="Q1177" s="52"/>
      <c r="R1177" s="33" t="n">
        <f aca="false">INDEX(Épopées!$L$6:$L$59,MATCH(K1177,Épopées!$A$6:$A$59,0))</f>
        <v>46426</v>
      </c>
      <c r="S1177" s="33" t="n">
        <f aca="false">INDEX(Épopées!$M$6:$M$59,MATCH(K1177,Épopées!$A$6:$A$59,0))</f>
        <v>46455</v>
      </c>
      <c r="T1177" s="53" t="s">
        <v>463</v>
      </c>
    </row>
    <row r="1178" customFormat="false" ht="15" hidden="false" customHeight="false" outlineLevel="0" collapsed="false">
      <c r="A1178" s="31" t="s">
        <v>3198</v>
      </c>
      <c r="B1178" s="31" t="s">
        <v>404</v>
      </c>
      <c r="C1178" s="31" t="s">
        <v>417</v>
      </c>
      <c r="D1178" s="31" t="s">
        <v>418</v>
      </c>
      <c r="E1178" s="31" t="s">
        <v>3199</v>
      </c>
      <c r="F1178" s="31" t="s">
        <v>491</v>
      </c>
      <c r="G1178" s="31" t="s">
        <v>466</v>
      </c>
      <c r="H1178" s="31" t="s">
        <v>41</v>
      </c>
      <c r="I1178" s="31" t="n">
        <f aca="false">VLOOKUP(H1178,Paramètres!$A$15:$B$19,2,FALSE())</f>
        <v>1</v>
      </c>
      <c r="J1178" s="31" t="n">
        <v>1</v>
      </c>
      <c r="K1178" s="50" t="str">
        <f aca="false">C1178&amp;"|"&amp;J1178</f>
        <v>ADM-WC|1</v>
      </c>
      <c r="L1178" s="31" t="s">
        <v>3193</v>
      </c>
      <c r="M1178" s="31" t="n">
        <v>1</v>
      </c>
      <c r="N1178" s="51" t="s">
        <v>462</v>
      </c>
      <c r="O1178" s="35" t="s">
        <v>78</v>
      </c>
      <c r="P1178" s="52"/>
      <c r="Q1178" s="52"/>
      <c r="R1178" s="33" t="n">
        <f aca="false">INDEX(Épopées!$L$6:$L$59,MATCH(K1178,Épopées!$A$6:$A$59,0))</f>
        <v>46426</v>
      </c>
      <c r="S1178" s="33" t="n">
        <f aca="false">INDEX(Épopées!$M$6:$M$59,MATCH(K1178,Épopées!$A$6:$A$59,0))</f>
        <v>46455</v>
      </c>
      <c r="T1178" s="53" t="s">
        <v>463</v>
      </c>
    </row>
    <row r="1179" customFormat="false" ht="15" hidden="false" customHeight="false" outlineLevel="0" collapsed="false">
      <c r="A1179" s="31" t="s">
        <v>3200</v>
      </c>
      <c r="B1179" s="31" t="s">
        <v>404</v>
      </c>
      <c r="C1179" s="31" t="s">
        <v>417</v>
      </c>
      <c r="D1179" s="31" t="s">
        <v>418</v>
      </c>
      <c r="E1179" s="31" t="s">
        <v>3201</v>
      </c>
      <c r="F1179" s="31" t="s">
        <v>1623</v>
      </c>
      <c r="G1179" s="31" t="s">
        <v>466</v>
      </c>
      <c r="H1179" s="31" t="s">
        <v>39</v>
      </c>
      <c r="I1179" s="31" t="n">
        <f aca="false">VLOOKUP(H1179,Paramètres!$A$15:$B$19,2,FALSE())</f>
        <v>0.5</v>
      </c>
      <c r="J1179" s="31" t="n">
        <v>1</v>
      </c>
      <c r="K1179" s="50" t="str">
        <f aca="false">C1179&amp;"|"&amp;J1179</f>
        <v>ADM-WC|1</v>
      </c>
      <c r="L1179" s="31" t="s">
        <v>3195</v>
      </c>
      <c r="M1179" s="31" t="n">
        <v>2</v>
      </c>
      <c r="N1179" s="51" t="s">
        <v>462</v>
      </c>
      <c r="O1179" s="35" t="s">
        <v>78</v>
      </c>
      <c r="P1179" s="52"/>
      <c r="Q1179" s="52"/>
      <c r="R1179" s="33" t="n">
        <f aca="false">INDEX(Épopées!$L$6:$L$59,MATCH(K1179,Épopées!$A$6:$A$59,0))</f>
        <v>46426</v>
      </c>
      <c r="S1179" s="33" t="n">
        <f aca="false">INDEX(Épopées!$M$6:$M$59,MATCH(K1179,Épopées!$A$6:$A$59,0))</f>
        <v>46455</v>
      </c>
      <c r="T1179" s="53" t="s">
        <v>463</v>
      </c>
    </row>
    <row r="1180" customFormat="false" ht="15" hidden="false" customHeight="false" outlineLevel="0" collapsed="false">
      <c r="A1180" s="31" t="s">
        <v>3202</v>
      </c>
      <c r="B1180" s="31" t="s">
        <v>404</v>
      </c>
      <c r="C1180" s="31" t="s">
        <v>417</v>
      </c>
      <c r="D1180" s="31" t="s">
        <v>418</v>
      </c>
      <c r="E1180" s="31" t="s">
        <v>3203</v>
      </c>
      <c r="F1180" s="31" t="s">
        <v>1623</v>
      </c>
      <c r="G1180" s="31" t="s">
        <v>466</v>
      </c>
      <c r="H1180" s="31" t="s">
        <v>41</v>
      </c>
      <c r="I1180" s="31" t="n">
        <f aca="false">VLOOKUP(H1180,Paramètres!$A$15:$B$19,2,FALSE())</f>
        <v>1</v>
      </c>
      <c r="J1180" s="31" t="n">
        <v>1</v>
      </c>
      <c r="K1180" s="50" t="str">
        <f aca="false">C1180&amp;"|"&amp;J1180</f>
        <v>ADM-WC|1</v>
      </c>
      <c r="L1180" s="31" t="s">
        <v>3193</v>
      </c>
      <c r="M1180" s="31" t="n">
        <v>1</v>
      </c>
      <c r="N1180" s="51" t="s">
        <v>462</v>
      </c>
      <c r="O1180" s="35" t="s">
        <v>78</v>
      </c>
      <c r="P1180" s="52"/>
      <c r="Q1180" s="52"/>
      <c r="R1180" s="33" t="n">
        <f aca="false">INDEX(Épopées!$L$6:$L$59,MATCH(K1180,Épopées!$A$6:$A$59,0))</f>
        <v>46426</v>
      </c>
      <c r="S1180" s="33" t="n">
        <f aca="false">INDEX(Épopées!$M$6:$M$59,MATCH(K1180,Épopées!$A$6:$A$59,0))</f>
        <v>46455</v>
      </c>
      <c r="T1180" s="53" t="s">
        <v>463</v>
      </c>
    </row>
    <row r="1181" customFormat="false" ht="15" hidden="false" customHeight="false" outlineLevel="0" collapsed="false">
      <c r="A1181" s="31" t="s">
        <v>3204</v>
      </c>
      <c r="B1181" s="31" t="s">
        <v>404</v>
      </c>
      <c r="C1181" s="31" t="s">
        <v>417</v>
      </c>
      <c r="D1181" s="31" t="s">
        <v>418</v>
      </c>
      <c r="E1181" s="31" t="s">
        <v>3205</v>
      </c>
      <c r="F1181" s="31" t="s">
        <v>491</v>
      </c>
      <c r="G1181" s="31" t="s">
        <v>466</v>
      </c>
      <c r="H1181" s="31" t="s">
        <v>41</v>
      </c>
      <c r="I1181" s="31" t="n">
        <f aca="false">VLOOKUP(H1181,Paramètres!$A$15:$B$19,2,FALSE())</f>
        <v>1</v>
      </c>
      <c r="J1181" s="31" t="n">
        <v>1</v>
      </c>
      <c r="K1181" s="50" t="str">
        <f aca="false">C1181&amp;"|"&amp;J1181</f>
        <v>ADM-WC|1</v>
      </c>
      <c r="L1181" s="31" t="s">
        <v>3206</v>
      </c>
      <c r="M1181" s="31" t="n">
        <v>1</v>
      </c>
      <c r="N1181" s="51" t="s">
        <v>462</v>
      </c>
      <c r="O1181" s="35" t="s">
        <v>78</v>
      </c>
      <c r="P1181" s="52"/>
      <c r="Q1181" s="52"/>
      <c r="R1181" s="33" t="n">
        <f aca="false">INDEX(Épopées!$L$6:$L$59,MATCH(K1181,Épopées!$A$6:$A$59,0))</f>
        <v>46426</v>
      </c>
      <c r="S1181" s="33" t="n">
        <f aca="false">INDEX(Épopées!$M$6:$M$59,MATCH(K1181,Épopées!$A$6:$A$59,0))</f>
        <v>46455</v>
      </c>
      <c r="T1181" s="53" t="s">
        <v>463</v>
      </c>
    </row>
    <row r="1182" customFormat="false" ht="15" hidden="false" customHeight="false" outlineLevel="0" collapsed="false">
      <c r="A1182" s="31" t="s">
        <v>3207</v>
      </c>
      <c r="B1182" s="31" t="s">
        <v>404</v>
      </c>
      <c r="C1182" s="31" t="s">
        <v>417</v>
      </c>
      <c r="D1182" s="31" t="s">
        <v>418</v>
      </c>
      <c r="E1182" s="31" t="s">
        <v>3208</v>
      </c>
      <c r="F1182" s="31" t="s">
        <v>1623</v>
      </c>
      <c r="G1182" s="31" t="s">
        <v>466</v>
      </c>
      <c r="H1182" s="31" t="s">
        <v>41</v>
      </c>
      <c r="I1182" s="31" t="n">
        <f aca="false">VLOOKUP(H1182,Paramètres!$A$15:$B$19,2,FALSE())</f>
        <v>1</v>
      </c>
      <c r="J1182" s="31" t="n">
        <v>1</v>
      </c>
      <c r="K1182" s="50" t="str">
        <f aca="false">C1182&amp;"|"&amp;J1182</f>
        <v>ADM-WC|1</v>
      </c>
      <c r="L1182" s="31" t="s">
        <v>3206</v>
      </c>
      <c r="M1182" s="31" t="n">
        <v>1</v>
      </c>
      <c r="N1182" s="51" t="s">
        <v>462</v>
      </c>
      <c r="O1182" s="35" t="s">
        <v>78</v>
      </c>
      <c r="P1182" s="52"/>
      <c r="Q1182" s="52"/>
      <c r="R1182" s="33" t="n">
        <f aca="false">INDEX(Épopées!$L$6:$L$59,MATCH(K1182,Épopées!$A$6:$A$59,0))</f>
        <v>46426</v>
      </c>
      <c r="S1182" s="33" t="n">
        <f aca="false">INDEX(Épopées!$M$6:$M$59,MATCH(K1182,Épopées!$A$6:$A$59,0))</f>
        <v>46455</v>
      </c>
      <c r="T1182" s="53" t="s">
        <v>463</v>
      </c>
    </row>
    <row r="1183" customFormat="false" ht="15" hidden="false" customHeight="false" outlineLevel="0" collapsed="false">
      <c r="A1183" s="31" t="s">
        <v>3209</v>
      </c>
      <c r="B1183" s="31" t="s">
        <v>404</v>
      </c>
      <c r="C1183" s="31" t="s">
        <v>417</v>
      </c>
      <c r="D1183" s="31" t="s">
        <v>418</v>
      </c>
      <c r="E1183" s="31" t="s">
        <v>3210</v>
      </c>
      <c r="F1183" s="31" t="s">
        <v>491</v>
      </c>
      <c r="G1183" s="31" t="s">
        <v>466</v>
      </c>
      <c r="H1183" s="31" t="s">
        <v>41</v>
      </c>
      <c r="I1183" s="31" t="n">
        <f aca="false">VLOOKUP(H1183,Paramètres!$A$15:$B$19,2,FALSE())</f>
        <v>1</v>
      </c>
      <c r="J1183" s="31" t="n">
        <v>1</v>
      </c>
      <c r="K1183" s="50" t="str">
        <f aca="false">C1183&amp;"|"&amp;J1183</f>
        <v>ADM-WC|1</v>
      </c>
      <c r="L1183" s="31" t="s">
        <v>3211</v>
      </c>
      <c r="M1183" s="31" t="n">
        <v>2</v>
      </c>
      <c r="N1183" s="51" t="s">
        <v>462</v>
      </c>
      <c r="O1183" s="35" t="s">
        <v>78</v>
      </c>
      <c r="P1183" s="52"/>
      <c r="Q1183" s="52"/>
      <c r="R1183" s="33" t="n">
        <f aca="false">INDEX(Épopées!$L$6:$L$59,MATCH(K1183,Épopées!$A$6:$A$59,0))</f>
        <v>46426</v>
      </c>
      <c r="S1183" s="33" t="n">
        <f aca="false">INDEX(Épopées!$M$6:$M$59,MATCH(K1183,Épopées!$A$6:$A$59,0))</f>
        <v>46455</v>
      </c>
      <c r="T1183" s="53" t="s">
        <v>463</v>
      </c>
    </row>
    <row r="1184" customFormat="false" ht="15" hidden="false" customHeight="false" outlineLevel="0" collapsed="false">
      <c r="A1184" s="31" t="s">
        <v>3212</v>
      </c>
      <c r="B1184" s="31" t="s">
        <v>404</v>
      </c>
      <c r="C1184" s="31" t="s">
        <v>417</v>
      </c>
      <c r="D1184" s="31" t="s">
        <v>418</v>
      </c>
      <c r="E1184" s="31" t="s">
        <v>3213</v>
      </c>
      <c r="F1184" s="31" t="s">
        <v>491</v>
      </c>
      <c r="G1184" s="31" t="s">
        <v>612</v>
      </c>
      <c r="H1184" s="31" t="s">
        <v>43</v>
      </c>
      <c r="I1184" s="31" t="n">
        <f aca="false">VLOOKUP(H1184,Paramètres!$A$15:$B$19,2,FALSE())</f>
        <v>2</v>
      </c>
      <c r="J1184" s="31" t="n">
        <v>1</v>
      </c>
      <c r="K1184" s="50" t="str">
        <f aca="false">C1184&amp;"|"&amp;J1184</f>
        <v>ADM-WC|1</v>
      </c>
      <c r="L1184" s="31" t="s">
        <v>3214</v>
      </c>
      <c r="M1184" s="31" t="n">
        <v>2</v>
      </c>
      <c r="N1184" s="51" t="s">
        <v>462</v>
      </c>
      <c r="O1184" s="35" t="s">
        <v>78</v>
      </c>
      <c r="P1184" s="52"/>
      <c r="Q1184" s="52"/>
      <c r="R1184" s="33" t="n">
        <f aca="false">INDEX(Épopées!$L$6:$L$59,MATCH(K1184,Épopées!$A$6:$A$59,0))</f>
        <v>46426</v>
      </c>
      <c r="S1184" s="33" t="n">
        <f aca="false">INDEX(Épopées!$M$6:$M$59,MATCH(K1184,Épopées!$A$6:$A$59,0))</f>
        <v>46455</v>
      </c>
      <c r="T1184" s="53" t="s">
        <v>463</v>
      </c>
    </row>
    <row r="1185" customFormat="false" ht="15" hidden="false" customHeight="false" outlineLevel="0" collapsed="false">
      <c r="A1185" s="31" t="s">
        <v>3215</v>
      </c>
      <c r="B1185" s="31" t="s">
        <v>404</v>
      </c>
      <c r="C1185" s="31" t="s">
        <v>417</v>
      </c>
      <c r="D1185" s="31" t="s">
        <v>418</v>
      </c>
      <c r="E1185" s="31" t="s">
        <v>3216</v>
      </c>
      <c r="F1185" s="31" t="s">
        <v>1623</v>
      </c>
      <c r="G1185" s="31" t="s">
        <v>461</v>
      </c>
      <c r="H1185" s="31" t="s">
        <v>43</v>
      </c>
      <c r="I1185" s="31" t="n">
        <f aca="false">VLOOKUP(H1185,Paramètres!$A$15:$B$19,2,FALSE())</f>
        <v>2</v>
      </c>
      <c r="J1185" s="31" t="n">
        <v>1</v>
      </c>
      <c r="K1185" s="50" t="str">
        <f aca="false">C1185&amp;"|"&amp;J1185</f>
        <v>ADM-WC|1</v>
      </c>
      <c r="L1185" s="31" t="s">
        <v>3191</v>
      </c>
      <c r="M1185" s="31" t="n">
        <v>5</v>
      </c>
      <c r="N1185" s="51" t="s">
        <v>462</v>
      </c>
      <c r="O1185" s="35" t="s">
        <v>78</v>
      </c>
      <c r="P1185" s="52"/>
      <c r="Q1185" s="52"/>
      <c r="R1185" s="33" t="n">
        <f aca="false">INDEX(Épopées!$L$6:$L$59,MATCH(K1185,Épopées!$A$6:$A$59,0))</f>
        <v>46426</v>
      </c>
      <c r="S1185" s="33" t="n">
        <f aca="false">INDEX(Épopées!$M$6:$M$59,MATCH(K1185,Épopées!$A$6:$A$59,0))</f>
        <v>46455</v>
      </c>
      <c r="T1185" s="53" t="s">
        <v>463</v>
      </c>
    </row>
    <row r="1186" customFormat="false" ht="15" hidden="false" customHeight="false" outlineLevel="0" collapsed="false">
      <c r="A1186" s="31" t="s">
        <v>3217</v>
      </c>
      <c r="B1186" s="31" t="s">
        <v>404</v>
      </c>
      <c r="C1186" s="31" t="s">
        <v>417</v>
      </c>
      <c r="D1186" s="31" t="s">
        <v>418</v>
      </c>
      <c r="E1186" s="31" t="s">
        <v>3218</v>
      </c>
      <c r="F1186" s="31" t="s">
        <v>1623</v>
      </c>
      <c r="G1186" s="31" t="s">
        <v>461</v>
      </c>
      <c r="H1186" s="31" t="s">
        <v>41</v>
      </c>
      <c r="I1186" s="31" t="n">
        <f aca="false">VLOOKUP(H1186,Paramètres!$A$15:$B$19,2,FALSE())</f>
        <v>1</v>
      </c>
      <c r="J1186" s="31" t="n">
        <v>1</v>
      </c>
      <c r="K1186" s="50" t="str">
        <f aca="false">C1186&amp;"|"&amp;J1186</f>
        <v>ADM-WC|1</v>
      </c>
      <c r="L1186" s="31" t="s">
        <v>3219</v>
      </c>
      <c r="M1186" s="31" t="n">
        <v>1</v>
      </c>
      <c r="N1186" s="51" t="s">
        <v>462</v>
      </c>
      <c r="O1186" s="35" t="s">
        <v>78</v>
      </c>
      <c r="P1186" s="52"/>
      <c r="Q1186" s="52"/>
      <c r="R1186" s="33" t="n">
        <f aca="false">INDEX(Épopées!$L$6:$L$59,MATCH(K1186,Épopées!$A$6:$A$59,0))</f>
        <v>46426</v>
      </c>
      <c r="S1186" s="33" t="n">
        <f aca="false">INDEX(Épopées!$M$6:$M$59,MATCH(K1186,Épopées!$A$6:$A$59,0))</f>
        <v>46455</v>
      </c>
      <c r="T1186" s="53" t="s">
        <v>463</v>
      </c>
    </row>
    <row r="1187" customFormat="false" ht="15" hidden="false" customHeight="false" outlineLevel="0" collapsed="false">
      <c r="A1187" s="31" t="s">
        <v>3220</v>
      </c>
      <c r="B1187" s="31" t="s">
        <v>404</v>
      </c>
      <c r="C1187" s="31" t="s">
        <v>417</v>
      </c>
      <c r="D1187" s="31" t="s">
        <v>418</v>
      </c>
      <c r="E1187" s="31" t="s">
        <v>3221</v>
      </c>
      <c r="F1187" s="31" t="s">
        <v>491</v>
      </c>
      <c r="G1187" s="31" t="s">
        <v>461</v>
      </c>
      <c r="H1187" s="31" t="s">
        <v>39</v>
      </c>
      <c r="I1187" s="31" t="n">
        <f aca="false">VLOOKUP(H1187,Paramètres!$A$15:$B$19,2,FALSE())</f>
        <v>0.5</v>
      </c>
      <c r="J1187" s="31" t="n">
        <v>1</v>
      </c>
      <c r="K1187" s="50" t="str">
        <f aca="false">C1187&amp;"|"&amp;J1187</f>
        <v>ADM-WC|1</v>
      </c>
      <c r="L1187" s="31" t="s">
        <v>3187</v>
      </c>
      <c r="M1187" s="31" t="n">
        <v>1</v>
      </c>
      <c r="N1187" s="51" t="s">
        <v>462</v>
      </c>
      <c r="O1187" s="35" t="s">
        <v>78</v>
      </c>
      <c r="P1187" s="52"/>
      <c r="Q1187" s="52"/>
      <c r="R1187" s="33" t="n">
        <f aca="false">INDEX(Épopées!$L$6:$L$59,MATCH(K1187,Épopées!$A$6:$A$59,0))</f>
        <v>46426</v>
      </c>
      <c r="S1187" s="33" t="n">
        <f aca="false">INDEX(Épopées!$M$6:$M$59,MATCH(K1187,Épopées!$A$6:$A$59,0))</f>
        <v>46455</v>
      </c>
      <c r="T1187" s="53" t="s">
        <v>463</v>
      </c>
    </row>
    <row r="1188" customFormat="false" ht="15" hidden="false" customHeight="false" outlineLevel="0" collapsed="false">
      <c r="A1188" s="31" t="s">
        <v>3222</v>
      </c>
      <c r="B1188" s="31" t="s">
        <v>404</v>
      </c>
      <c r="C1188" s="31" t="s">
        <v>417</v>
      </c>
      <c r="D1188" s="31" t="s">
        <v>418</v>
      </c>
      <c r="E1188" s="31" t="s">
        <v>3223</v>
      </c>
      <c r="F1188" s="31" t="s">
        <v>1623</v>
      </c>
      <c r="G1188" s="31" t="s">
        <v>466</v>
      </c>
      <c r="H1188" s="31" t="s">
        <v>41</v>
      </c>
      <c r="I1188" s="31" t="n">
        <f aca="false">VLOOKUP(H1188,Paramètres!$A$15:$B$19,2,FALSE())</f>
        <v>1</v>
      </c>
      <c r="J1188" s="31" t="n">
        <v>1</v>
      </c>
      <c r="K1188" s="50" t="str">
        <f aca="false">C1188&amp;"|"&amp;J1188</f>
        <v>ADM-WC|1</v>
      </c>
      <c r="L1188" s="31" t="s">
        <v>3224</v>
      </c>
      <c r="M1188" s="31" t="n">
        <v>3</v>
      </c>
      <c r="N1188" s="51" t="s">
        <v>462</v>
      </c>
      <c r="O1188" s="35" t="s">
        <v>78</v>
      </c>
      <c r="P1188" s="52"/>
      <c r="Q1188" s="52"/>
      <c r="R1188" s="33" t="n">
        <f aca="false">INDEX(Épopées!$L$6:$L$59,MATCH(K1188,Épopées!$A$6:$A$59,0))</f>
        <v>46426</v>
      </c>
      <c r="S1188" s="33" t="n">
        <f aca="false">INDEX(Épopées!$M$6:$M$59,MATCH(K1188,Épopées!$A$6:$A$59,0))</f>
        <v>46455</v>
      </c>
      <c r="T1188" s="53" t="s">
        <v>463</v>
      </c>
    </row>
    <row r="1189" customFormat="false" ht="15" hidden="false" customHeight="false" outlineLevel="0" collapsed="false">
      <c r="A1189" s="31" t="s">
        <v>3225</v>
      </c>
      <c r="B1189" s="31" t="s">
        <v>404</v>
      </c>
      <c r="C1189" s="31" t="s">
        <v>417</v>
      </c>
      <c r="D1189" s="31" t="s">
        <v>418</v>
      </c>
      <c r="E1189" s="31" t="s">
        <v>3226</v>
      </c>
      <c r="F1189" s="31" t="s">
        <v>1623</v>
      </c>
      <c r="G1189" s="31" t="s">
        <v>461</v>
      </c>
      <c r="H1189" s="31" t="s">
        <v>41</v>
      </c>
      <c r="I1189" s="31" t="n">
        <f aca="false">VLOOKUP(H1189,Paramètres!$A$15:$B$19,2,FALSE())</f>
        <v>1</v>
      </c>
      <c r="J1189" s="31" t="n">
        <v>1</v>
      </c>
      <c r="K1189" s="50" t="str">
        <f aca="false">C1189&amp;"|"&amp;J1189</f>
        <v>ADM-WC|1</v>
      </c>
      <c r="L1189" s="31" t="s">
        <v>3215</v>
      </c>
      <c r="M1189" s="31" t="n">
        <v>5</v>
      </c>
      <c r="N1189" s="51" t="s">
        <v>462</v>
      </c>
      <c r="O1189" s="35" t="s">
        <v>78</v>
      </c>
      <c r="P1189" s="52"/>
      <c r="Q1189" s="52"/>
      <c r="R1189" s="33" t="n">
        <f aca="false">INDEX(Épopées!$L$6:$L$59,MATCH(K1189,Épopées!$A$6:$A$59,0))</f>
        <v>46426</v>
      </c>
      <c r="S1189" s="33" t="n">
        <f aca="false">INDEX(Épopées!$M$6:$M$59,MATCH(K1189,Épopées!$A$6:$A$59,0))</f>
        <v>46455</v>
      </c>
      <c r="T1189" s="53" t="s">
        <v>463</v>
      </c>
    </row>
    <row r="1190" customFormat="false" ht="15" hidden="false" customHeight="false" outlineLevel="0" collapsed="false">
      <c r="A1190" s="31" t="s">
        <v>3227</v>
      </c>
      <c r="B1190" s="31" t="s">
        <v>404</v>
      </c>
      <c r="C1190" s="31" t="s">
        <v>417</v>
      </c>
      <c r="D1190" s="31" t="s">
        <v>418</v>
      </c>
      <c r="E1190" s="31" t="s">
        <v>3228</v>
      </c>
      <c r="F1190" s="31" t="s">
        <v>1623</v>
      </c>
      <c r="G1190" s="31" t="s">
        <v>461</v>
      </c>
      <c r="H1190" s="31" t="s">
        <v>41</v>
      </c>
      <c r="I1190" s="31" t="n">
        <f aca="false">VLOOKUP(H1190,Paramètres!$A$15:$B$19,2,FALSE())</f>
        <v>1</v>
      </c>
      <c r="J1190" s="31" t="n">
        <v>1</v>
      </c>
      <c r="K1190" s="50" t="str">
        <f aca="false">C1190&amp;"|"&amp;J1190</f>
        <v>ADM-WC|1</v>
      </c>
      <c r="L1190" s="31" t="s">
        <v>3215</v>
      </c>
      <c r="M1190" s="31" t="n">
        <v>2</v>
      </c>
      <c r="N1190" s="51" t="s">
        <v>462</v>
      </c>
      <c r="O1190" s="35" t="s">
        <v>78</v>
      </c>
      <c r="P1190" s="52"/>
      <c r="Q1190" s="52"/>
      <c r="R1190" s="33" t="n">
        <f aca="false">INDEX(Épopées!$L$6:$L$59,MATCH(K1190,Épopées!$A$6:$A$59,0))</f>
        <v>46426</v>
      </c>
      <c r="S1190" s="33" t="n">
        <f aca="false">INDEX(Épopées!$M$6:$M$59,MATCH(K1190,Épopées!$A$6:$A$59,0))</f>
        <v>46455</v>
      </c>
      <c r="T1190" s="53" t="s">
        <v>463</v>
      </c>
    </row>
    <row r="1191" customFormat="false" ht="15" hidden="false" customHeight="false" outlineLevel="0" collapsed="false">
      <c r="A1191" s="31" t="s">
        <v>3229</v>
      </c>
      <c r="B1191" s="31" t="s">
        <v>404</v>
      </c>
      <c r="C1191" s="31" t="s">
        <v>417</v>
      </c>
      <c r="D1191" s="31" t="s">
        <v>418</v>
      </c>
      <c r="E1191" s="31" t="s">
        <v>3230</v>
      </c>
      <c r="F1191" s="31" t="s">
        <v>1623</v>
      </c>
      <c r="G1191" s="31" t="s">
        <v>461</v>
      </c>
      <c r="H1191" s="31" t="s">
        <v>41</v>
      </c>
      <c r="I1191" s="31" t="n">
        <f aca="false">VLOOKUP(H1191,Paramètres!$A$15:$B$19,2,FALSE())</f>
        <v>1</v>
      </c>
      <c r="J1191" s="31" t="n">
        <v>1</v>
      </c>
      <c r="K1191" s="50" t="str">
        <f aca="false">C1191&amp;"|"&amp;J1191</f>
        <v>ADM-WC|1</v>
      </c>
      <c r="L1191" s="31" t="s">
        <v>3231</v>
      </c>
      <c r="M1191" s="31" t="n">
        <v>3</v>
      </c>
      <c r="N1191" s="51" t="s">
        <v>462</v>
      </c>
      <c r="O1191" s="35" t="s">
        <v>78</v>
      </c>
      <c r="P1191" s="52"/>
      <c r="Q1191" s="52"/>
      <c r="R1191" s="33" t="n">
        <f aca="false">INDEX(Épopées!$L$6:$L$59,MATCH(K1191,Épopées!$A$6:$A$59,0))</f>
        <v>46426</v>
      </c>
      <c r="S1191" s="33" t="n">
        <f aca="false">INDEX(Épopées!$M$6:$M$59,MATCH(K1191,Épopées!$A$6:$A$59,0))</f>
        <v>46455</v>
      </c>
      <c r="T1191" s="53" t="s">
        <v>463</v>
      </c>
    </row>
    <row r="1192" customFormat="false" ht="15" hidden="false" customHeight="false" outlineLevel="0" collapsed="false">
      <c r="A1192" s="31" t="s">
        <v>3232</v>
      </c>
      <c r="B1192" s="31" t="s">
        <v>404</v>
      </c>
      <c r="C1192" s="31" t="s">
        <v>417</v>
      </c>
      <c r="D1192" s="31" t="s">
        <v>418</v>
      </c>
      <c r="E1192" s="31" t="s">
        <v>3233</v>
      </c>
      <c r="F1192" s="31" t="s">
        <v>1623</v>
      </c>
      <c r="G1192" s="31" t="s">
        <v>466</v>
      </c>
      <c r="H1192" s="31" t="s">
        <v>41</v>
      </c>
      <c r="I1192" s="31" t="n">
        <f aca="false">VLOOKUP(H1192,Paramètres!$A$15:$B$19,2,FALSE())</f>
        <v>1</v>
      </c>
      <c r="J1192" s="31" t="n">
        <v>1</v>
      </c>
      <c r="K1192" s="50" t="str">
        <f aca="false">C1192&amp;"|"&amp;J1192</f>
        <v>ADM-WC|1</v>
      </c>
      <c r="L1192" s="31" t="s">
        <v>3215</v>
      </c>
      <c r="M1192" s="31" t="n">
        <v>1</v>
      </c>
      <c r="N1192" s="51" t="s">
        <v>462</v>
      </c>
      <c r="O1192" s="35" t="s">
        <v>78</v>
      </c>
      <c r="P1192" s="52"/>
      <c r="Q1192" s="52"/>
      <c r="R1192" s="33" t="n">
        <f aca="false">INDEX(Épopées!$L$6:$L$59,MATCH(K1192,Épopées!$A$6:$A$59,0))</f>
        <v>46426</v>
      </c>
      <c r="S1192" s="33" t="n">
        <f aca="false">INDEX(Épopées!$M$6:$M$59,MATCH(K1192,Épopées!$A$6:$A$59,0))</f>
        <v>46455</v>
      </c>
      <c r="T1192" s="53" t="s">
        <v>463</v>
      </c>
    </row>
    <row r="1193" customFormat="false" ht="15" hidden="false" customHeight="false" outlineLevel="0" collapsed="false">
      <c r="A1193" s="31" t="s">
        <v>3234</v>
      </c>
      <c r="B1193" s="31" t="s">
        <v>404</v>
      </c>
      <c r="C1193" s="31" t="s">
        <v>417</v>
      </c>
      <c r="D1193" s="31" t="s">
        <v>418</v>
      </c>
      <c r="E1193" s="31" t="s">
        <v>3235</v>
      </c>
      <c r="F1193" s="31" t="s">
        <v>491</v>
      </c>
      <c r="G1193" s="31" t="s">
        <v>466</v>
      </c>
      <c r="H1193" s="31" t="s">
        <v>41</v>
      </c>
      <c r="I1193" s="31" t="n">
        <f aca="false">VLOOKUP(H1193,Paramètres!$A$15:$B$19,2,FALSE())</f>
        <v>1</v>
      </c>
      <c r="J1193" s="31" t="n">
        <v>1</v>
      </c>
      <c r="K1193" s="50" t="str">
        <f aca="false">C1193&amp;"|"&amp;J1193</f>
        <v>ADM-WC|1</v>
      </c>
      <c r="L1193" s="31" t="s">
        <v>3236</v>
      </c>
      <c r="M1193" s="31" t="n">
        <v>1</v>
      </c>
      <c r="N1193" s="51" t="s">
        <v>462</v>
      </c>
      <c r="O1193" s="35" t="s">
        <v>78</v>
      </c>
      <c r="P1193" s="52"/>
      <c r="Q1193" s="52"/>
      <c r="R1193" s="33" t="n">
        <f aca="false">INDEX(Épopées!$L$6:$L$59,MATCH(K1193,Épopées!$A$6:$A$59,0))</f>
        <v>46426</v>
      </c>
      <c r="S1193" s="33" t="n">
        <f aca="false">INDEX(Épopées!$M$6:$M$59,MATCH(K1193,Épopées!$A$6:$A$59,0))</f>
        <v>46455</v>
      </c>
      <c r="T1193" s="53" t="s">
        <v>463</v>
      </c>
    </row>
    <row r="1194" customFormat="false" ht="15" hidden="false" customHeight="false" outlineLevel="0" collapsed="false">
      <c r="A1194" s="31" t="s">
        <v>3237</v>
      </c>
      <c r="B1194" s="31" t="s">
        <v>404</v>
      </c>
      <c r="C1194" s="31" t="s">
        <v>417</v>
      </c>
      <c r="D1194" s="31" t="s">
        <v>418</v>
      </c>
      <c r="E1194" s="31" t="s">
        <v>3238</v>
      </c>
      <c r="F1194" s="31" t="s">
        <v>1623</v>
      </c>
      <c r="G1194" s="31" t="s">
        <v>466</v>
      </c>
      <c r="H1194" s="31" t="s">
        <v>41</v>
      </c>
      <c r="I1194" s="31" t="n">
        <f aca="false">VLOOKUP(H1194,Paramètres!$A$15:$B$19,2,FALSE())</f>
        <v>1</v>
      </c>
      <c r="J1194" s="31" t="n">
        <v>1</v>
      </c>
      <c r="K1194" s="50" t="str">
        <f aca="false">C1194&amp;"|"&amp;J1194</f>
        <v>ADM-WC|1</v>
      </c>
      <c r="L1194" s="31" t="s">
        <v>3232</v>
      </c>
      <c r="M1194" s="31" t="n">
        <v>1</v>
      </c>
      <c r="N1194" s="51" t="s">
        <v>462</v>
      </c>
      <c r="O1194" s="35" t="s">
        <v>78</v>
      </c>
      <c r="P1194" s="52"/>
      <c r="Q1194" s="52"/>
      <c r="R1194" s="33" t="n">
        <f aca="false">INDEX(Épopées!$L$6:$L$59,MATCH(K1194,Épopées!$A$6:$A$59,0))</f>
        <v>46426</v>
      </c>
      <c r="S1194" s="33" t="n">
        <f aca="false">INDEX(Épopées!$M$6:$M$59,MATCH(K1194,Épopées!$A$6:$A$59,0))</f>
        <v>46455</v>
      </c>
      <c r="T1194" s="53" t="s">
        <v>463</v>
      </c>
    </row>
    <row r="1195" customFormat="false" ht="15" hidden="false" customHeight="false" outlineLevel="0" collapsed="false">
      <c r="A1195" s="31" t="s">
        <v>3239</v>
      </c>
      <c r="B1195" s="31" t="s">
        <v>404</v>
      </c>
      <c r="C1195" s="31" t="s">
        <v>417</v>
      </c>
      <c r="D1195" s="31" t="s">
        <v>418</v>
      </c>
      <c r="E1195" s="31" t="s">
        <v>3240</v>
      </c>
      <c r="F1195" s="31" t="s">
        <v>491</v>
      </c>
      <c r="G1195" s="31" t="s">
        <v>466</v>
      </c>
      <c r="H1195" s="31" t="s">
        <v>43</v>
      </c>
      <c r="I1195" s="31" t="n">
        <f aca="false">VLOOKUP(H1195,Paramètres!$A$15:$B$19,2,FALSE())</f>
        <v>2</v>
      </c>
      <c r="J1195" s="31" t="n">
        <v>1</v>
      </c>
      <c r="K1195" s="50" t="str">
        <f aca="false">C1195&amp;"|"&amp;J1195</f>
        <v>ADM-WC|1</v>
      </c>
      <c r="L1195" s="31" t="s">
        <v>3241</v>
      </c>
      <c r="M1195" s="31" t="n">
        <v>2</v>
      </c>
      <c r="N1195" s="51" t="s">
        <v>462</v>
      </c>
      <c r="O1195" s="35" t="s">
        <v>78</v>
      </c>
      <c r="P1195" s="52"/>
      <c r="Q1195" s="52"/>
      <c r="R1195" s="33" t="n">
        <f aca="false">INDEX(Épopées!$L$6:$L$59,MATCH(K1195,Épopées!$A$6:$A$59,0))</f>
        <v>46426</v>
      </c>
      <c r="S1195" s="33" t="n">
        <f aca="false">INDEX(Épopées!$M$6:$M$59,MATCH(K1195,Épopées!$A$6:$A$59,0))</f>
        <v>46455</v>
      </c>
      <c r="T1195" s="53" t="s">
        <v>463</v>
      </c>
    </row>
    <row r="1196" customFormat="false" ht="15" hidden="false" customHeight="false" outlineLevel="0" collapsed="false">
      <c r="A1196" s="31" t="s">
        <v>3242</v>
      </c>
      <c r="B1196" s="31" t="s">
        <v>404</v>
      </c>
      <c r="C1196" s="31" t="s">
        <v>417</v>
      </c>
      <c r="D1196" s="31" t="s">
        <v>418</v>
      </c>
      <c r="E1196" s="31" t="s">
        <v>3243</v>
      </c>
      <c r="F1196" s="31" t="s">
        <v>1623</v>
      </c>
      <c r="G1196" s="31" t="s">
        <v>466</v>
      </c>
      <c r="H1196" s="31" t="s">
        <v>41</v>
      </c>
      <c r="I1196" s="31" t="n">
        <f aca="false">VLOOKUP(H1196,Paramètres!$A$15:$B$19,2,FALSE())</f>
        <v>1</v>
      </c>
      <c r="J1196" s="31" t="n">
        <v>1</v>
      </c>
      <c r="K1196" s="50" t="str">
        <f aca="false">C1196&amp;"|"&amp;J1196</f>
        <v>ADM-WC|1</v>
      </c>
      <c r="L1196" s="31" t="s">
        <v>3215</v>
      </c>
      <c r="M1196" s="31" t="n">
        <v>1</v>
      </c>
      <c r="N1196" s="51" t="s">
        <v>462</v>
      </c>
      <c r="O1196" s="35" t="s">
        <v>78</v>
      </c>
      <c r="P1196" s="52"/>
      <c r="Q1196" s="52"/>
      <c r="R1196" s="33" t="n">
        <f aca="false">INDEX(Épopées!$L$6:$L$59,MATCH(K1196,Épopées!$A$6:$A$59,0))</f>
        <v>46426</v>
      </c>
      <c r="S1196" s="33" t="n">
        <f aca="false">INDEX(Épopées!$M$6:$M$59,MATCH(K1196,Épopées!$A$6:$A$59,0))</f>
        <v>46455</v>
      </c>
      <c r="T1196" s="53" t="s">
        <v>463</v>
      </c>
    </row>
    <row r="1197" customFormat="false" ht="15" hidden="false" customHeight="false" outlineLevel="0" collapsed="false">
      <c r="A1197" s="31" t="s">
        <v>3244</v>
      </c>
      <c r="B1197" s="31" t="s">
        <v>404</v>
      </c>
      <c r="C1197" s="31" t="s">
        <v>417</v>
      </c>
      <c r="D1197" s="31" t="s">
        <v>418</v>
      </c>
      <c r="E1197" s="31" t="s">
        <v>3245</v>
      </c>
      <c r="F1197" s="31" t="s">
        <v>491</v>
      </c>
      <c r="G1197" s="31" t="s">
        <v>466</v>
      </c>
      <c r="H1197" s="31" t="s">
        <v>41</v>
      </c>
      <c r="I1197" s="31" t="n">
        <f aca="false">VLOOKUP(H1197,Paramètres!$A$15:$B$19,2,FALSE())</f>
        <v>1</v>
      </c>
      <c r="J1197" s="31" t="n">
        <v>1</v>
      </c>
      <c r="K1197" s="50" t="str">
        <f aca="false">C1197&amp;"|"&amp;J1197</f>
        <v>ADM-WC|1</v>
      </c>
      <c r="L1197" s="31" t="s">
        <v>3242</v>
      </c>
      <c r="M1197" s="31" t="n">
        <v>1</v>
      </c>
      <c r="N1197" s="51" t="s">
        <v>462</v>
      </c>
      <c r="O1197" s="35" t="s">
        <v>78</v>
      </c>
      <c r="P1197" s="52"/>
      <c r="Q1197" s="52"/>
      <c r="R1197" s="33" t="n">
        <f aca="false">INDEX(Épopées!$L$6:$L$59,MATCH(K1197,Épopées!$A$6:$A$59,0))</f>
        <v>46426</v>
      </c>
      <c r="S1197" s="33" t="n">
        <f aca="false">INDEX(Épopées!$M$6:$M$59,MATCH(K1197,Épopées!$A$6:$A$59,0))</f>
        <v>46455</v>
      </c>
      <c r="T1197" s="53" t="s">
        <v>463</v>
      </c>
    </row>
    <row r="1198" customFormat="false" ht="15" hidden="false" customHeight="false" outlineLevel="0" collapsed="false">
      <c r="A1198" s="31" t="s">
        <v>3246</v>
      </c>
      <c r="B1198" s="31" t="s">
        <v>404</v>
      </c>
      <c r="C1198" s="31" t="s">
        <v>417</v>
      </c>
      <c r="D1198" s="31" t="s">
        <v>418</v>
      </c>
      <c r="E1198" s="31" t="s">
        <v>3247</v>
      </c>
      <c r="F1198" s="31" t="s">
        <v>491</v>
      </c>
      <c r="G1198" s="31" t="s">
        <v>466</v>
      </c>
      <c r="H1198" s="31" t="s">
        <v>41</v>
      </c>
      <c r="I1198" s="31" t="n">
        <f aca="false">VLOOKUP(H1198,Paramètres!$A$15:$B$19,2,FALSE())</f>
        <v>1</v>
      </c>
      <c r="J1198" s="31" t="n">
        <v>1</v>
      </c>
      <c r="K1198" s="50" t="str">
        <f aca="false">C1198&amp;"|"&amp;J1198</f>
        <v>ADM-WC|1</v>
      </c>
      <c r="L1198" s="31" t="s">
        <v>3215</v>
      </c>
      <c r="M1198" s="31" t="n">
        <v>3</v>
      </c>
      <c r="N1198" s="51" t="s">
        <v>462</v>
      </c>
      <c r="O1198" s="35" t="s">
        <v>78</v>
      </c>
      <c r="P1198" s="52"/>
      <c r="Q1198" s="52"/>
      <c r="R1198" s="33" t="n">
        <f aca="false">INDEX(Épopées!$L$6:$L$59,MATCH(K1198,Épopées!$A$6:$A$59,0))</f>
        <v>46426</v>
      </c>
      <c r="S1198" s="33" t="n">
        <f aca="false">INDEX(Épopées!$M$6:$M$59,MATCH(K1198,Épopées!$A$6:$A$59,0))</f>
        <v>46455</v>
      </c>
      <c r="T1198" s="53" t="s">
        <v>463</v>
      </c>
    </row>
    <row r="1199" customFormat="false" ht="15" hidden="false" customHeight="false" outlineLevel="0" collapsed="false">
      <c r="A1199" s="31" t="s">
        <v>3248</v>
      </c>
      <c r="B1199" s="31" t="s">
        <v>404</v>
      </c>
      <c r="C1199" s="31" t="s">
        <v>417</v>
      </c>
      <c r="D1199" s="31" t="s">
        <v>418</v>
      </c>
      <c r="E1199" s="31" t="s">
        <v>3249</v>
      </c>
      <c r="F1199" s="31" t="s">
        <v>469</v>
      </c>
      <c r="G1199" s="31" t="s">
        <v>461</v>
      </c>
      <c r="H1199" s="31" t="s">
        <v>39</v>
      </c>
      <c r="I1199" s="31" t="n">
        <f aca="false">VLOOKUP(H1199,Paramètres!$A$15:$B$19,2,FALSE())</f>
        <v>0.5</v>
      </c>
      <c r="J1199" s="31" t="n">
        <v>1</v>
      </c>
      <c r="K1199" s="50" t="str">
        <f aca="false">C1199&amp;"|"&amp;J1199</f>
        <v>ADM-WC|1</v>
      </c>
      <c r="L1199" s="31" t="s">
        <v>3193</v>
      </c>
      <c r="M1199" s="31" t="n">
        <v>3</v>
      </c>
      <c r="N1199" s="51" t="s">
        <v>462</v>
      </c>
      <c r="O1199" s="35" t="s">
        <v>78</v>
      </c>
      <c r="P1199" s="52"/>
      <c r="Q1199" s="52"/>
      <c r="R1199" s="33" t="n">
        <f aca="false">INDEX(Épopées!$L$6:$L$59,MATCH(K1199,Épopées!$A$6:$A$59,0))</f>
        <v>46426</v>
      </c>
      <c r="S1199" s="33" t="n">
        <f aca="false">INDEX(Épopées!$M$6:$M$59,MATCH(K1199,Épopées!$A$6:$A$59,0))</f>
        <v>46455</v>
      </c>
      <c r="T1199" s="53" t="s">
        <v>463</v>
      </c>
    </row>
    <row r="1200" customFormat="false" ht="15" hidden="false" customHeight="false" outlineLevel="0" collapsed="false">
      <c r="A1200" s="31" t="s">
        <v>3250</v>
      </c>
      <c r="B1200" s="31" t="s">
        <v>404</v>
      </c>
      <c r="C1200" s="31" t="s">
        <v>417</v>
      </c>
      <c r="D1200" s="31" t="s">
        <v>418</v>
      </c>
      <c r="E1200" s="31" t="s">
        <v>3251</v>
      </c>
      <c r="F1200" s="31" t="s">
        <v>472</v>
      </c>
      <c r="G1200" s="31" t="s">
        <v>466</v>
      </c>
      <c r="H1200" s="31" t="s">
        <v>41</v>
      </c>
      <c r="I1200" s="31" t="n">
        <f aca="false">VLOOKUP(H1200,Paramètres!$A$15:$B$19,2,FALSE())</f>
        <v>1</v>
      </c>
      <c r="J1200" s="31" t="n">
        <v>1</v>
      </c>
      <c r="K1200" s="50" t="str">
        <f aca="false">C1200&amp;"|"&amp;J1200</f>
        <v>ADM-WC|1</v>
      </c>
      <c r="L1200" s="31" t="s">
        <v>3252</v>
      </c>
      <c r="M1200" s="31" t="n">
        <v>6</v>
      </c>
      <c r="N1200" s="51" t="s">
        <v>462</v>
      </c>
      <c r="O1200" s="35" t="s">
        <v>78</v>
      </c>
      <c r="P1200" s="52"/>
      <c r="Q1200" s="52"/>
      <c r="R1200" s="33" t="n">
        <f aca="false">INDEX(Épopées!$L$6:$L$59,MATCH(K1200,Épopées!$A$6:$A$59,0))</f>
        <v>46426</v>
      </c>
      <c r="S1200" s="33" t="n">
        <f aca="false">INDEX(Épopées!$M$6:$M$59,MATCH(K1200,Épopées!$A$6:$A$59,0))</f>
        <v>46455</v>
      </c>
      <c r="T1200" s="53" t="s">
        <v>463</v>
      </c>
    </row>
    <row r="1201" customFormat="false" ht="15" hidden="false" customHeight="false" outlineLevel="0" collapsed="false">
      <c r="A1201" s="31" t="s">
        <v>3253</v>
      </c>
      <c r="B1201" s="31" t="s">
        <v>404</v>
      </c>
      <c r="C1201" s="31" t="s">
        <v>420</v>
      </c>
      <c r="D1201" s="31" t="s">
        <v>421</v>
      </c>
      <c r="E1201" s="31" t="s">
        <v>3254</v>
      </c>
      <c r="F1201" s="31" t="s">
        <v>486</v>
      </c>
      <c r="G1201" s="31" t="s">
        <v>461</v>
      </c>
      <c r="H1201" s="31" t="s">
        <v>41</v>
      </c>
      <c r="I1201" s="31" t="n">
        <f aca="false">VLOOKUP(H1201,Paramètres!$A$15:$B$19,2,FALSE())</f>
        <v>1</v>
      </c>
      <c r="J1201" s="31" t="n">
        <v>1</v>
      </c>
      <c r="K1201" s="50" t="str">
        <f aca="false">C1201&amp;"|"&amp;J1201</f>
        <v>ADM-WD|1</v>
      </c>
      <c r="L1201" s="31"/>
      <c r="M1201" s="31" t="n">
        <v>4</v>
      </c>
      <c r="N1201" s="51" t="s">
        <v>462</v>
      </c>
      <c r="O1201" s="35" t="s">
        <v>78</v>
      </c>
      <c r="P1201" s="52"/>
      <c r="Q1201" s="52"/>
      <c r="R1201" s="33" t="n">
        <f aca="false">INDEX(Épopées!$L$6:$L$59,MATCH(K1201,Épopées!$A$6:$A$59,0))</f>
        <v>46456</v>
      </c>
      <c r="S1201" s="33" t="n">
        <f aca="false">INDEX(Épopées!$M$6:$M$59,MATCH(K1201,Épopées!$A$6:$A$59,0))</f>
        <v>46476</v>
      </c>
      <c r="T1201" s="53" t="s">
        <v>463</v>
      </c>
    </row>
    <row r="1202" customFormat="false" ht="15" hidden="false" customHeight="false" outlineLevel="0" collapsed="false">
      <c r="A1202" s="31" t="s">
        <v>3255</v>
      </c>
      <c r="B1202" s="31" t="s">
        <v>404</v>
      </c>
      <c r="C1202" s="31" t="s">
        <v>420</v>
      </c>
      <c r="D1202" s="31" t="s">
        <v>421</v>
      </c>
      <c r="E1202" s="31" t="s">
        <v>3256</v>
      </c>
      <c r="F1202" s="31" t="s">
        <v>1623</v>
      </c>
      <c r="G1202" s="31" t="s">
        <v>461</v>
      </c>
      <c r="H1202" s="31" t="s">
        <v>43</v>
      </c>
      <c r="I1202" s="31" t="n">
        <f aca="false">VLOOKUP(H1202,Paramètres!$A$15:$B$19,2,FALSE())</f>
        <v>2</v>
      </c>
      <c r="J1202" s="31" t="n">
        <v>1</v>
      </c>
      <c r="K1202" s="50" t="str">
        <f aca="false">C1202&amp;"|"&amp;J1202</f>
        <v>ADM-WD|1</v>
      </c>
      <c r="L1202" s="31" t="s">
        <v>3253</v>
      </c>
      <c r="M1202" s="31" t="n">
        <v>1</v>
      </c>
      <c r="N1202" s="51" t="s">
        <v>462</v>
      </c>
      <c r="O1202" s="35" t="s">
        <v>78</v>
      </c>
      <c r="P1202" s="52"/>
      <c r="Q1202" s="52"/>
      <c r="R1202" s="33" t="n">
        <f aca="false">INDEX(Épopées!$L$6:$L$59,MATCH(K1202,Épopées!$A$6:$A$59,0))</f>
        <v>46456</v>
      </c>
      <c r="S1202" s="33" t="n">
        <f aca="false">INDEX(Épopées!$M$6:$M$59,MATCH(K1202,Épopées!$A$6:$A$59,0))</f>
        <v>46476</v>
      </c>
      <c r="T1202" s="53" t="s">
        <v>463</v>
      </c>
    </row>
    <row r="1203" customFormat="false" ht="15" hidden="false" customHeight="false" outlineLevel="0" collapsed="false">
      <c r="A1203" s="31" t="s">
        <v>3257</v>
      </c>
      <c r="B1203" s="31" t="s">
        <v>404</v>
      </c>
      <c r="C1203" s="31" t="s">
        <v>420</v>
      </c>
      <c r="D1203" s="31" t="s">
        <v>421</v>
      </c>
      <c r="E1203" s="31" t="s">
        <v>3258</v>
      </c>
      <c r="F1203" s="31" t="s">
        <v>491</v>
      </c>
      <c r="G1203" s="31" t="s">
        <v>466</v>
      </c>
      <c r="H1203" s="31" t="s">
        <v>41</v>
      </c>
      <c r="I1203" s="31" t="n">
        <f aca="false">VLOOKUP(H1203,Paramètres!$A$15:$B$19,2,FALSE())</f>
        <v>1</v>
      </c>
      <c r="J1203" s="31" t="n">
        <v>1</v>
      </c>
      <c r="K1203" s="50" t="str">
        <f aca="false">C1203&amp;"|"&amp;J1203</f>
        <v>ADM-WD|1</v>
      </c>
      <c r="L1203" s="31" t="s">
        <v>3255</v>
      </c>
      <c r="M1203" s="31" t="n">
        <v>1</v>
      </c>
      <c r="N1203" s="51" t="s">
        <v>462</v>
      </c>
      <c r="O1203" s="35" t="s">
        <v>78</v>
      </c>
      <c r="P1203" s="52"/>
      <c r="Q1203" s="52"/>
      <c r="R1203" s="33" t="n">
        <f aca="false">INDEX(Épopées!$L$6:$L$59,MATCH(K1203,Épopées!$A$6:$A$59,0))</f>
        <v>46456</v>
      </c>
      <c r="S1203" s="33" t="n">
        <f aca="false">INDEX(Épopées!$M$6:$M$59,MATCH(K1203,Épopées!$A$6:$A$59,0))</f>
        <v>46476</v>
      </c>
      <c r="T1203" s="53" t="s">
        <v>463</v>
      </c>
    </row>
    <row r="1204" customFormat="false" ht="15" hidden="false" customHeight="false" outlineLevel="0" collapsed="false">
      <c r="A1204" s="31" t="s">
        <v>3259</v>
      </c>
      <c r="B1204" s="31" t="s">
        <v>404</v>
      </c>
      <c r="C1204" s="31" t="s">
        <v>420</v>
      </c>
      <c r="D1204" s="31" t="s">
        <v>421</v>
      </c>
      <c r="E1204" s="31" t="s">
        <v>3260</v>
      </c>
      <c r="F1204" s="31" t="s">
        <v>491</v>
      </c>
      <c r="G1204" s="31" t="s">
        <v>466</v>
      </c>
      <c r="H1204" s="31" t="s">
        <v>41</v>
      </c>
      <c r="I1204" s="31" t="n">
        <f aca="false">VLOOKUP(H1204,Paramètres!$A$15:$B$19,2,FALSE())</f>
        <v>1</v>
      </c>
      <c r="J1204" s="31" t="n">
        <v>1</v>
      </c>
      <c r="K1204" s="50" t="str">
        <f aca="false">C1204&amp;"|"&amp;J1204</f>
        <v>ADM-WD|1</v>
      </c>
      <c r="L1204" s="31" t="s">
        <v>3253</v>
      </c>
      <c r="M1204" s="31" t="n">
        <v>2</v>
      </c>
      <c r="N1204" s="51" t="s">
        <v>462</v>
      </c>
      <c r="O1204" s="35" t="s">
        <v>78</v>
      </c>
      <c r="P1204" s="52"/>
      <c r="Q1204" s="52"/>
      <c r="R1204" s="33" t="n">
        <f aca="false">INDEX(Épopées!$L$6:$L$59,MATCH(K1204,Épopées!$A$6:$A$59,0))</f>
        <v>46456</v>
      </c>
      <c r="S1204" s="33" t="n">
        <f aca="false">INDEX(Épopées!$M$6:$M$59,MATCH(K1204,Épopées!$A$6:$A$59,0))</f>
        <v>46476</v>
      </c>
      <c r="T1204" s="53" t="s">
        <v>463</v>
      </c>
    </row>
    <row r="1205" customFormat="false" ht="15" hidden="false" customHeight="false" outlineLevel="0" collapsed="false">
      <c r="A1205" s="31" t="s">
        <v>3261</v>
      </c>
      <c r="B1205" s="31" t="s">
        <v>404</v>
      </c>
      <c r="C1205" s="31" t="s">
        <v>420</v>
      </c>
      <c r="D1205" s="31" t="s">
        <v>421</v>
      </c>
      <c r="E1205" s="31" t="s">
        <v>3262</v>
      </c>
      <c r="F1205" s="31" t="s">
        <v>1623</v>
      </c>
      <c r="G1205" s="31" t="s">
        <v>461</v>
      </c>
      <c r="H1205" s="31" t="s">
        <v>43</v>
      </c>
      <c r="I1205" s="31" t="n">
        <f aca="false">VLOOKUP(H1205,Paramètres!$A$15:$B$19,2,FALSE())</f>
        <v>2</v>
      </c>
      <c r="J1205" s="31" t="n">
        <v>1</v>
      </c>
      <c r="K1205" s="50" t="str">
        <f aca="false">C1205&amp;"|"&amp;J1205</f>
        <v>ADM-WD|1</v>
      </c>
      <c r="L1205" s="31" t="s">
        <v>3263</v>
      </c>
      <c r="M1205" s="31" t="n">
        <v>1</v>
      </c>
      <c r="N1205" s="51" t="s">
        <v>462</v>
      </c>
      <c r="O1205" s="35" t="s">
        <v>78</v>
      </c>
      <c r="P1205" s="52"/>
      <c r="Q1205" s="52"/>
      <c r="R1205" s="33" t="n">
        <f aca="false">INDEX(Épopées!$L$6:$L$59,MATCH(K1205,Épopées!$A$6:$A$59,0))</f>
        <v>46456</v>
      </c>
      <c r="S1205" s="33" t="n">
        <f aca="false">INDEX(Épopées!$M$6:$M$59,MATCH(K1205,Épopées!$A$6:$A$59,0))</f>
        <v>46476</v>
      </c>
      <c r="T1205" s="53" t="s">
        <v>463</v>
      </c>
    </row>
    <row r="1206" customFormat="false" ht="15" hidden="false" customHeight="false" outlineLevel="0" collapsed="false">
      <c r="A1206" s="31" t="s">
        <v>3264</v>
      </c>
      <c r="B1206" s="31" t="s">
        <v>404</v>
      </c>
      <c r="C1206" s="31" t="s">
        <v>420</v>
      </c>
      <c r="D1206" s="31" t="s">
        <v>421</v>
      </c>
      <c r="E1206" s="31" t="s">
        <v>3265</v>
      </c>
      <c r="F1206" s="31" t="s">
        <v>491</v>
      </c>
      <c r="G1206" s="31" t="s">
        <v>461</v>
      </c>
      <c r="H1206" s="31" t="s">
        <v>43</v>
      </c>
      <c r="I1206" s="31" t="n">
        <f aca="false">VLOOKUP(H1206,Paramètres!$A$15:$B$19,2,FALSE())</f>
        <v>2</v>
      </c>
      <c r="J1206" s="31" t="n">
        <v>1</v>
      </c>
      <c r="K1206" s="50" t="str">
        <f aca="false">C1206&amp;"|"&amp;J1206</f>
        <v>ADM-WD|1</v>
      </c>
      <c r="L1206" s="31" t="s">
        <v>3261</v>
      </c>
      <c r="M1206" s="31" t="n">
        <v>1</v>
      </c>
      <c r="N1206" s="51" t="s">
        <v>462</v>
      </c>
      <c r="O1206" s="35" t="s">
        <v>78</v>
      </c>
      <c r="P1206" s="52"/>
      <c r="Q1206" s="52"/>
      <c r="R1206" s="33" t="n">
        <f aca="false">INDEX(Épopées!$L$6:$L$59,MATCH(K1206,Épopées!$A$6:$A$59,0))</f>
        <v>46456</v>
      </c>
      <c r="S1206" s="33" t="n">
        <f aca="false">INDEX(Épopées!$M$6:$M$59,MATCH(K1206,Épopées!$A$6:$A$59,0))</f>
        <v>46476</v>
      </c>
      <c r="T1206" s="53" t="s">
        <v>463</v>
      </c>
    </row>
    <row r="1207" customFormat="false" ht="15" hidden="false" customHeight="false" outlineLevel="0" collapsed="false">
      <c r="A1207" s="31" t="s">
        <v>3266</v>
      </c>
      <c r="B1207" s="31" t="s">
        <v>404</v>
      </c>
      <c r="C1207" s="31" t="s">
        <v>420</v>
      </c>
      <c r="D1207" s="31" t="s">
        <v>421</v>
      </c>
      <c r="E1207" s="31" t="s">
        <v>3267</v>
      </c>
      <c r="F1207" s="31" t="s">
        <v>1623</v>
      </c>
      <c r="G1207" s="31" t="s">
        <v>466</v>
      </c>
      <c r="H1207" s="31" t="s">
        <v>43</v>
      </c>
      <c r="I1207" s="31" t="n">
        <f aca="false">VLOOKUP(H1207,Paramètres!$A$15:$B$19,2,FALSE())</f>
        <v>2</v>
      </c>
      <c r="J1207" s="31" t="n">
        <v>1</v>
      </c>
      <c r="K1207" s="50" t="str">
        <f aca="false">C1207&amp;"|"&amp;J1207</f>
        <v>ADM-WD|1</v>
      </c>
      <c r="L1207" s="31" t="s">
        <v>3268</v>
      </c>
      <c r="M1207" s="31" t="n">
        <v>2</v>
      </c>
      <c r="N1207" s="51" t="s">
        <v>462</v>
      </c>
      <c r="O1207" s="35" t="s">
        <v>78</v>
      </c>
      <c r="P1207" s="52"/>
      <c r="Q1207" s="52"/>
      <c r="R1207" s="33" t="n">
        <f aca="false">INDEX(Épopées!$L$6:$L$59,MATCH(K1207,Épopées!$A$6:$A$59,0))</f>
        <v>46456</v>
      </c>
      <c r="S1207" s="33" t="n">
        <f aca="false">INDEX(Épopées!$M$6:$M$59,MATCH(K1207,Épopées!$A$6:$A$59,0))</f>
        <v>46476</v>
      </c>
      <c r="T1207" s="53" t="s">
        <v>463</v>
      </c>
    </row>
    <row r="1208" customFormat="false" ht="15" hidden="false" customHeight="false" outlineLevel="0" collapsed="false">
      <c r="A1208" s="31" t="s">
        <v>3269</v>
      </c>
      <c r="B1208" s="31" t="s">
        <v>404</v>
      </c>
      <c r="C1208" s="31" t="s">
        <v>420</v>
      </c>
      <c r="D1208" s="31" t="s">
        <v>421</v>
      </c>
      <c r="E1208" s="31" t="s">
        <v>3270</v>
      </c>
      <c r="F1208" s="31" t="s">
        <v>491</v>
      </c>
      <c r="G1208" s="31" t="s">
        <v>466</v>
      </c>
      <c r="H1208" s="31" t="s">
        <v>41</v>
      </c>
      <c r="I1208" s="31" t="n">
        <f aca="false">VLOOKUP(H1208,Paramètres!$A$15:$B$19,2,FALSE())</f>
        <v>1</v>
      </c>
      <c r="J1208" s="31" t="n">
        <v>1</v>
      </c>
      <c r="K1208" s="50" t="str">
        <f aca="false">C1208&amp;"|"&amp;J1208</f>
        <v>ADM-WD|1</v>
      </c>
      <c r="L1208" s="31" t="s">
        <v>3261</v>
      </c>
      <c r="M1208" s="31" t="n">
        <v>2</v>
      </c>
      <c r="N1208" s="51" t="s">
        <v>462</v>
      </c>
      <c r="O1208" s="35" t="s">
        <v>78</v>
      </c>
      <c r="P1208" s="52"/>
      <c r="Q1208" s="52"/>
      <c r="R1208" s="33" t="n">
        <f aca="false">INDEX(Épopées!$L$6:$L$59,MATCH(K1208,Épopées!$A$6:$A$59,0))</f>
        <v>46456</v>
      </c>
      <c r="S1208" s="33" t="n">
        <f aca="false">INDEX(Épopées!$M$6:$M$59,MATCH(K1208,Épopées!$A$6:$A$59,0))</f>
        <v>46476</v>
      </c>
      <c r="T1208" s="53" t="s">
        <v>463</v>
      </c>
    </row>
    <row r="1209" customFormat="false" ht="15" hidden="false" customHeight="false" outlineLevel="0" collapsed="false">
      <c r="A1209" s="31" t="s">
        <v>3271</v>
      </c>
      <c r="B1209" s="31" t="s">
        <v>404</v>
      </c>
      <c r="C1209" s="31" t="s">
        <v>420</v>
      </c>
      <c r="D1209" s="31" t="s">
        <v>421</v>
      </c>
      <c r="E1209" s="31" t="s">
        <v>3272</v>
      </c>
      <c r="F1209" s="31" t="s">
        <v>1623</v>
      </c>
      <c r="G1209" s="31" t="s">
        <v>461</v>
      </c>
      <c r="H1209" s="31" t="s">
        <v>43</v>
      </c>
      <c r="I1209" s="31" t="n">
        <f aca="false">VLOOKUP(H1209,Paramètres!$A$15:$B$19,2,FALSE())</f>
        <v>2</v>
      </c>
      <c r="J1209" s="31" t="n">
        <v>1</v>
      </c>
      <c r="K1209" s="50" t="str">
        <f aca="false">C1209&amp;"|"&amp;J1209</f>
        <v>ADM-WD|1</v>
      </c>
      <c r="L1209" s="31" t="s">
        <v>3263</v>
      </c>
      <c r="M1209" s="31" t="n">
        <v>2</v>
      </c>
      <c r="N1209" s="51" t="s">
        <v>462</v>
      </c>
      <c r="O1209" s="35" t="s">
        <v>78</v>
      </c>
      <c r="P1209" s="52"/>
      <c r="Q1209" s="52"/>
      <c r="R1209" s="33" t="n">
        <f aca="false">INDEX(Épopées!$L$6:$L$59,MATCH(K1209,Épopées!$A$6:$A$59,0))</f>
        <v>46456</v>
      </c>
      <c r="S1209" s="33" t="n">
        <f aca="false">INDEX(Épopées!$M$6:$M$59,MATCH(K1209,Épopées!$A$6:$A$59,0))</f>
        <v>46476</v>
      </c>
      <c r="T1209" s="53" t="s">
        <v>463</v>
      </c>
    </row>
    <row r="1210" customFormat="false" ht="15" hidden="false" customHeight="false" outlineLevel="0" collapsed="false">
      <c r="A1210" s="31" t="s">
        <v>3273</v>
      </c>
      <c r="B1210" s="31" t="s">
        <v>404</v>
      </c>
      <c r="C1210" s="31" t="s">
        <v>420</v>
      </c>
      <c r="D1210" s="31" t="s">
        <v>421</v>
      </c>
      <c r="E1210" s="31" t="s">
        <v>3274</v>
      </c>
      <c r="F1210" s="31" t="s">
        <v>491</v>
      </c>
      <c r="G1210" s="31" t="s">
        <v>461</v>
      </c>
      <c r="H1210" s="31" t="s">
        <v>43</v>
      </c>
      <c r="I1210" s="31" t="n">
        <f aca="false">VLOOKUP(H1210,Paramètres!$A$15:$B$19,2,FALSE())</f>
        <v>2</v>
      </c>
      <c r="J1210" s="31" t="n">
        <v>1</v>
      </c>
      <c r="K1210" s="50" t="str">
        <f aca="false">C1210&amp;"|"&amp;J1210</f>
        <v>ADM-WD|1</v>
      </c>
      <c r="L1210" s="31" t="s">
        <v>3275</v>
      </c>
      <c r="M1210" s="31" t="n">
        <v>1</v>
      </c>
      <c r="N1210" s="51" t="s">
        <v>462</v>
      </c>
      <c r="O1210" s="35" t="s">
        <v>78</v>
      </c>
      <c r="P1210" s="52"/>
      <c r="Q1210" s="52"/>
      <c r="R1210" s="33" t="n">
        <f aca="false">INDEX(Épopées!$L$6:$L$59,MATCH(K1210,Épopées!$A$6:$A$59,0))</f>
        <v>46456</v>
      </c>
      <c r="S1210" s="33" t="n">
        <f aca="false">INDEX(Épopées!$M$6:$M$59,MATCH(K1210,Épopées!$A$6:$A$59,0))</f>
        <v>46476</v>
      </c>
      <c r="T1210" s="53" t="s">
        <v>463</v>
      </c>
    </row>
    <row r="1211" customFormat="false" ht="15" hidden="false" customHeight="false" outlineLevel="0" collapsed="false">
      <c r="A1211" s="31" t="s">
        <v>3276</v>
      </c>
      <c r="B1211" s="31" t="s">
        <v>404</v>
      </c>
      <c r="C1211" s="31" t="s">
        <v>420</v>
      </c>
      <c r="D1211" s="31" t="s">
        <v>421</v>
      </c>
      <c r="E1211" s="31" t="s">
        <v>3277</v>
      </c>
      <c r="F1211" s="31" t="s">
        <v>1623</v>
      </c>
      <c r="G1211" s="31" t="s">
        <v>466</v>
      </c>
      <c r="H1211" s="31" t="s">
        <v>43</v>
      </c>
      <c r="I1211" s="31" t="n">
        <f aca="false">VLOOKUP(H1211,Paramètres!$A$15:$B$19,2,FALSE())</f>
        <v>2</v>
      </c>
      <c r="J1211" s="31" t="n">
        <v>1</v>
      </c>
      <c r="K1211" s="50" t="str">
        <f aca="false">C1211&amp;"|"&amp;J1211</f>
        <v>ADM-WD|1</v>
      </c>
      <c r="L1211" s="31" t="s">
        <v>3278</v>
      </c>
      <c r="M1211" s="31" t="n">
        <v>1</v>
      </c>
      <c r="N1211" s="51" t="s">
        <v>462</v>
      </c>
      <c r="O1211" s="35" t="s">
        <v>78</v>
      </c>
      <c r="P1211" s="52"/>
      <c r="Q1211" s="52"/>
      <c r="R1211" s="33" t="n">
        <f aca="false">INDEX(Épopées!$L$6:$L$59,MATCH(K1211,Épopées!$A$6:$A$59,0))</f>
        <v>46456</v>
      </c>
      <c r="S1211" s="33" t="n">
        <f aca="false">INDEX(Épopées!$M$6:$M$59,MATCH(K1211,Épopées!$A$6:$A$59,0))</f>
        <v>46476</v>
      </c>
      <c r="T1211" s="53" t="s">
        <v>463</v>
      </c>
    </row>
    <row r="1212" customFormat="false" ht="15" hidden="false" customHeight="false" outlineLevel="0" collapsed="false">
      <c r="A1212" s="31" t="s">
        <v>3279</v>
      </c>
      <c r="B1212" s="31" t="s">
        <v>404</v>
      </c>
      <c r="C1212" s="31" t="s">
        <v>420</v>
      </c>
      <c r="D1212" s="31" t="s">
        <v>421</v>
      </c>
      <c r="E1212" s="31" t="s">
        <v>3280</v>
      </c>
      <c r="F1212" s="31" t="s">
        <v>491</v>
      </c>
      <c r="G1212" s="31" t="s">
        <v>466</v>
      </c>
      <c r="H1212" s="31" t="s">
        <v>41</v>
      </c>
      <c r="I1212" s="31" t="n">
        <f aca="false">VLOOKUP(H1212,Paramètres!$A$15:$B$19,2,FALSE())</f>
        <v>1</v>
      </c>
      <c r="J1212" s="31" t="n">
        <v>1</v>
      </c>
      <c r="K1212" s="50" t="str">
        <f aca="false">C1212&amp;"|"&amp;J1212</f>
        <v>ADM-WD|1</v>
      </c>
      <c r="L1212" s="31" t="s">
        <v>3276</v>
      </c>
      <c r="M1212" s="31" t="n">
        <v>2</v>
      </c>
      <c r="N1212" s="51" t="s">
        <v>462</v>
      </c>
      <c r="O1212" s="35" t="s">
        <v>78</v>
      </c>
      <c r="P1212" s="52"/>
      <c r="Q1212" s="52"/>
      <c r="R1212" s="33" t="n">
        <f aca="false">INDEX(Épopées!$L$6:$L$59,MATCH(K1212,Épopées!$A$6:$A$59,0))</f>
        <v>46456</v>
      </c>
      <c r="S1212" s="33" t="n">
        <f aca="false">INDEX(Épopées!$M$6:$M$59,MATCH(K1212,Épopées!$A$6:$A$59,0))</f>
        <v>46476</v>
      </c>
      <c r="T1212" s="53" t="s">
        <v>463</v>
      </c>
    </row>
    <row r="1213" customFormat="false" ht="15" hidden="false" customHeight="false" outlineLevel="0" collapsed="false">
      <c r="A1213" s="31" t="s">
        <v>3281</v>
      </c>
      <c r="B1213" s="31" t="s">
        <v>404</v>
      </c>
      <c r="C1213" s="31" t="s">
        <v>420</v>
      </c>
      <c r="D1213" s="31" t="s">
        <v>421</v>
      </c>
      <c r="E1213" s="31" t="s">
        <v>3282</v>
      </c>
      <c r="F1213" s="31" t="s">
        <v>469</v>
      </c>
      <c r="G1213" s="31" t="s">
        <v>461</v>
      </c>
      <c r="H1213" s="31" t="s">
        <v>39</v>
      </c>
      <c r="I1213" s="31" t="n">
        <f aca="false">VLOOKUP(H1213,Paramètres!$A$15:$B$19,2,FALSE())</f>
        <v>0.5</v>
      </c>
      <c r="J1213" s="31" t="n">
        <v>1</v>
      </c>
      <c r="K1213" s="50" t="str">
        <f aca="false">C1213&amp;"|"&amp;J1213</f>
        <v>ADM-WD|1</v>
      </c>
      <c r="L1213" s="31" t="s">
        <v>3283</v>
      </c>
      <c r="M1213" s="31" t="n">
        <v>4</v>
      </c>
      <c r="N1213" s="51" t="s">
        <v>462</v>
      </c>
      <c r="O1213" s="35" t="s">
        <v>78</v>
      </c>
      <c r="P1213" s="52"/>
      <c r="Q1213" s="52"/>
      <c r="R1213" s="33" t="n">
        <f aca="false">INDEX(Épopées!$L$6:$L$59,MATCH(K1213,Épopées!$A$6:$A$59,0))</f>
        <v>46456</v>
      </c>
      <c r="S1213" s="33" t="n">
        <f aca="false">INDEX(Épopées!$M$6:$M$59,MATCH(K1213,Épopées!$A$6:$A$59,0))</f>
        <v>46476</v>
      </c>
      <c r="T1213" s="53" t="s">
        <v>463</v>
      </c>
    </row>
    <row r="1214" customFormat="false" ht="15" hidden="false" customHeight="false" outlineLevel="0" collapsed="false">
      <c r="A1214" s="31" t="s">
        <v>3284</v>
      </c>
      <c r="B1214" s="31" t="s">
        <v>404</v>
      </c>
      <c r="C1214" s="31" t="s">
        <v>420</v>
      </c>
      <c r="D1214" s="31" t="s">
        <v>421</v>
      </c>
      <c r="E1214" s="31" t="s">
        <v>3285</v>
      </c>
      <c r="F1214" s="31" t="s">
        <v>472</v>
      </c>
      <c r="G1214" s="31" t="s">
        <v>466</v>
      </c>
      <c r="H1214" s="31" t="s">
        <v>41</v>
      </c>
      <c r="I1214" s="31" t="n">
        <f aca="false">VLOOKUP(H1214,Paramètres!$A$15:$B$19,2,FALSE())</f>
        <v>1</v>
      </c>
      <c r="J1214" s="31" t="n">
        <v>1</v>
      </c>
      <c r="K1214" s="50" t="str">
        <f aca="false">C1214&amp;"|"&amp;J1214</f>
        <v>ADM-WD|1</v>
      </c>
      <c r="L1214" s="31" t="s">
        <v>3286</v>
      </c>
      <c r="M1214" s="31" t="n">
        <v>4</v>
      </c>
      <c r="N1214" s="51" t="s">
        <v>462</v>
      </c>
      <c r="O1214" s="35" t="s">
        <v>78</v>
      </c>
      <c r="P1214" s="52"/>
      <c r="Q1214" s="52"/>
      <c r="R1214" s="33" t="n">
        <f aca="false">INDEX(Épopées!$L$6:$L$59,MATCH(K1214,Épopées!$A$6:$A$59,0))</f>
        <v>46456</v>
      </c>
      <c r="S1214" s="33" t="n">
        <f aca="false">INDEX(Épopées!$M$6:$M$59,MATCH(K1214,Épopées!$A$6:$A$59,0))</f>
        <v>46476</v>
      </c>
      <c r="T1214" s="53" t="s">
        <v>463</v>
      </c>
    </row>
    <row r="1215" customFormat="false" ht="15" hidden="false" customHeight="false" outlineLevel="0" collapsed="false">
      <c r="A1215" s="31" t="s">
        <v>3287</v>
      </c>
      <c r="B1215" s="31" t="s">
        <v>404</v>
      </c>
      <c r="C1215" s="31" t="s">
        <v>423</v>
      </c>
      <c r="D1215" s="31" t="s">
        <v>424</v>
      </c>
      <c r="E1215" s="31" t="s">
        <v>3288</v>
      </c>
      <c r="F1215" s="31" t="s">
        <v>486</v>
      </c>
      <c r="G1215" s="31" t="s">
        <v>461</v>
      </c>
      <c r="H1215" s="31" t="s">
        <v>41</v>
      </c>
      <c r="I1215" s="31" t="n">
        <f aca="false">VLOOKUP(H1215,Paramètres!$A$15:$B$19,2,FALSE())</f>
        <v>1</v>
      </c>
      <c r="J1215" s="31" t="n">
        <v>1</v>
      </c>
      <c r="K1215" s="50" t="str">
        <f aca="false">C1215&amp;"|"&amp;J1215</f>
        <v>ADM-WE|1</v>
      </c>
      <c r="L1215" s="31"/>
      <c r="M1215" s="31" t="n">
        <v>4</v>
      </c>
      <c r="N1215" s="51" t="s">
        <v>462</v>
      </c>
      <c r="O1215" s="35" t="s">
        <v>78</v>
      </c>
      <c r="P1215" s="52"/>
      <c r="Q1215" s="52"/>
      <c r="R1215" s="33" t="n">
        <f aca="false">INDEX(Épopées!$L$6:$L$59,MATCH(K1215,Épopées!$A$6:$A$59,0))</f>
        <v>46477</v>
      </c>
      <c r="S1215" s="33" t="n">
        <f aca="false">INDEX(Épopées!$M$6:$M$59,MATCH(K1215,Épopées!$A$6:$A$59,0))</f>
        <v>46497</v>
      </c>
      <c r="T1215" s="53" t="s">
        <v>463</v>
      </c>
    </row>
    <row r="1216" customFormat="false" ht="15" hidden="false" customHeight="false" outlineLevel="0" collapsed="false">
      <c r="A1216" s="31" t="s">
        <v>3289</v>
      </c>
      <c r="B1216" s="31" t="s">
        <v>404</v>
      </c>
      <c r="C1216" s="31" t="s">
        <v>423</v>
      </c>
      <c r="D1216" s="31" t="s">
        <v>424</v>
      </c>
      <c r="E1216" s="31" t="s">
        <v>3290</v>
      </c>
      <c r="F1216" s="31" t="s">
        <v>1623</v>
      </c>
      <c r="G1216" s="31" t="s">
        <v>461</v>
      </c>
      <c r="H1216" s="31" t="s">
        <v>43</v>
      </c>
      <c r="I1216" s="31" t="n">
        <f aca="false">VLOOKUP(H1216,Paramètres!$A$15:$B$19,2,FALSE())</f>
        <v>2</v>
      </c>
      <c r="J1216" s="31" t="n">
        <v>1</v>
      </c>
      <c r="K1216" s="50" t="str">
        <f aca="false">C1216&amp;"|"&amp;J1216</f>
        <v>ADM-WE|1</v>
      </c>
      <c r="L1216" s="31" t="s">
        <v>3287</v>
      </c>
      <c r="M1216" s="31" t="n">
        <v>1</v>
      </c>
      <c r="N1216" s="51" t="s">
        <v>462</v>
      </c>
      <c r="O1216" s="35" t="s">
        <v>78</v>
      </c>
      <c r="P1216" s="52"/>
      <c r="Q1216" s="52"/>
      <c r="R1216" s="33" t="n">
        <f aca="false">INDEX(Épopées!$L$6:$L$59,MATCH(K1216,Épopées!$A$6:$A$59,0))</f>
        <v>46477</v>
      </c>
      <c r="S1216" s="33" t="n">
        <f aca="false">INDEX(Épopées!$M$6:$M$59,MATCH(K1216,Épopées!$A$6:$A$59,0))</f>
        <v>46497</v>
      </c>
      <c r="T1216" s="53" t="s">
        <v>463</v>
      </c>
    </row>
    <row r="1217" customFormat="false" ht="15" hidden="false" customHeight="false" outlineLevel="0" collapsed="false">
      <c r="A1217" s="31" t="s">
        <v>3291</v>
      </c>
      <c r="B1217" s="31" t="s">
        <v>404</v>
      </c>
      <c r="C1217" s="31" t="s">
        <v>423</v>
      </c>
      <c r="D1217" s="31" t="s">
        <v>424</v>
      </c>
      <c r="E1217" s="31" t="s">
        <v>3292</v>
      </c>
      <c r="F1217" s="31" t="s">
        <v>491</v>
      </c>
      <c r="G1217" s="31" t="s">
        <v>466</v>
      </c>
      <c r="H1217" s="31" t="s">
        <v>41</v>
      </c>
      <c r="I1217" s="31" t="n">
        <f aca="false">VLOOKUP(H1217,Paramètres!$A$15:$B$19,2,FALSE())</f>
        <v>1</v>
      </c>
      <c r="J1217" s="31" t="n">
        <v>1</v>
      </c>
      <c r="K1217" s="50" t="str">
        <f aca="false">C1217&amp;"|"&amp;J1217</f>
        <v>ADM-WE|1</v>
      </c>
      <c r="L1217" s="31" t="s">
        <v>3289</v>
      </c>
      <c r="M1217" s="31" t="n">
        <v>1</v>
      </c>
      <c r="N1217" s="51" t="s">
        <v>462</v>
      </c>
      <c r="O1217" s="35" t="s">
        <v>78</v>
      </c>
      <c r="P1217" s="52"/>
      <c r="Q1217" s="52"/>
      <c r="R1217" s="33" t="n">
        <f aca="false">INDEX(Épopées!$L$6:$L$59,MATCH(K1217,Épopées!$A$6:$A$59,0))</f>
        <v>46477</v>
      </c>
      <c r="S1217" s="33" t="n">
        <f aca="false">INDEX(Épopées!$M$6:$M$59,MATCH(K1217,Épopées!$A$6:$A$59,0))</f>
        <v>46497</v>
      </c>
      <c r="T1217" s="53" t="s">
        <v>463</v>
      </c>
    </row>
    <row r="1218" customFormat="false" ht="15" hidden="false" customHeight="false" outlineLevel="0" collapsed="false">
      <c r="A1218" s="31" t="s">
        <v>3293</v>
      </c>
      <c r="B1218" s="31" t="s">
        <v>404</v>
      </c>
      <c r="C1218" s="31" t="s">
        <v>423</v>
      </c>
      <c r="D1218" s="31" t="s">
        <v>424</v>
      </c>
      <c r="E1218" s="31" t="s">
        <v>3294</v>
      </c>
      <c r="F1218" s="31" t="s">
        <v>1863</v>
      </c>
      <c r="G1218" s="31" t="s">
        <v>461</v>
      </c>
      <c r="H1218" s="31" t="s">
        <v>41</v>
      </c>
      <c r="I1218" s="31" t="n">
        <f aca="false">VLOOKUP(H1218,Paramètres!$A$15:$B$19,2,FALSE())</f>
        <v>1</v>
      </c>
      <c r="J1218" s="31" t="n">
        <v>1</v>
      </c>
      <c r="K1218" s="50" t="str">
        <f aca="false">C1218&amp;"|"&amp;J1218</f>
        <v>ADM-WE|1</v>
      </c>
      <c r="L1218" s="31" t="s">
        <v>3287</v>
      </c>
      <c r="M1218" s="31" t="n">
        <v>2</v>
      </c>
      <c r="N1218" s="51" t="s">
        <v>462</v>
      </c>
      <c r="O1218" s="35" t="s">
        <v>78</v>
      </c>
      <c r="P1218" s="52"/>
      <c r="Q1218" s="52"/>
      <c r="R1218" s="33" t="n">
        <f aca="false">INDEX(Épopées!$L$6:$L$59,MATCH(K1218,Épopées!$A$6:$A$59,0))</f>
        <v>46477</v>
      </c>
      <c r="S1218" s="33" t="n">
        <f aca="false">INDEX(Épopées!$M$6:$M$59,MATCH(K1218,Épopées!$A$6:$A$59,0))</f>
        <v>46497</v>
      </c>
      <c r="T1218" s="53" t="s">
        <v>463</v>
      </c>
    </row>
    <row r="1219" customFormat="false" ht="15" hidden="false" customHeight="false" outlineLevel="0" collapsed="false">
      <c r="A1219" s="31" t="s">
        <v>3295</v>
      </c>
      <c r="B1219" s="31" t="s">
        <v>404</v>
      </c>
      <c r="C1219" s="31" t="s">
        <v>423</v>
      </c>
      <c r="D1219" s="31" t="s">
        <v>424</v>
      </c>
      <c r="E1219" s="31" t="s">
        <v>3296</v>
      </c>
      <c r="F1219" s="31" t="s">
        <v>1623</v>
      </c>
      <c r="G1219" s="31" t="s">
        <v>461</v>
      </c>
      <c r="H1219" s="31" t="s">
        <v>43</v>
      </c>
      <c r="I1219" s="31" t="n">
        <f aca="false">VLOOKUP(H1219,Paramètres!$A$15:$B$19,2,FALSE())</f>
        <v>2</v>
      </c>
      <c r="J1219" s="31" t="n">
        <v>1</v>
      </c>
      <c r="K1219" s="50" t="str">
        <f aca="false">C1219&amp;"|"&amp;J1219</f>
        <v>ADM-WE|1</v>
      </c>
      <c r="L1219" s="31" t="s">
        <v>3297</v>
      </c>
      <c r="M1219" s="31" t="n">
        <v>1</v>
      </c>
      <c r="N1219" s="51" t="s">
        <v>462</v>
      </c>
      <c r="O1219" s="35" t="s">
        <v>78</v>
      </c>
      <c r="P1219" s="52"/>
      <c r="Q1219" s="52"/>
      <c r="R1219" s="33" t="n">
        <f aca="false">INDEX(Épopées!$L$6:$L$59,MATCH(K1219,Épopées!$A$6:$A$59,0))</f>
        <v>46477</v>
      </c>
      <c r="S1219" s="33" t="n">
        <f aca="false">INDEX(Épopées!$M$6:$M$59,MATCH(K1219,Épopées!$A$6:$A$59,0))</f>
        <v>46497</v>
      </c>
      <c r="T1219" s="53" t="s">
        <v>463</v>
      </c>
    </row>
    <row r="1220" customFormat="false" ht="15" hidden="false" customHeight="false" outlineLevel="0" collapsed="false">
      <c r="A1220" s="31" t="s">
        <v>3298</v>
      </c>
      <c r="B1220" s="31" t="s">
        <v>404</v>
      </c>
      <c r="C1220" s="31" t="s">
        <v>423</v>
      </c>
      <c r="D1220" s="31" t="s">
        <v>424</v>
      </c>
      <c r="E1220" s="31" t="s">
        <v>3299</v>
      </c>
      <c r="F1220" s="31" t="s">
        <v>1863</v>
      </c>
      <c r="G1220" s="31" t="s">
        <v>466</v>
      </c>
      <c r="H1220" s="31" t="s">
        <v>41</v>
      </c>
      <c r="I1220" s="31" t="n">
        <f aca="false">VLOOKUP(H1220,Paramètres!$A$15:$B$19,2,FALSE())</f>
        <v>1</v>
      </c>
      <c r="J1220" s="31" t="n">
        <v>1</v>
      </c>
      <c r="K1220" s="50" t="str">
        <f aca="false">C1220&amp;"|"&amp;J1220</f>
        <v>ADM-WE|1</v>
      </c>
      <c r="L1220" s="31" t="s">
        <v>3295</v>
      </c>
      <c r="M1220" s="31" t="n">
        <v>1</v>
      </c>
      <c r="N1220" s="51" t="s">
        <v>462</v>
      </c>
      <c r="O1220" s="35" t="s">
        <v>78</v>
      </c>
      <c r="P1220" s="52"/>
      <c r="Q1220" s="52"/>
      <c r="R1220" s="33" t="n">
        <f aca="false">INDEX(Épopées!$L$6:$L$59,MATCH(K1220,Épopées!$A$6:$A$59,0))</f>
        <v>46477</v>
      </c>
      <c r="S1220" s="33" t="n">
        <f aca="false">INDEX(Épopées!$M$6:$M$59,MATCH(K1220,Épopées!$A$6:$A$59,0))</f>
        <v>46497</v>
      </c>
      <c r="T1220" s="53" t="s">
        <v>463</v>
      </c>
    </row>
    <row r="1221" customFormat="false" ht="15" hidden="false" customHeight="false" outlineLevel="0" collapsed="false">
      <c r="A1221" s="31" t="s">
        <v>3300</v>
      </c>
      <c r="B1221" s="31" t="s">
        <v>404</v>
      </c>
      <c r="C1221" s="31" t="s">
        <v>423</v>
      </c>
      <c r="D1221" s="31" t="s">
        <v>424</v>
      </c>
      <c r="E1221" s="31" t="s">
        <v>3301</v>
      </c>
      <c r="F1221" s="31" t="s">
        <v>491</v>
      </c>
      <c r="G1221" s="31" t="s">
        <v>461</v>
      </c>
      <c r="H1221" s="31" t="s">
        <v>43</v>
      </c>
      <c r="I1221" s="31" t="n">
        <f aca="false">VLOOKUP(H1221,Paramètres!$A$15:$B$19,2,FALSE())</f>
        <v>2</v>
      </c>
      <c r="J1221" s="31" t="n">
        <v>1</v>
      </c>
      <c r="K1221" s="50" t="str">
        <f aca="false">C1221&amp;"|"&amp;J1221</f>
        <v>ADM-WE|1</v>
      </c>
      <c r="L1221" s="31" t="s">
        <v>3295</v>
      </c>
      <c r="M1221" s="31" t="n">
        <v>2</v>
      </c>
      <c r="N1221" s="51" t="s">
        <v>462</v>
      </c>
      <c r="O1221" s="35" t="s">
        <v>78</v>
      </c>
      <c r="P1221" s="52"/>
      <c r="Q1221" s="52"/>
      <c r="R1221" s="33" t="n">
        <f aca="false">INDEX(Épopées!$L$6:$L$59,MATCH(K1221,Épopées!$A$6:$A$59,0))</f>
        <v>46477</v>
      </c>
      <c r="S1221" s="33" t="n">
        <f aca="false">INDEX(Épopées!$M$6:$M$59,MATCH(K1221,Épopées!$A$6:$A$59,0))</f>
        <v>46497</v>
      </c>
      <c r="T1221" s="53" t="s">
        <v>463</v>
      </c>
    </row>
    <row r="1222" customFormat="false" ht="15" hidden="false" customHeight="false" outlineLevel="0" collapsed="false">
      <c r="A1222" s="31" t="s">
        <v>3302</v>
      </c>
      <c r="B1222" s="31" t="s">
        <v>404</v>
      </c>
      <c r="C1222" s="31" t="s">
        <v>423</v>
      </c>
      <c r="D1222" s="31" t="s">
        <v>424</v>
      </c>
      <c r="E1222" s="31" t="s">
        <v>3303</v>
      </c>
      <c r="F1222" s="31" t="s">
        <v>1623</v>
      </c>
      <c r="G1222" s="31" t="s">
        <v>461</v>
      </c>
      <c r="H1222" s="31" t="s">
        <v>43</v>
      </c>
      <c r="I1222" s="31" t="n">
        <f aca="false">VLOOKUP(H1222,Paramètres!$A$15:$B$19,2,FALSE())</f>
        <v>2</v>
      </c>
      <c r="J1222" s="31" t="n">
        <v>1</v>
      </c>
      <c r="K1222" s="50" t="str">
        <f aca="false">C1222&amp;"|"&amp;J1222</f>
        <v>ADM-WE|1</v>
      </c>
      <c r="L1222" s="31" t="s">
        <v>3287</v>
      </c>
      <c r="M1222" s="31" t="n">
        <v>1</v>
      </c>
      <c r="N1222" s="51" t="s">
        <v>462</v>
      </c>
      <c r="O1222" s="35" t="s">
        <v>78</v>
      </c>
      <c r="P1222" s="52"/>
      <c r="Q1222" s="52"/>
      <c r="R1222" s="33" t="n">
        <f aca="false">INDEX(Épopées!$L$6:$L$59,MATCH(K1222,Épopées!$A$6:$A$59,0))</f>
        <v>46477</v>
      </c>
      <c r="S1222" s="33" t="n">
        <f aca="false">INDEX(Épopées!$M$6:$M$59,MATCH(K1222,Épopées!$A$6:$A$59,0))</f>
        <v>46497</v>
      </c>
      <c r="T1222" s="53" t="s">
        <v>463</v>
      </c>
    </row>
    <row r="1223" customFormat="false" ht="15" hidden="false" customHeight="false" outlineLevel="0" collapsed="false">
      <c r="A1223" s="31" t="s">
        <v>3304</v>
      </c>
      <c r="B1223" s="31" t="s">
        <v>404</v>
      </c>
      <c r="C1223" s="31" t="s">
        <v>423</v>
      </c>
      <c r="D1223" s="31" t="s">
        <v>424</v>
      </c>
      <c r="E1223" s="31" t="s">
        <v>3305</v>
      </c>
      <c r="F1223" s="31" t="s">
        <v>491</v>
      </c>
      <c r="G1223" s="31" t="s">
        <v>466</v>
      </c>
      <c r="H1223" s="31" t="s">
        <v>41</v>
      </c>
      <c r="I1223" s="31" t="n">
        <f aca="false">VLOOKUP(H1223,Paramètres!$A$15:$B$19,2,FALSE())</f>
        <v>1</v>
      </c>
      <c r="J1223" s="31" t="n">
        <v>1</v>
      </c>
      <c r="K1223" s="50" t="str">
        <f aca="false">C1223&amp;"|"&amp;J1223</f>
        <v>ADM-WE|1</v>
      </c>
      <c r="L1223" s="31" t="s">
        <v>3306</v>
      </c>
      <c r="M1223" s="31" t="n">
        <v>2</v>
      </c>
      <c r="N1223" s="51" t="s">
        <v>462</v>
      </c>
      <c r="O1223" s="35" t="s">
        <v>78</v>
      </c>
      <c r="P1223" s="52"/>
      <c r="Q1223" s="52"/>
      <c r="R1223" s="33" t="n">
        <f aca="false">INDEX(Épopées!$L$6:$L$59,MATCH(K1223,Épopées!$A$6:$A$59,0))</f>
        <v>46477</v>
      </c>
      <c r="S1223" s="33" t="n">
        <f aca="false">INDEX(Épopées!$M$6:$M$59,MATCH(K1223,Épopées!$A$6:$A$59,0))</f>
        <v>46497</v>
      </c>
      <c r="T1223" s="53" t="s">
        <v>463</v>
      </c>
    </row>
    <row r="1224" customFormat="false" ht="15" hidden="false" customHeight="false" outlineLevel="0" collapsed="false">
      <c r="A1224" s="31" t="s">
        <v>3307</v>
      </c>
      <c r="B1224" s="31" t="s">
        <v>404</v>
      </c>
      <c r="C1224" s="31" t="s">
        <v>423</v>
      </c>
      <c r="D1224" s="31" t="s">
        <v>424</v>
      </c>
      <c r="E1224" s="31" t="s">
        <v>3308</v>
      </c>
      <c r="F1224" s="31" t="s">
        <v>1623</v>
      </c>
      <c r="G1224" s="31" t="s">
        <v>466</v>
      </c>
      <c r="H1224" s="31" t="s">
        <v>43</v>
      </c>
      <c r="I1224" s="31" t="n">
        <f aca="false">VLOOKUP(H1224,Paramètres!$A$15:$B$19,2,FALSE())</f>
        <v>2</v>
      </c>
      <c r="J1224" s="31" t="n">
        <v>1</v>
      </c>
      <c r="K1224" s="50" t="str">
        <f aca="false">C1224&amp;"|"&amp;J1224</f>
        <v>ADM-WE|1</v>
      </c>
      <c r="L1224" s="31" t="s">
        <v>3287</v>
      </c>
      <c r="M1224" s="31" t="n">
        <v>1</v>
      </c>
      <c r="N1224" s="51" t="s">
        <v>462</v>
      </c>
      <c r="O1224" s="35" t="s">
        <v>78</v>
      </c>
      <c r="P1224" s="52"/>
      <c r="Q1224" s="52"/>
      <c r="R1224" s="33" t="n">
        <f aca="false">INDEX(Épopées!$L$6:$L$59,MATCH(K1224,Épopées!$A$6:$A$59,0))</f>
        <v>46477</v>
      </c>
      <c r="S1224" s="33" t="n">
        <f aca="false">INDEX(Épopées!$M$6:$M$59,MATCH(K1224,Épopées!$A$6:$A$59,0))</f>
        <v>46497</v>
      </c>
      <c r="T1224" s="53" t="s">
        <v>463</v>
      </c>
    </row>
    <row r="1225" customFormat="false" ht="15" hidden="false" customHeight="false" outlineLevel="0" collapsed="false">
      <c r="A1225" s="31" t="s">
        <v>3309</v>
      </c>
      <c r="B1225" s="31" t="s">
        <v>404</v>
      </c>
      <c r="C1225" s="31" t="s">
        <v>423</v>
      </c>
      <c r="D1225" s="31" t="s">
        <v>424</v>
      </c>
      <c r="E1225" s="31" t="s">
        <v>3310</v>
      </c>
      <c r="F1225" s="31" t="s">
        <v>491</v>
      </c>
      <c r="G1225" s="31" t="s">
        <v>466</v>
      </c>
      <c r="H1225" s="31" t="s">
        <v>43</v>
      </c>
      <c r="I1225" s="31" t="n">
        <f aca="false">VLOOKUP(H1225,Paramètres!$A$15:$B$19,2,FALSE())</f>
        <v>2</v>
      </c>
      <c r="J1225" s="31" t="n">
        <v>1</v>
      </c>
      <c r="K1225" s="50" t="str">
        <f aca="false">C1225&amp;"|"&amp;J1225</f>
        <v>ADM-WE|1</v>
      </c>
      <c r="L1225" s="31" t="s">
        <v>3307</v>
      </c>
      <c r="M1225" s="31" t="n">
        <v>1</v>
      </c>
      <c r="N1225" s="51" t="s">
        <v>462</v>
      </c>
      <c r="O1225" s="35" t="s">
        <v>78</v>
      </c>
      <c r="P1225" s="52"/>
      <c r="Q1225" s="52"/>
      <c r="R1225" s="33" t="n">
        <f aca="false">INDEX(Épopées!$L$6:$L$59,MATCH(K1225,Épopées!$A$6:$A$59,0))</f>
        <v>46477</v>
      </c>
      <c r="S1225" s="33" t="n">
        <f aca="false">INDEX(Épopées!$M$6:$M$59,MATCH(K1225,Épopées!$A$6:$A$59,0))</f>
        <v>46497</v>
      </c>
      <c r="T1225" s="53" t="s">
        <v>463</v>
      </c>
    </row>
    <row r="1226" customFormat="false" ht="15" hidden="false" customHeight="false" outlineLevel="0" collapsed="false">
      <c r="A1226" s="31" t="s">
        <v>3311</v>
      </c>
      <c r="B1226" s="31" t="s">
        <v>404</v>
      </c>
      <c r="C1226" s="31" t="s">
        <v>423</v>
      </c>
      <c r="D1226" s="31" t="s">
        <v>424</v>
      </c>
      <c r="E1226" s="31" t="s">
        <v>3312</v>
      </c>
      <c r="F1226" s="31" t="s">
        <v>491</v>
      </c>
      <c r="G1226" s="31" t="s">
        <v>466</v>
      </c>
      <c r="H1226" s="31" t="s">
        <v>41</v>
      </c>
      <c r="I1226" s="31" t="n">
        <f aca="false">VLOOKUP(H1226,Paramètres!$A$15:$B$19,2,FALSE())</f>
        <v>1</v>
      </c>
      <c r="J1226" s="31" t="n">
        <v>1</v>
      </c>
      <c r="K1226" s="50" t="str">
        <f aca="false">C1226&amp;"|"&amp;J1226</f>
        <v>ADM-WE|1</v>
      </c>
      <c r="L1226" s="31" t="s">
        <v>3313</v>
      </c>
      <c r="M1226" s="31" t="n">
        <v>2</v>
      </c>
      <c r="N1226" s="51" t="s">
        <v>462</v>
      </c>
      <c r="O1226" s="35" t="s">
        <v>78</v>
      </c>
      <c r="P1226" s="52"/>
      <c r="Q1226" s="52"/>
      <c r="R1226" s="33" t="n">
        <f aca="false">INDEX(Épopées!$L$6:$L$59,MATCH(K1226,Épopées!$A$6:$A$59,0))</f>
        <v>46477</v>
      </c>
      <c r="S1226" s="33" t="n">
        <f aca="false">INDEX(Épopées!$M$6:$M$59,MATCH(K1226,Épopées!$A$6:$A$59,0))</f>
        <v>46497</v>
      </c>
      <c r="T1226" s="53" t="s">
        <v>463</v>
      </c>
    </row>
    <row r="1227" customFormat="false" ht="15" hidden="false" customHeight="false" outlineLevel="0" collapsed="false">
      <c r="A1227" s="31" t="s">
        <v>3314</v>
      </c>
      <c r="B1227" s="31" t="s">
        <v>404</v>
      </c>
      <c r="C1227" s="31" t="s">
        <v>423</v>
      </c>
      <c r="D1227" s="31" t="s">
        <v>424</v>
      </c>
      <c r="E1227" s="31" t="s">
        <v>3315</v>
      </c>
      <c r="F1227" s="31" t="s">
        <v>469</v>
      </c>
      <c r="G1227" s="31" t="s">
        <v>461</v>
      </c>
      <c r="H1227" s="31" t="s">
        <v>39</v>
      </c>
      <c r="I1227" s="31" t="n">
        <f aca="false">VLOOKUP(H1227,Paramètres!$A$15:$B$19,2,FALSE())</f>
        <v>0.5</v>
      </c>
      <c r="J1227" s="31" t="n">
        <v>1</v>
      </c>
      <c r="K1227" s="50" t="str">
        <f aca="false">C1227&amp;"|"&amp;J1227</f>
        <v>ADM-WE|1</v>
      </c>
      <c r="L1227" s="31" t="s">
        <v>3316</v>
      </c>
      <c r="M1227" s="31" t="n">
        <v>4</v>
      </c>
      <c r="N1227" s="51" t="s">
        <v>462</v>
      </c>
      <c r="O1227" s="35" t="s">
        <v>78</v>
      </c>
      <c r="P1227" s="52"/>
      <c r="Q1227" s="52"/>
      <c r="R1227" s="33" t="n">
        <f aca="false">INDEX(Épopées!$L$6:$L$59,MATCH(K1227,Épopées!$A$6:$A$59,0))</f>
        <v>46477</v>
      </c>
      <c r="S1227" s="33" t="n">
        <f aca="false">INDEX(Épopées!$M$6:$M$59,MATCH(K1227,Épopées!$A$6:$A$59,0))</f>
        <v>46497</v>
      </c>
      <c r="T1227" s="53" t="s">
        <v>463</v>
      </c>
    </row>
    <row r="1228" customFormat="false" ht="15" hidden="false" customHeight="false" outlineLevel="0" collapsed="false">
      <c r="A1228" s="31" t="s">
        <v>3317</v>
      </c>
      <c r="B1228" s="31" t="s">
        <v>404</v>
      </c>
      <c r="C1228" s="31" t="s">
        <v>423</v>
      </c>
      <c r="D1228" s="31" t="s">
        <v>424</v>
      </c>
      <c r="E1228" s="31" t="s">
        <v>3318</v>
      </c>
      <c r="F1228" s="31" t="s">
        <v>472</v>
      </c>
      <c r="G1228" s="31" t="s">
        <v>466</v>
      </c>
      <c r="H1228" s="31" t="s">
        <v>41</v>
      </c>
      <c r="I1228" s="31" t="n">
        <f aca="false">VLOOKUP(H1228,Paramètres!$A$15:$B$19,2,FALSE())</f>
        <v>1</v>
      </c>
      <c r="J1228" s="31" t="n">
        <v>1</v>
      </c>
      <c r="K1228" s="50" t="str">
        <f aca="false">C1228&amp;"|"&amp;J1228</f>
        <v>ADM-WE|1</v>
      </c>
      <c r="L1228" s="31" t="s">
        <v>3319</v>
      </c>
      <c r="M1228" s="31" t="n">
        <v>4</v>
      </c>
      <c r="N1228" s="51" t="s">
        <v>462</v>
      </c>
      <c r="O1228" s="35" t="s">
        <v>78</v>
      </c>
      <c r="P1228" s="52"/>
      <c r="Q1228" s="52"/>
      <c r="R1228" s="33" t="n">
        <f aca="false">INDEX(Épopées!$L$6:$L$59,MATCH(K1228,Épopées!$A$6:$A$59,0))</f>
        <v>46477</v>
      </c>
      <c r="S1228" s="33" t="n">
        <f aca="false">INDEX(Épopées!$M$6:$M$59,MATCH(K1228,Épopées!$A$6:$A$59,0))</f>
        <v>46497</v>
      </c>
      <c r="T1228" s="53" t="s">
        <v>463</v>
      </c>
    </row>
    <row r="1229" customFormat="false" ht="15" hidden="false" customHeight="false" outlineLevel="0" collapsed="false">
      <c r="A1229" s="31" t="s">
        <v>3320</v>
      </c>
      <c r="B1229" s="31" t="s">
        <v>404</v>
      </c>
      <c r="C1229" s="31" t="s">
        <v>426</v>
      </c>
      <c r="D1229" s="31" t="s">
        <v>427</v>
      </c>
      <c r="E1229" s="31" t="s">
        <v>3321</v>
      </c>
      <c r="F1229" s="31" t="s">
        <v>486</v>
      </c>
      <c r="G1229" s="31" t="s">
        <v>461</v>
      </c>
      <c r="H1229" s="31" t="s">
        <v>41</v>
      </c>
      <c r="I1229" s="31" t="n">
        <f aca="false">VLOOKUP(H1229,Paramètres!$A$15:$B$19,2,FALSE())</f>
        <v>1</v>
      </c>
      <c r="J1229" s="31" t="n">
        <v>1</v>
      </c>
      <c r="K1229" s="50" t="str">
        <f aca="false">C1229&amp;"|"&amp;J1229</f>
        <v>ADM-WF|1</v>
      </c>
      <c r="L1229" s="31"/>
      <c r="M1229" s="31" t="n">
        <v>2</v>
      </c>
      <c r="N1229" s="51" t="s">
        <v>462</v>
      </c>
      <c r="O1229" s="35" t="s">
        <v>78</v>
      </c>
      <c r="P1229" s="52"/>
      <c r="Q1229" s="52"/>
      <c r="R1229" s="33" t="n">
        <f aca="false">INDEX(Épopées!$L$6:$L$59,MATCH(K1229,Épopées!$A$6:$A$59,0))</f>
        <v>46498</v>
      </c>
      <c r="S1229" s="33" t="n">
        <f aca="false">INDEX(Épopées!$M$6:$M$59,MATCH(K1229,Épopées!$A$6:$A$59,0))</f>
        <v>46521</v>
      </c>
      <c r="T1229" s="53" t="s">
        <v>463</v>
      </c>
    </row>
    <row r="1230" customFormat="false" ht="15" hidden="false" customHeight="false" outlineLevel="0" collapsed="false">
      <c r="A1230" s="31" t="s">
        <v>3322</v>
      </c>
      <c r="B1230" s="31" t="s">
        <v>404</v>
      </c>
      <c r="C1230" s="31" t="s">
        <v>426</v>
      </c>
      <c r="D1230" s="31" t="s">
        <v>427</v>
      </c>
      <c r="E1230" s="31" t="s">
        <v>3323</v>
      </c>
      <c r="F1230" s="31" t="s">
        <v>460</v>
      </c>
      <c r="G1230" s="31" t="s">
        <v>461</v>
      </c>
      <c r="H1230" s="31" t="s">
        <v>41</v>
      </c>
      <c r="I1230" s="31" t="n">
        <f aca="false">VLOOKUP(H1230,Paramètres!$A$15:$B$19,2,FALSE())</f>
        <v>1</v>
      </c>
      <c r="J1230" s="31" t="n">
        <v>1</v>
      </c>
      <c r="K1230" s="50" t="str">
        <f aca="false">C1230&amp;"|"&amp;J1230</f>
        <v>ADM-WF|1</v>
      </c>
      <c r="L1230" s="31" t="s">
        <v>3320</v>
      </c>
      <c r="M1230" s="31" t="n">
        <v>5</v>
      </c>
      <c r="N1230" s="51" t="s">
        <v>462</v>
      </c>
      <c r="O1230" s="35" t="s">
        <v>78</v>
      </c>
      <c r="P1230" s="52"/>
      <c r="Q1230" s="52"/>
      <c r="R1230" s="33" t="n">
        <f aca="false">INDEX(Épopées!$L$6:$L$59,MATCH(K1230,Épopées!$A$6:$A$59,0))</f>
        <v>46498</v>
      </c>
      <c r="S1230" s="33" t="n">
        <f aca="false">INDEX(Épopées!$M$6:$M$59,MATCH(K1230,Épopées!$A$6:$A$59,0))</f>
        <v>46521</v>
      </c>
      <c r="T1230" s="53" t="s">
        <v>463</v>
      </c>
    </row>
    <row r="1231" customFormat="false" ht="15" hidden="false" customHeight="false" outlineLevel="0" collapsed="false">
      <c r="A1231" s="31" t="s">
        <v>3324</v>
      </c>
      <c r="B1231" s="31" t="s">
        <v>404</v>
      </c>
      <c r="C1231" s="31" t="s">
        <v>426</v>
      </c>
      <c r="D1231" s="31" t="s">
        <v>427</v>
      </c>
      <c r="E1231" s="31" t="s">
        <v>3325</v>
      </c>
      <c r="F1231" s="31" t="s">
        <v>491</v>
      </c>
      <c r="G1231" s="31" t="s">
        <v>461</v>
      </c>
      <c r="H1231" s="31" t="s">
        <v>41</v>
      </c>
      <c r="I1231" s="31" t="n">
        <f aca="false">VLOOKUP(H1231,Paramètres!$A$15:$B$19,2,FALSE())</f>
        <v>1</v>
      </c>
      <c r="J1231" s="31" t="n">
        <v>1</v>
      </c>
      <c r="K1231" s="50" t="str">
        <f aca="false">C1231&amp;"|"&amp;J1231</f>
        <v>ADM-WF|1</v>
      </c>
      <c r="L1231" s="31" t="s">
        <v>3322</v>
      </c>
      <c r="M1231" s="31" t="n">
        <v>3</v>
      </c>
      <c r="N1231" s="51" t="s">
        <v>462</v>
      </c>
      <c r="O1231" s="35" t="s">
        <v>78</v>
      </c>
      <c r="P1231" s="52"/>
      <c r="Q1231" s="52"/>
      <c r="R1231" s="33" t="n">
        <f aca="false">INDEX(Épopées!$L$6:$L$59,MATCH(K1231,Épopées!$A$6:$A$59,0))</f>
        <v>46498</v>
      </c>
      <c r="S1231" s="33" t="n">
        <f aca="false">INDEX(Épopées!$M$6:$M$59,MATCH(K1231,Épopées!$A$6:$A$59,0))</f>
        <v>46521</v>
      </c>
      <c r="T1231" s="53" t="s">
        <v>463</v>
      </c>
    </row>
    <row r="1232" customFormat="false" ht="15" hidden="false" customHeight="false" outlineLevel="0" collapsed="false">
      <c r="A1232" s="31" t="s">
        <v>3326</v>
      </c>
      <c r="B1232" s="31" t="s">
        <v>404</v>
      </c>
      <c r="C1232" s="31" t="s">
        <v>426</v>
      </c>
      <c r="D1232" s="31" t="s">
        <v>427</v>
      </c>
      <c r="E1232" s="31" t="s">
        <v>3327</v>
      </c>
      <c r="F1232" s="31" t="s">
        <v>1623</v>
      </c>
      <c r="G1232" s="31" t="s">
        <v>461</v>
      </c>
      <c r="H1232" s="31" t="s">
        <v>43</v>
      </c>
      <c r="I1232" s="31" t="n">
        <f aca="false">VLOOKUP(H1232,Paramètres!$A$15:$B$19,2,FALSE())</f>
        <v>2</v>
      </c>
      <c r="J1232" s="31" t="n">
        <v>1</v>
      </c>
      <c r="K1232" s="50" t="str">
        <f aca="false">C1232&amp;"|"&amp;J1232</f>
        <v>ADM-WF|1</v>
      </c>
      <c r="L1232" s="31" t="s">
        <v>3324</v>
      </c>
      <c r="M1232" s="31" t="n">
        <v>1</v>
      </c>
      <c r="N1232" s="51" t="s">
        <v>462</v>
      </c>
      <c r="O1232" s="35" t="s">
        <v>78</v>
      </c>
      <c r="P1232" s="52"/>
      <c r="Q1232" s="52"/>
      <c r="R1232" s="33" t="n">
        <f aca="false">INDEX(Épopées!$L$6:$L$59,MATCH(K1232,Épopées!$A$6:$A$59,0))</f>
        <v>46498</v>
      </c>
      <c r="S1232" s="33" t="n">
        <f aca="false">INDEX(Épopées!$M$6:$M$59,MATCH(K1232,Épopées!$A$6:$A$59,0))</f>
        <v>46521</v>
      </c>
      <c r="T1232" s="53" t="s">
        <v>463</v>
      </c>
    </row>
    <row r="1233" customFormat="false" ht="15" hidden="false" customHeight="false" outlineLevel="0" collapsed="false">
      <c r="A1233" s="31" t="s">
        <v>3328</v>
      </c>
      <c r="B1233" s="31" t="s">
        <v>404</v>
      </c>
      <c r="C1233" s="31" t="s">
        <v>426</v>
      </c>
      <c r="D1233" s="31" t="s">
        <v>427</v>
      </c>
      <c r="E1233" s="31" t="s">
        <v>3329</v>
      </c>
      <c r="F1233" s="31" t="s">
        <v>491</v>
      </c>
      <c r="G1233" s="31" t="s">
        <v>461</v>
      </c>
      <c r="H1233" s="31" t="s">
        <v>41</v>
      </c>
      <c r="I1233" s="31" t="n">
        <f aca="false">VLOOKUP(H1233,Paramètres!$A$15:$B$19,2,FALSE())</f>
        <v>1</v>
      </c>
      <c r="J1233" s="31" t="n">
        <v>1</v>
      </c>
      <c r="K1233" s="50" t="str">
        <f aca="false">C1233&amp;"|"&amp;J1233</f>
        <v>ADM-WF|1</v>
      </c>
      <c r="L1233" s="31" t="s">
        <v>3326</v>
      </c>
      <c r="M1233" s="31" t="n">
        <v>1</v>
      </c>
      <c r="N1233" s="51" t="s">
        <v>462</v>
      </c>
      <c r="O1233" s="35" t="s">
        <v>78</v>
      </c>
      <c r="P1233" s="52"/>
      <c r="Q1233" s="52"/>
      <c r="R1233" s="33" t="n">
        <f aca="false">INDEX(Épopées!$L$6:$L$59,MATCH(K1233,Épopées!$A$6:$A$59,0))</f>
        <v>46498</v>
      </c>
      <c r="S1233" s="33" t="n">
        <f aca="false">INDEX(Épopées!$M$6:$M$59,MATCH(K1233,Épopées!$A$6:$A$59,0))</f>
        <v>46521</v>
      </c>
      <c r="T1233" s="53" t="s">
        <v>463</v>
      </c>
    </row>
    <row r="1234" customFormat="false" ht="15" hidden="false" customHeight="false" outlineLevel="0" collapsed="false">
      <c r="A1234" s="31" t="s">
        <v>3330</v>
      </c>
      <c r="B1234" s="31" t="s">
        <v>404</v>
      </c>
      <c r="C1234" s="31" t="s">
        <v>426</v>
      </c>
      <c r="D1234" s="31" t="s">
        <v>427</v>
      </c>
      <c r="E1234" s="31" t="s">
        <v>3331</v>
      </c>
      <c r="F1234" s="31" t="s">
        <v>491</v>
      </c>
      <c r="G1234" s="31" t="s">
        <v>466</v>
      </c>
      <c r="H1234" s="31" t="s">
        <v>39</v>
      </c>
      <c r="I1234" s="31" t="n">
        <f aca="false">VLOOKUP(H1234,Paramètres!$A$15:$B$19,2,FALSE())</f>
        <v>0.5</v>
      </c>
      <c r="J1234" s="31" t="n">
        <v>1</v>
      </c>
      <c r="K1234" s="50" t="str">
        <f aca="false">C1234&amp;"|"&amp;J1234</f>
        <v>ADM-WF|1</v>
      </c>
      <c r="L1234" s="31" t="s">
        <v>3324</v>
      </c>
      <c r="M1234" s="31" t="n">
        <v>2</v>
      </c>
      <c r="N1234" s="51" t="s">
        <v>462</v>
      </c>
      <c r="O1234" s="35" t="s">
        <v>78</v>
      </c>
      <c r="P1234" s="52"/>
      <c r="Q1234" s="52"/>
      <c r="R1234" s="33" t="n">
        <f aca="false">INDEX(Épopées!$L$6:$L$59,MATCH(K1234,Épopées!$A$6:$A$59,0))</f>
        <v>46498</v>
      </c>
      <c r="S1234" s="33" t="n">
        <f aca="false">INDEX(Épopées!$M$6:$M$59,MATCH(K1234,Épopées!$A$6:$A$59,0))</f>
        <v>46521</v>
      </c>
      <c r="T1234" s="53" t="s">
        <v>463</v>
      </c>
    </row>
    <row r="1235" customFormat="false" ht="15" hidden="false" customHeight="false" outlineLevel="0" collapsed="false">
      <c r="A1235" s="31" t="s">
        <v>3332</v>
      </c>
      <c r="B1235" s="31" t="s">
        <v>404</v>
      </c>
      <c r="C1235" s="31" t="s">
        <v>426</v>
      </c>
      <c r="D1235" s="31" t="s">
        <v>427</v>
      </c>
      <c r="E1235" s="31" t="s">
        <v>3333</v>
      </c>
      <c r="F1235" s="31" t="s">
        <v>1623</v>
      </c>
      <c r="G1235" s="31" t="s">
        <v>461</v>
      </c>
      <c r="H1235" s="31" t="s">
        <v>43</v>
      </c>
      <c r="I1235" s="31" t="n">
        <f aca="false">VLOOKUP(H1235,Paramètres!$A$15:$B$19,2,FALSE())</f>
        <v>2</v>
      </c>
      <c r="J1235" s="31" t="n">
        <v>1</v>
      </c>
      <c r="K1235" s="50" t="str">
        <f aca="false">C1235&amp;"|"&amp;J1235</f>
        <v>ADM-WF|1</v>
      </c>
      <c r="L1235" s="31" t="s">
        <v>3324</v>
      </c>
      <c r="M1235" s="31" t="n">
        <v>1</v>
      </c>
      <c r="N1235" s="51" t="s">
        <v>462</v>
      </c>
      <c r="O1235" s="35" t="s">
        <v>78</v>
      </c>
      <c r="P1235" s="52"/>
      <c r="Q1235" s="52"/>
      <c r="R1235" s="33" t="n">
        <f aca="false">INDEX(Épopées!$L$6:$L$59,MATCH(K1235,Épopées!$A$6:$A$59,0))</f>
        <v>46498</v>
      </c>
      <c r="S1235" s="33" t="n">
        <f aca="false">INDEX(Épopées!$M$6:$M$59,MATCH(K1235,Épopées!$A$6:$A$59,0))</f>
        <v>46521</v>
      </c>
      <c r="T1235" s="53" t="s">
        <v>463</v>
      </c>
    </row>
    <row r="1236" customFormat="false" ht="15" hidden="false" customHeight="false" outlineLevel="0" collapsed="false">
      <c r="A1236" s="31" t="s">
        <v>3334</v>
      </c>
      <c r="B1236" s="31" t="s">
        <v>404</v>
      </c>
      <c r="C1236" s="31" t="s">
        <v>426</v>
      </c>
      <c r="D1236" s="31" t="s">
        <v>427</v>
      </c>
      <c r="E1236" s="31" t="s">
        <v>3335</v>
      </c>
      <c r="F1236" s="31" t="s">
        <v>491</v>
      </c>
      <c r="G1236" s="31" t="s">
        <v>461</v>
      </c>
      <c r="H1236" s="31" t="s">
        <v>41</v>
      </c>
      <c r="I1236" s="31" t="n">
        <f aca="false">VLOOKUP(H1236,Paramètres!$A$15:$B$19,2,FALSE())</f>
        <v>1</v>
      </c>
      <c r="J1236" s="31" t="n">
        <v>1</v>
      </c>
      <c r="K1236" s="50" t="str">
        <f aca="false">C1236&amp;"|"&amp;J1236</f>
        <v>ADM-WF|1</v>
      </c>
      <c r="L1236" s="31" t="s">
        <v>3332</v>
      </c>
      <c r="M1236" s="31" t="n">
        <v>1</v>
      </c>
      <c r="N1236" s="51" t="s">
        <v>462</v>
      </c>
      <c r="O1236" s="35" t="s">
        <v>78</v>
      </c>
      <c r="P1236" s="52"/>
      <c r="Q1236" s="52"/>
      <c r="R1236" s="33" t="n">
        <f aca="false">INDEX(Épopées!$L$6:$L$59,MATCH(K1236,Épopées!$A$6:$A$59,0))</f>
        <v>46498</v>
      </c>
      <c r="S1236" s="33" t="n">
        <f aca="false">INDEX(Épopées!$M$6:$M$59,MATCH(K1236,Épopées!$A$6:$A$59,0))</f>
        <v>46521</v>
      </c>
      <c r="T1236" s="53" t="s">
        <v>463</v>
      </c>
    </row>
    <row r="1237" customFormat="false" ht="15" hidden="false" customHeight="false" outlineLevel="0" collapsed="false">
      <c r="A1237" s="31" t="s">
        <v>3336</v>
      </c>
      <c r="B1237" s="31" t="s">
        <v>404</v>
      </c>
      <c r="C1237" s="31" t="s">
        <v>426</v>
      </c>
      <c r="D1237" s="31" t="s">
        <v>427</v>
      </c>
      <c r="E1237" s="31" t="s">
        <v>3337</v>
      </c>
      <c r="F1237" s="31" t="s">
        <v>1623</v>
      </c>
      <c r="G1237" s="31" t="s">
        <v>466</v>
      </c>
      <c r="H1237" s="31" t="s">
        <v>41</v>
      </c>
      <c r="I1237" s="31" t="n">
        <f aca="false">VLOOKUP(H1237,Paramètres!$A$15:$B$19,2,FALSE())</f>
        <v>1</v>
      </c>
      <c r="J1237" s="31" t="n">
        <v>1</v>
      </c>
      <c r="K1237" s="50" t="str">
        <f aca="false">C1237&amp;"|"&amp;J1237</f>
        <v>ADM-WF|1</v>
      </c>
      <c r="L1237" s="31" t="s">
        <v>3332</v>
      </c>
      <c r="M1237" s="31" t="n">
        <v>1</v>
      </c>
      <c r="N1237" s="51" t="s">
        <v>462</v>
      </c>
      <c r="O1237" s="35" t="s">
        <v>78</v>
      </c>
      <c r="P1237" s="52"/>
      <c r="Q1237" s="52"/>
      <c r="R1237" s="33" t="n">
        <f aca="false">INDEX(Épopées!$L$6:$L$59,MATCH(K1237,Épopées!$A$6:$A$59,0))</f>
        <v>46498</v>
      </c>
      <c r="S1237" s="33" t="n">
        <f aca="false">INDEX(Épopées!$M$6:$M$59,MATCH(K1237,Épopées!$A$6:$A$59,0))</f>
        <v>46521</v>
      </c>
      <c r="T1237" s="53" t="s">
        <v>463</v>
      </c>
    </row>
    <row r="1238" customFormat="false" ht="15" hidden="false" customHeight="false" outlineLevel="0" collapsed="false">
      <c r="A1238" s="31" t="s">
        <v>3338</v>
      </c>
      <c r="B1238" s="31" t="s">
        <v>404</v>
      </c>
      <c r="C1238" s="31" t="s">
        <v>426</v>
      </c>
      <c r="D1238" s="31" t="s">
        <v>427</v>
      </c>
      <c r="E1238" s="31" t="s">
        <v>3339</v>
      </c>
      <c r="F1238" s="31" t="s">
        <v>491</v>
      </c>
      <c r="G1238" s="31" t="s">
        <v>461</v>
      </c>
      <c r="H1238" s="31" t="s">
        <v>41</v>
      </c>
      <c r="I1238" s="31" t="n">
        <f aca="false">VLOOKUP(H1238,Paramètres!$A$15:$B$19,2,FALSE())</f>
        <v>1</v>
      </c>
      <c r="J1238" s="31" t="n">
        <v>1</v>
      </c>
      <c r="K1238" s="50" t="str">
        <f aca="false">C1238&amp;"|"&amp;J1238</f>
        <v>ADM-WF|1</v>
      </c>
      <c r="L1238" s="31" t="s">
        <v>3340</v>
      </c>
      <c r="M1238" s="31" t="n">
        <v>2</v>
      </c>
      <c r="N1238" s="51" t="s">
        <v>462</v>
      </c>
      <c r="O1238" s="35" t="s">
        <v>78</v>
      </c>
      <c r="P1238" s="52"/>
      <c r="Q1238" s="52"/>
      <c r="R1238" s="33" t="n">
        <f aca="false">INDEX(Épopées!$L$6:$L$59,MATCH(K1238,Épopées!$A$6:$A$59,0))</f>
        <v>46498</v>
      </c>
      <c r="S1238" s="33" t="n">
        <f aca="false">INDEX(Épopées!$M$6:$M$59,MATCH(K1238,Épopées!$A$6:$A$59,0))</f>
        <v>46521</v>
      </c>
      <c r="T1238" s="53" t="s">
        <v>463</v>
      </c>
    </row>
    <row r="1239" customFormat="false" ht="15" hidden="false" customHeight="false" outlineLevel="0" collapsed="false">
      <c r="A1239" s="31" t="s">
        <v>3341</v>
      </c>
      <c r="B1239" s="31" t="s">
        <v>404</v>
      </c>
      <c r="C1239" s="31" t="s">
        <v>426</v>
      </c>
      <c r="D1239" s="31" t="s">
        <v>427</v>
      </c>
      <c r="E1239" s="31" t="s">
        <v>3342</v>
      </c>
      <c r="F1239" s="31" t="s">
        <v>1623</v>
      </c>
      <c r="G1239" s="31" t="s">
        <v>466</v>
      </c>
      <c r="H1239" s="31" t="s">
        <v>41</v>
      </c>
      <c r="I1239" s="31" t="n">
        <f aca="false">VLOOKUP(H1239,Paramètres!$A$15:$B$19,2,FALSE())</f>
        <v>1</v>
      </c>
      <c r="J1239" s="31" t="n">
        <v>1</v>
      </c>
      <c r="K1239" s="50" t="str">
        <f aca="false">C1239&amp;"|"&amp;J1239</f>
        <v>ADM-WF|1</v>
      </c>
      <c r="L1239" s="31" t="s">
        <v>3343</v>
      </c>
      <c r="M1239" s="31" t="n">
        <v>2</v>
      </c>
      <c r="N1239" s="51" t="s">
        <v>462</v>
      </c>
      <c r="O1239" s="35" t="s">
        <v>78</v>
      </c>
      <c r="P1239" s="52"/>
      <c r="Q1239" s="52"/>
      <c r="R1239" s="33" t="n">
        <f aca="false">INDEX(Épopées!$L$6:$L$59,MATCH(K1239,Épopées!$A$6:$A$59,0))</f>
        <v>46498</v>
      </c>
      <c r="S1239" s="33" t="n">
        <f aca="false">INDEX(Épopées!$M$6:$M$59,MATCH(K1239,Épopées!$A$6:$A$59,0))</f>
        <v>46521</v>
      </c>
      <c r="T1239" s="53" t="s">
        <v>463</v>
      </c>
    </row>
    <row r="1240" customFormat="false" ht="15" hidden="false" customHeight="false" outlineLevel="0" collapsed="false">
      <c r="A1240" s="31" t="s">
        <v>3344</v>
      </c>
      <c r="B1240" s="31" t="s">
        <v>404</v>
      </c>
      <c r="C1240" s="31" t="s">
        <v>426</v>
      </c>
      <c r="D1240" s="31" t="s">
        <v>427</v>
      </c>
      <c r="E1240" s="31" t="s">
        <v>3345</v>
      </c>
      <c r="F1240" s="31" t="s">
        <v>1623</v>
      </c>
      <c r="G1240" s="31" t="s">
        <v>461</v>
      </c>
      <c r="H1240" s="31" t="s">
        <v>43</v>
      </c>
      <c r="I1240" s="31" t="n">
        <f aca="false">VLOOKUP(H1240,Paramètres!$A$15:$B$19,2,FALSE())</f>
        <v>2</v>
      </c>
      <c r="J1240" s="31" t="n">
        <v>1</v>
      </c>
      <c r="K1240" s="50" t="str">
        <f aca="false">C1240&amp;"|"&amp;J1240</f>
        <v>ADM-WF|1</v>
      </c>
      <c r="L1240" s="31" t="s">
        <v>3346</v>
      </c>
      <c r="M1240" s="31" t="n">
        <v>1</v>
      </c>
      <c r="N1240" s="51" t="s">
        <v>462</v>
      </c>
      <c r="O1240" s="35" t="s">
        <v>78</v>
      </c>
      <c r="P1240" s="52"/>
      <c r="Q1240" s="52"/>
      <c r="R1240" s="33" t="n">
        <f aca="false">INDEX(Épopées!$L$6:$L$59,MATCH(K1240,Épopées!$A$6:$A$59,0))</f>
        <v>46498</v>
      </c>
      <c r="S1240" s="33" t="n">
        <f aca="false">INDEX(Épopées!$M$6:$M$59,MATCH(K1240,Épopées!$A$6:$A$59,0))</f>
        <v>46521</v>
      </c>
      <c r="T1240" s="53" t="s">
        <v>463</v>
      </c>
    </row>
    <row r="1241" customFormat="false" ht="15" hidden="false" customHeight="false" outlineLevel="0" collapsed="false">
      <c r="A1241" s="31" t="s">
        <v>3347</v>
      </c>
      <c r="B1241" s="31" t="s">
        <v>404</v>
      </c>
      <c r="C1241" s="31" t="s">
        <v>426</v>
      </c>
      <c r="D1241" s="31" t="s">
        <v>427</v>
      </c>
      <c r="E1241" s="31" t="s">
        <v>3348</v>
      </c>
      <c r="F1241" s="31" t="s">
        <v>491</v>
      </c>
      <c r="G1241" s="31" t="s">
        <v>461</v>
      </c>
      <c r="H1241" s="31" t="s">
        <v>41</v>
      </c>
      <c r="I1241" s="31" t="n">
        <f aca="false">VLOOKUP(H1241,Paramètres!$A$15:$B$19,2,FALSE())</f>
        <v>1</v>
      </c>
      <c r="J1241" s="31" t="n">
        <v>1</v>
      </c>
      <c r="K1241" s="50" t="str">
        <f aca="false">C1241&amp;"|"&amp;J1241</f>
        <v>ADM-WF|1</v>
      </c>
      <c r="L1241" s="31" t="s">
        <v>3344</v>
      </c>
      <c r="M1241" s="31" t="n">
        <v>2</v>
      </c>
      <c r="N1241" s="51" t="s">
        <v>462</v>
      </c>
      <c r="O1241" s="35" t="s">
        <v>78</v>
      </c>
      <c r="P1241" s="52"/>
      <c r="Q1241" s="52"/>
      <c r="R1241" s="33" t="n">
        <f aca="false">INDEX(Épopées!$L$6:$L$59,MATCH(K1241,Épopées!$A$6:$A$59,0))</f>
        <v>46498</v>
      </c>
      <c r="S1241" s="33" t="n">
        <f aca="false">INDEX(Épopées!$M$6:$M$59,MATCH(K1241,Épopées!$A$6:$A$59,0))</f>
        <v>46521</v>
      </c>
      <c r="T1241" s="53" t="s">
        <v>463</v>
      </c>
    </row>
    <row r="1242" customFormat="false" ht="15" hidden="false" customHeight="false" outlineLevel="0" collapsed="false">
      <c r="A1242" s="31" t="s">
        <v>3349</v>
      </c>
      <c r="B1242" s="31" t="s">
        <v>404</v>
      </c>
      <c r="C1242" s="31" t="s">
        <v>426</v>
      </c>
      <c r="D1242" s="31" t="s">
        <v>427</v>
      </c>
      <c r="E1242" s="31" t="s">
        <v>3350</v>
      </c>
      <c r="F1242" s="31" t="s">
        <v>491</v>
      </c>
      <c r="G1242" s="31" t="s">
        <v>461</v>
      </c>
      <c r="H1242" s="31" t="s">
        <v>41</v>
      </c>
      <c r="I1242" s="31" t="n">
        <f aca="false">VLOOKUP(H1242,Paramètres!$A$15:$B$19,2,FALSE())</f>
        <v>1</v>
      </c>
      <c r="J1242" s="31" t="n">
        <v>1</v>
      </c>
      <c r="K1242" s="50" t="str">
        <f aca="false">C1242&amp;"|"&amp;J1242</f>
        <v>ADM-WF|1</v>
      </c>
      <c r="L1242" s="31" t="s">
        <v>3351</v>
      </c>
      <c r="M1242" s="31" t="n">
        <v>1</v>
      </c>
      <c r="N1242" s="51" t="s">
        <v>462</v>
      </c>
      <c r="O1242" s="35" t="s">
        <v>78</v>
      </c>
      <c r="P1242" s="52"/>
      <c r="Q1242" s="52"/>
      <c r="R1242" s="33" t="n">
        <f aca="false">INDEX(Épopées!$L$6:$L$59,MATCH(K1242,Épopées!$A$6:$A$59,0))</f>
        <v>46498</v>
      </c>
      <c r="S1242" s="33" t="n">
        <f aca="false">INDEX(Épopées!$M$6:$M$59,MATCH(K1242,Épopées!$A$6:$A$59,0))</f>
        <v>46521</v>
      </c>
      <c r="T1242" s="53" t="s">
        <v>463</v>
      </c>
    </row>
    <row r="1243" customFormat="false" ht="15" hidden="false" customHeight="false" outlineLevel="0" collapsed="false">
      <c r="A1243" s="31" t="s">
        <v>3352</v>
      </c>
      <c r="B1243" s="31" t="s">
        <v>404</v>
      </c>
      <c r="C1243" s="31" t="s">
        <v>426</v>
      </c>
      <c r="D1243" s="31" t="s">
        <v>427</v>
      </c>
      <c r="E1243" s="31" t="s">
        <v>3353</v>
      </c>
      <c r="F1243" s="31" t="s">
        <v>491</v>
      </c>
      <c r="G1243" s="31" t="s">
        <v>466</v>
      </c>
      <c r="H1243" s="31" t="s">
        <v>41</v>
      </c>
      <c r="I1243" s="31" t="n">
        <f aca="false">VLOOKUP(H1243,Paramètres!$A$15:$B$19,2,FALSE())</f>
        <v>1</v>
      </c>
      <c r="J1243" s="31" t="n">
        <v>1</v>
      </c>
      <c r="K1243" s="50" t="str">
        <f aca="false">C1243&amp;"|"&amp;J1243</f>
        <v>ADM-WF|1</v>
      </c>
      <c r="L1243" s="31" t="s">
        <v>3347</v>
      </c>
      <c r="M1243" s="31" t="n">
        <v>1</v>
      </c>
      <c r="N1243" s="51" t="s">
        <v>462</v>
      </c>
      <c r="O1243" s="35" t="s">
        <v>78</v>
      </c>
      <c r="P1243" s="52"/>
      <c r="Q1243" s="52"/>
      <c r="R1243" s="33" t="n">
        <f aca="false">INDEX(Épopées!$L$6:$L$59,MATCH(K1243,Épopées!$A$6:$A$59,0))</f>
        <v>46498</v>
      </c>
      <c r="S1243" s="33" t="n">
        <f aca="false">INDEX(Épopées!$M$6:$M$59,MATCH(K1243,Épopées!$A$6:$A$59,0))</f>
        <v>46521</v>
      </c>
      <c r="T1243" s="53" t="s">
        <v>463</v>
      </c>
    </row>
    <row r="1244" customFormat="false" ht="15" hidden="false" customHeight="false" outlineLevel="0" collapsed="false">
      <c r="A1244" s="31" t="s">
        <v>3354</v>
      </c>
      <c r="B1244" s="31" t="s">
        <v>404</v>
      </c>
      <c r="C1244" s="31" t="s">
        <v>426</v>
      </c>
      <c r="D1244" s="31" t="s">
        <v>427</v>
      </c>
      <c r="E1244" s="31" t="s">
        <v>3355</v>
      </c>
      <c r="F1244" s="31" t="s">
        <v>1623</v>
      </c>
      <c r="G1244" s="31" t="s">
        <v>461</v>
      </c>
      <c r="H1244" s="31" t="s">
        <v>41</v>
      </c>
      <c r="I1244" s="31" t="n">
        <f aca="false">VLOOKUP(H1244,Paramètres!$A$15:$B$19,2,FALSE())</f>
        <v>1</v>
      </c>
      <c r="J1244" s="31" t="n">
        <v>1</v>
      </c>
      <c r="K1244" s="50" t="str">
        <f aca="false">C1244&amp;"|"&amp;J1244</f>
        <v>ADM-WF|1</v>
      </c>
      <c r="L1244" s="31" t="s">
        <v>3347</v>
      </c>
      <c r="M1244" s="31" t="n">
        <v>1</v>
      </c>
      <c r="N1244" s="51" t="s">
        <v>462</v>
      </c>
      <c r="O1244" s="35" t="s">
        <v>78</v>
      </c>
      <c r="P1244" s="52"/>
      <c r="Q1244" s="52"/>
      <c r="R1244" s="33" t="n">
        <f aca="false">INDEX(Épopées!$L$6:$L$59,MATCH(K1244,Épopées!$A$6:$A$59,0))</f>
        <v>46498</v>
      </c>
      <c r="S1244" s="33" t="n">
        <f aca="false">INDEX(Épopées!$M$6:$M$59,MATCH(K1244,Épopées!$A$6:$A$59,0))</f>
        <v>46521</v>
      </c>
      <c r="T1244" s="53" t="s">
        <v>463</v>
      </c>
    </row>
    <row r="1245" customFormat="false" ht="15" hidden="false" customHeight="false" outlineLevel="0" collapsed="false">
      <c r="A1245" s="31" t="s">
        <v>3356</v>
      </c>
      <c r="B1245" s="31" t="s">
        <v>404</v>
      </c>
      <c r="C1245" s="31" t="s">
        <v>426</v>
      </c>
      <c r="D1245" s="31" t="s">
        <v>427</v>
      </c>
      <c r="E1245" s="31" t="s">
        <v>3357</v>
      </c>
      <c r="F1245" s="31" t="s">
        <v>491</v>
      </c>
      <c r="G1245" s="31" t="s">
        <v>612</v>
      </c>
      <c r="H1245" s="31" t="s">
        <v>39</v>
      </c>
      <c r="I1245" s="31" t="n">
        <f aca="false">VLOOKUP(H1245,Paramètres!$A$15:$B$19,2,FALSE())</f>
        <v>0.5</v>
      </c>
      <c r="J1245" s="31" t="n">
        <v>1</v>
      </c>
      <c r="K1245" s="50" t="str">
        <f aca="false">C1245&amp;"|"&amp;J1245</f>
        <v>ADM-WF|1</v>
      </c>
      <c r="L1245" s="31" t="s">
        <v>3358</v>
      </c>
      <c r="M1245" s="31" t="n">
        <v>2</v>
      </c>
      <c r="N1245" s="51" t="s">
        <v>462</v>
      </c>
      <c r="O1245" s="35" t="s">
        <v>78</v>
      </c>
      <c r="P1245" s="52"/>
      <c r="Q1245" s="52"/>
      <c r="R1245" s="33" t="n">
        <f aca="false">INDEX(Épopées!$L$6:$L$59,MATCH(K1245,Épopées!$A$6:$A$59,0))</f>
        <v>46498</v>
      </c>
      <c r="S1245" s="33" t="n">
        <f aca="false">INDEX(Épopées!$M$6:$M$59,MATCH(K1245,Épopées!$A$6:$A$59,0))</f>
        <v>46521</v>
      </c>
      <c r="T1245" s="53" t="s">
        <v>463</v>
      </c>
    </row>
    <row r="1246" customFormat="false" ht="15" hidden="false" customHeight="false" outlineLevel="0" collapsed="false">
      <c r="A1246" s="31" t="s">
        <v>3359</v>
      </c>
      <c r="B1246" s="31" t="s">
        <v>404</v>
      </c>
      <c r="C1246" s="31" t="s">
        <v>426</v>
      </c>
      <c r="D1246" s="31" t="s">
        <v>427</v>
      </c>
      <c r="E1246" s="31" t="s">
        <v>3360</v>
      </c>
      <c r="F1246" s="31" t="s">
        <v>1623</v>
      </c>
      <c r="G1246" s="31" t="s">
        <v>466</v>
      </c>
      <c r="H1246" s="31" t="s">
        <v>41</v>
      </c>
      <c r="I1246" s="31" t="n">
        <f aca="false">VLOOKUP(H1246,Paramètres!$A$15:$B$19,2,FALSE())</f>
        <v>1</v>
      </c>
      <c r="J1246" s="31" t="n">
        <v>1</v>
      </c>
      <c r="K1246" s="50" t="str">
        <f aca="false">C1246&amp;"|"&amp;J1246</f>
        <v>ADM-WF|1</v>
      </c>
      <c r="L1246" s="31" t="s">
        <v>3324</v>
      </c>
      <c r="M1246" s="31" t="n">
        <v>1</v>
      </c>
      <c r="N1246" s="51" t="s">
        <v>462</v>
      </c>
      <c r="O1246" s="35" t="s">
        <v>78</v>
      </c>
      <c r="P1246" s="52"/>
      <c r="Q1246" s="52"/>
      <c r="R1246" s="33" t="n">
        <f aca="false">INDEX(Épopées!$L$6:$L$59,MATCH(K1246,Épopées!$A$6:$A$59,0))</f>
        <v>46498</v>
      </c>
      <c r="S1246" s="33" t="n">
        <f aca="false">INDEX(Épopées!$M$6:$M$59,MATCH(K1246,Épopées!$A$6:$A$59,0))</f>
        <v>46521</v>
      </c>
      <c r="T1246" s="53" t="s">
        <v>463</v>
      </c>
    </row>
    <row r="1247" customFormat="false" ht="15" hidden="false" customHeight="false" outlineLevel="0" collapsed="false">
      <c r="A1247" s="31" t="s">
        <v>3361</v>
      </c>
      <c r="B1247" s="31" t="s">
        <v>404</v>
      </c>
      <c r="C1247" s="31" t="s">
        <v>426</v>
      </c>
      <c r="D1247" s="31" t="s">
        <v>427</v>
      </c>
      <c r="E1247" s="31" t="s">
        <v>3362</v>
      </c>
      <c r="F1247" s="31" t="s">
        <v>1623</v>
      </c>
      <c r="G1247" s="31" t="s">
        <v>466</v>
      </c>
      <c r="H1247" s="31" t="s">
        <v>41</v>
      </c>
      <c r="I1247" s="31" t="n">
        <f aca="false">VLOOKUP(H1247,Paramètres!$A$15:$B$19,2,FALSE())</f>
        <v>1</v>
      </c>
      <c r="J1247" s="31" t="n">
        <v>1</v>
      </c>
      <c r="K1247" s="50" t="str">
        <f aca="false">C1247&amp;"|"&amp;J1247</f>
        <v>ADM-WF|1</v>
      </c>
      <c r="L1247" s="31" t="s">
        <v>3359</v>
      </c>
      <c r="M1247" s="31" t="n">
        <v>1</v>
      </c>
      <c r="N1247" s="51" t="s">
        <v>462</v>
      </c>
      <c r="O1247" s="35" t="s">
        <v>78</v>
      </c>
      <c r="P1247" s="52"/>
      <c r="Q1247" s="52"/>
      <c r="R1247" s="33" t="n">
        <f aca="false">INDEX(Épopées!$L$6:$L$59,MATCH(K1247,Épopées!$A$6:$A$59,0))</f>
        <v>46498</v>
      </c>
      <c r="S1247" s="33" t="n">
        <f aca="false">INDEX(Épopées!$M$6:$M$59,MATCH(K1247,Épopées!$A$6:$A$59,0))</f>
        <v>46521</v>
      </c>
      <c r="T1247" s="53" t="s">
        <v>463</v>
      </c>
    </row>
    <row r="1248" customFormat="false" ht="15" hidden="false" customHeight="false" outlineLevel="0" collapsed="false">
      <c r="A1248" s="31" t="s">
        <v>3363</v>
      </c>
      <c r="B1248" s="31" t="s">
        <v>404</v>
      </c>
      <c r="C1248" s="31" t="s">
        <v>426</v>
      </c>
      <c r="D1248" s="31" t="s">
        <v>427</v>
      </c>
      <c r="E1248" s="31" t="s">
        <v>3364</v>
      </c>
      <c r="F1248" s="31" t="s">
        <v>491</v>
      </c>
      <c r="G1248" s="31" t="s">
        <v>466</v>
      </c>
      <c r="H1248" s="31" t="s">
        <v>41</v>
      </c>
      <c r="I1248" s="31" t="n">
        <f aca="false">VLOOKUP(H1248,Paramètres!$A$15:$B$19,2,FALSE())</f>
        <v>1</v>
      </c>
      <c r="J1248" s="31" t="n">
        <v>1</v>
      </c>
      <c r="K1248" s="50" t="str">
        <f aca="false">C1248&amp;"|"&amp;J1248</f>
        <v>ADM-WF|1</v>
      </c>
      <c r="L1248" s="31" t="s">
        <v>3359</v>
      </c>
      <c r="M1248" s="31" t="n">
        <v>1</v>
      </c>
      <c r="N1248" s="51" t="s">
        <v>462</v>
      </c>
      <c r="O1248" s="35" t="s">
        <v>78</v>
      </c>
      <c r="P1248" s="52"/>
      <c r="Q1248" s="52"/>
      <c r="R1248" s="33" t="n">
        <f aca="false">INDEX(Épopées!$L$6:$L$59,MATCH(K1248,Épopées!$A$6:$A$59,0))</f>
        <v>46498</v>
      </c>
      <c r="S1248" s="33" t="n">
        <f aca="false">INDEX(Épopées!$M$6:$M$59,MATCH(K1248,Épopées!$A$6:$A$59,0))</f>
        <v>46521</v>
      </c>
      <c r="T1248" s="53" t="s">
        <v>463</v>
      </c>
    </row>
    <row r="1249" customFormat="false" ht="15" hidden="false" customHeight="false" outlineLevel="0" collapsed="false">
      <c r="A1249" s="31" t="s">
        <v>3365</v>
      </c>
      <c r="B1249" s="31" t="s">
        <v>404</v>
      </c>
      <c r="C1249" s="31" t="s">
        <v>426</v>
      </c>
      <c r="D1249" s="31" t="s">
        <v>427</v>
      </c>
      <c r="E1249" s="31" t="s">
        <v>3366</v>
      </c>
      <c r="F1249" s="31" t="s">
        <v>491</v>
      </c>
      <c r="G1249" s="31" t="s">
        <v>612</v>
      </c>
      <c r="H1249" s="31" t="s">
        <v>39</v>
      </c>
      <c r="I1249" s="31" t="n">
        <f aca="false">VLOOKUP(H1249,Paramètres!$A$15:$B$19,2,FALSE())</f>
        <v>0.5</v>
      </c>
      <c r="J1249" s="31" t="n">
        <v>1</v>
      </c>
      <c r="K1249" s="50" t="str">
        <f aca="false">C1249&amp;"|"&amp;J1249</f>
        <v>ADM-WF|1</v>
      </c>
      <c r="L1249" s="31" t="s">
        <v>3359</v>
      </c>
      <c r="M1249" s="31" t="n">
        <v>2</v>
      </c>
      <c r="N1249" s="51" t="s">
        <v>462</v>
      </c>
      <c r="O1249" s="35" t="s">
        <v>78</v>
      </c>
      <c r="P1249" s="52"/>
      <c r="Q1249" s="52"/>
      <c r="R1249" s="33" t="n">
        <f aca="false">INDEX(Épopées!$L$6:$L$59,MATCH(K1249,Épopées!$A$6:$A$59,0))</f>
        <v>46498</v>
      </c>
      <c r="S1249" s="33" t="n">
        <f aca="false">INDEX(Épopées!$M$6:$M$59,MATCH(K1249,Épopées!$A$6:$A$59,0))</f>
        <v>46521</v>
      </c>
      <c r="T1249" s="53" t="s">
        <v>463</v>
      </c>
    </row>
    <row r="1250" customFormat="false" ht="15" hidden="false" customHeight="false" outlineLevel="0" collapsed="false">
      <c r="A1250" s="31" t="s">
        <v>3367</v>
      </c>
      <c r="B1250" s="31" t="s">
        <v>404</v>
      </c>
      <c r="C1250" s="31" t="s">
        <v>426</v>
      </c>
      <c r="D1250" s="31" t="s">
        <v>427</v>
      </c>
      <c r="E1250" s="31" t="s">
        <v>3368</v>
      </c>
      <c r="F1250" s="31" t="s">
        <v>469</v>
      </c>
      <c r="G1250" s="31" t="s">
        <v>461</v>
      </c>
      <c r="H1250" s="31" t="s">
        <v>39</v>
      </c>
      <c r="I1250" s="31" t="n">
        <f aca="false">VLOOKUP(H1250,Paramètres!$A$15:$B$19,2,FALSE())</f>
        <v>0.5</v>
      </c>
      <c r="J1250" s="31" t="n">
        <v>1</v>
      </c>
      <c r="K1250" s="50" t="str">
        <f aca="false">C1250&amp;"|"&amp;J1250</f>
        <v>ADM-WF|1</v>
      </c>
      <c r="L1250" s="31" t="s">
        <v>3326</v>
      </c>
      <c r="M1250" s="31" t="n">
        <v>3</v>
      </c>
      <c r="N1250" s="51" t="s">
        <v>462</v>
      </c>
      <c r="O1250" s="35" t="s">
        <v>78</v>
      </c>
      <c r="P1250" s="52"/>
      <c r="Q1250" s="52"/>
      <c r="R1250" s="33" t="n">
        <f aca="false">INDEX(Épopées!$L$6:$L$59,MATCH(K1250,Épopées!$A$6:$A$59,0))</f>
        <v>46498</v>
      </c>
      <c r="S1250" s="33" t="n">
        <f aca="false">INDEX(Épopées!$M$6:$M$59,MATCH(K1250,Épopées!$A$6:$A$59,0))</f>
        <v>46521</v>
      </c>
      <c r="T1250" s="53" t="s">
        <v>463</v>
      </c>
    </row>
    <row r="1251" customFormat="false" ht="15" hidden="false" customHeight="false" outlineLevel="0" collapsed="false">
      <c r="A1251" s="31" t="s">
        <v>3369</v>
      </c>
      <c r="B1251" s="31" t="s">
        <v>404</v>
      </c>
      <c r="C1251" s="31" t="s">
        <v>426</v>
      </c>
      <c r="D1251" s="31" t="s">
        <v>427</v>
      </c>
      <c r="E1251" s="31" t="s">
        <v>3370</v>
      </c>
      <c r="F1251" s="31" t="s">
        <v>472</v>
      </c>
      <c r="G1251" s="31" t="s">
        <v>466</v>
      </c>
      <c r="H1251" s="31" t="s">
        <v>41</v>
      </c>
      <c r="I1251" s="31" t="n">
        <f aca="false">VLOOKUP(H1251,Paramètres!$A$15:$B$19,2,FALSE())</f>
        <v>1</v>
      </c>
      <c r="J1251" s="31" t="n">
        <v>1</v>
      </c>
      <c r="K1251" s="50" t="str">
        <f aca="false">C1251&amp;"|"&amp;J1251</f>
        <v>ADM-WF|1</v>
      </c>
      <c r="L1251" s="31" t="s">
        <v>3371</v>
      </c>
      <c r="M1251" s="31" t="n">
        <v>5</v>
      </c>
      <c r="N1251" s="51" t="s">
        <v>462</v>
      </c>
      <c r="O1251" s="35" t="s">
        <v>78</v>
      </c>
      <c r="P1251" s="52"/>
      <c r="Q1251" s="52"/>
      <c r="R1251" s="33" t="n">
        <f aca="false">INDEX(Épopées!$L$6:$L$59,MATCH(K1251,Épopées!$A$6:$A$59,0))</f>
        <v>46498</v>
      </c>
      <c r="S1251" s="33" t="n">
        <f aca="false">INDEX(Épopées!$M$6:$M$59,MATCH(K1251,Épopées!$A$6:$A$59,0))</f>
        <v>46521</v>
      </c>
      <c r="T1251" s="53" t="s">
        <v>463</v>
      </c>
    </row>
    <row r="1252" customFormat="false" ht="15" hidden="false" customHeight="false" outlineLevel="0" collapsed="false">
      <c r="A1252" s="31" t="s">
        <v>3372</v>
      </c>
      <c r="B1252" s="31" t="s">
        <v>404</v>
      </c>
      <c r="C1252" s="31" t="s">
        <v>429</v>
      </c>
      <c r="D1252" s="31" t="s">
        <v>430</v>
      </c>
      <c r="E1252" s="31" t="s">
        <v>3373</v>
      </c>
      <c r="F1252" s="31" t="s">
        <v>460</v>
      </c>
      <c r="G1252" s="31" t="s">
        <v>461</v>
      </c>
      <c r="H1252" s="31" t="s">
        <v>41</v>
      </c>
      <c r="I1252" s="31" t="n">
        <f aca="false">VLOOKUP(H1252,Paramètres!$A$15:$B$19,2,FALSE())</f>
        <v>1</v>
      </c>
      <c r="J1252" s="31" t="n">
        <v>1</v>
      </c>
      <c r="K1252" s="50" t="str">
        <f aca="false">C1252&amp;"|"&amp;J1252</f>
        <v>ADM-WH|1</v>
      </c>
      <c r="L1252" s="31"/>
      <c r="M1252" s="31" t="n">
        <v>5</v>
      </c>
      <c r="N1252" s="51" t="s">
        <v>462</v>
      </c>
      <c r="O1252" s="35" t="s">
        <v>78</v>
      </c>
      <c r="P1252" s="52"/>
      <c r="Q1252" s="52"/>
      <c r="R1252" s="33" t="n">
        <f aca="false">INDEX(Épopées!$L$6:$L$59,MATCH(K1252,Épopées!$A$6:$A$59,0))</f>
        <v>46524</v>
      </c>
      <c r="S1252" s="33" t="n">
        <f aca="false">INDEX(Épopées!$M$6:$M$59,MATCH(K1252,Épopées!$A$6:$A$59,0))</f>
        <v>46540</v>
      </c>
      <c r="T1252" s="53" t="s">
        <v>463</v>
      </c>
    </row>
    <row r="1253" customFormat="false" ht="15" hidden="false" customHeight="false" outlineLevel="0" collapsed="false">
      <c r="A1253" s="31" t="s">
        <v>3374</v>
      </c>
      <c r="B1253" s="31" t="s">
        <v>404</v>
      </c>
      <c r="C1253" s="31" t="s">
        <v>429</v>
      </c>
      <c r="D1253" s="31" t="s">
        <v>430</v>
      </c>
      <c r="E1253" s="31" t="s">
        <v>3375</v>
      </c>
      <c r="F1253" s="31" t="s">
        <v>491</v>
      </c>
      <c r="G1253" s="31" t="s">
        <v>461</v>
      </c>
      <c r="H1253" s="31" t="s">
        <v>39</v>
      </c>
      <c r="I1253" s="31" t="n">
        <f aca="false">VLOOKUP(H1253,Paramètres!$A$15:$B$19,2,FALSE())</f>
        <v>0.5</v>
      </c>
      <c r="J1253" s="31" t="n">
        <v>1</v>
      </c>
      <c r="K1253" s="50" t="str">
        <f aca="false">C1253&amp;"|"&amp;J1253</f>
        <v>ADM-WH|1</v>
      </c>
      <c r="L1253" s="31" t="s">
        <v>3372</v>
      </c>
      <c r="M1253" s="31" t="n">
        <v>5</v>
      </c>
      <c r="N1253" s="51" t="s">
        <v>462</v>
      </c>
      <c r="O1253" s="35" t="s">
        <v>78</v>
      </c>
      <c r="P1253" s="52"/>
      <c r="Q1253" s="52"/>
      <c r="R1253" s="33" t="n">
        <f aca="false">INDEX(Épopées!$L$6:$L$59,MATCH(K1253,Épopées!$A$6:$A$59,0))</f>
        <v>46524</v>
      </c>
      <c r="S1253" s="33" t="n">
        <f aca="false">INDEX(Épopées!$M$6:$M$59,MATCH(K1253,Épopées!$A$6:$A$59,0))</f>
        <v>46540</v>
      </c>
      <c r="T1253" s="53" t="s">
        <v>463</v>
      </c>
    </row>
    <row r="1254" customFormat="false" ht="15" hidden="false" customHeight="false" outlineLevel="0" collapsed="false">
      <c r="A1254" s="31" t="s">
        <v>3376</v>
      </c>
      <c r="B1254" s="31" t="s">
        <v>404</v>
      </c>
      <c r="C1254" s="31" t="s">
        <v>429</v>
      </c>
      <c r="D1254" s="31" t="s">
        <v>430</v>
      </c>
      <c r="E1254" s="31" t="s">
        <v>3377</v>
      </c>
      <c r="F1254" s="31" t="s">
        <v>1623</v>
      </c>
      <c r="G1254" s="31" t="s">
        <v>461</v>
      </c>
      <c r="H1254" s="31" t="s">
        <v>43</v>
      </c>
      <c r="I1254" s="31" t="n">
        <f aca="false">VLOOKUP(H1254,Paramètres!$A$15:$B$19,2,FALSE())</f>
        <v>2</v>
      </c>
      <c r="J1254" s="31" t="n">
        <v>1</v>
      </c>
      <c r="K1254" s="50" t="str">
        <f aca="false">C1254&amp;"|"&amp;J1254</f>
        <v>ADM-WH|1</v>
      </c>
      <c r="L1254" s="31" t="s">
        <v>3374</v>
      </c>
      <c r="M1254" s="31" t="n">
        <v>1</v>
      </c>
      <c r="N1254" s="51" t="s">
        <v>462</v>
      </c>
      <c r="O1254" s="35" t="s">
        <v>78</v>
      </c>
      <c r="P1254" s="52"/>
      <c r="Q1254" s="52"/>
      <c r="R1254" s="33" t="n">
        <f aca="false">INDEX(Épopées!$L$6:$L$59,MATCH(K1254,Épopées!$A$6:$A$59,0))</f>
        <v>46524</v>
      </c>
      <c r="S1254" s="33" t="n">
        <f aca="false">INDEX(Épopées!$M$6:$M$59,MATCH(K1254,Épopées!$A$6:$A$59,0))</f>
        <v>46540</v>
      </c>
      <c r="T1254" s="53" t="s">
        <v>463</v>
      </c>
    </row>
    <row r="1255" customFormat="false" ht="15" hidden="false" customHeight="false" outlineLevel="0" collapsed="false">
      <c r="A1255" s="31" t="s">
        <v>3378</v>
      </c>
      <c r="B1255" s="31" t="s">
        <v>404</v>
      </c>
      <c r="C1255" s="31" t="s">
        <v>429</v>
      </c>
      <c r="D1255" s="31" t="s">
        <v>430</v>
      </c>
      <c r="E1255" s="31" t="s">
        <v>3379</v>
      </c>
      <c r="F1255" s="31" t="s">
        <v>491</v>
      </c>
      <c r="G1255" s="31" t="s">
        <v>466</v>
      </c>
      <c r="H1255" s="31" t="s">
        <v>41</v>
      </c>
      <c r="I1255" s="31" t="n">
        <f aca="false">VLOOKUP(H1255,Paramètres!$A$15:$B$19,2,FALSE())</f>
        <v>1</v>
      </c>
      <c r="J1255" s="31" t="n">
        <v>1</v>
      </c>
      <c r="K1255" s="50" t="str">
        <f aca="false">C1255&amp;"|"&amp;J1255</f>
        <v>ADM-WH|1</v>
      </c>
      <c r="L1255" s="31" t="s">
        <v>3376</v>
      </c>
      <c r="M1255" s="31" t="n">
        <v>1</v>
      </c>
      <c r="N1255" s="51" t="s">
        <v>462</v>
      </c>
      <c r="O1255" s="35" t="s">
        <v>78</v>
      </c>
      <c r="P1255" s="52"/>
      <c r="Q1255" s="52"/>
      <c r="R1255" s="33" t="n">
        <f aca="false">INDEX(Épopées!$L$6:$L$59,MATCH(K1255,Épopées!$A$6:$A$59,0))</f>
        <v>46524</v>
      </c>
      <c r="S1255" s="33" t="n">
        <f aca="false">INDEX(Épopées!$M$6:$M$59,MATCH(K1255,Épopées!$A$6:$A$59,0))</f>
        <v>46540</v>
      </c>
      <c r="T1255" s="53" t="s">
        <v>463</v>
      </c>
    </row>
    <row r="1256" customFormat="false" ht="15" hidden="false" customHeight="false" outlineLevel="0" collapsed="false">
      <c r="A1256" s="31" t="s">
        <v>3380</v>
      </c>
      <c r="B1256" s="31" t="s">
        <v>404</v>
      </c>
      <c r="C1256" s="31" t="s">
        <v>429</v>
      </c>
      <c r="D1256" s="31" t="s">
        <v>430</v>
      </c>
      <c r="E1256" s="31" t="s">
        <v>3381</v>
      </c>
      <c r="F1256" s="31" t="s">
        <v>491</v>
      </c>
      <c r="G1256" s="31" t="s">
        <v>461</v>
      </c>
      <c r="H1256" s="31" t="s">
        <v>39</v>
      </c>
      <c r="I1256" s="31" t="n">
        <f aca="false">VLOOKUP(H1256,Paramètres!$A$15:$B$19,2,FALSE())</f>
        <v>0.5</v>
      </c>
      <c r="J1256" s="31" t="n">
        <v>1</v>
      </c>
      <c r="K1256" s="50" t="str">
        <f aca="false">C1256&amp;"|"&amp;J1256</f>
        <v>ADM-WH|1</v>
      </c>
      <c r="L1256" s="31" t="s">
        <v>3376</v>
      </c>
      <c r="M1256" s="31" t="n">
        <v>2</v>
      </c>
      <c r="N1256" s="51" t="s">
        <v>462</v>
      </c>
      <c r="O1256" s="35" t="s">
        <v>78</v>
      </c>
      <c r="P1256" s="52"/>
      <c r="Q1256" s="52"/>
      <c r="R1256" s="33" t="n">
        <f aca="false">INDEX(Épopées!$L$6:$L$59,MATCH(K1256,Épopées!$A$6:$A$59,0))</f>
        <v>46524</v>
      </c>
      <c r="S1256" s="33" t="n">
        <f aca="false">INDEX(Épopées!$M$6:$M$59,MATCH(K1256,Épopées!$A$6:$A$59,0))</f>
        <v>46540</v>
      </c>
      <c r="T1256" s="53" t="s">
        <v>463</v>
      </c>
    </row>
    <row r="1257" customFormat="false" ht="15" hidden="false" customHeight="false" outlineLevel="0" collapsed="false">
      <c r="A1257" s="31" t="s">
        <v>3382</v>
      </c>
      <c r="B1257" s="31" t="s">
        <v>404</v>
      </c>
      <c r="C1257" s="31" t="s">
        <v>429</v>
      </c>
      <c r="D1257" s="31" t="s">
        <v>430</v>
      </c>
      <c r="E1257" s="31" t="s">
        <v>3383</v>
      </c>
      <c r="F1257" s="31" t="s">
        <v>1623</v>
      </c>
      <c r="G1257" s="31" t="s">
        <v>461</v>
      </c>
      <c r="H1257" s="31" t="s">
        <v>43</v>
      </c>
      <c r="I1257" s="31" t="n">
        <f aca="false">VLOOKUP(H1257,Paramètres!$A$15:$B$19,2,FALSE())</f>
        <v>2</v>
      </c>
      <c r="J1257" s="31" t="n">
        <v>1</v>
      </c>
      <c r="K1257" s="50" t="str">
        <f aca="false">C1257&amp;"|"&amp;J1257</f>
        <v>ADM-WH|1</v>
      </c>
      <c r="L1257" s="31" t="s">
        <v>3384</v>
      </c>
      <c r="M1257" s="31" t="n">
        <v>1</v>
      </c>
      <c r="N1257" s="51" t="s">
        <v>462</v>
      </c>
      <c r="O1257" s="35" t="s">
        <v>78</v>
      </c>
      <c r="P1257" s="52"/>
      <c r="Q1257" s="52"/>
      <c r="R1257" s="33" t="n">
        <f aca="false">INDEX(Épopées!$L$6:$L$59,MATCH(K1257,Épopées!$A$6:$A$59,0))</f>
        <v>46524</v>
      </c>
      <c r="S1257" s="33" t="n">
        <f aca="false">INDEX(Épopées!$M$6:$M$59,MATCH(K1257,Épopées!$A$6:$A$59,0))</f>
        <v>46540</v>
      </c>
      <c r="T1257" s="53" t="s">
        <v>463</v>
      </c>
    </row>
    <row r="1258" customFormat="false" ht="15" hidden="false" customHeight="false" outlineLevel="0" collapsed="false">
      <c r="A1258" s="31" t="s">
        <v>3385</v>
      </c>
      <c r="B1258" s="31" t="s">
        <v>404</v>
      </c>
      <c r="C1258" s="31" t="s">
        <v>429</v>
      </c>
      <c r="D1258" s="31" t="s">
        <v>430</v>
      </c>
      <c r="E1258" s="31" t="s">
        <v>3386</v>
      </c>
      <c r="F1258" s="31" t="s">
        <v>491</v>
      </c>
      <c r="G1258" s="31" t="s">
        <v>461</v>
      </c>
      <c r="H1258" s="31" t="s">
        <v>41</v>
      </c>
      <c r="I1258" s="31" t="n">
        <f aca="false">VLOOKUP(H1258,Paramètres!$A$15:$B$19,2,FALSE())</f>
        <v>1</v>
      </c>
      <c r="J1258" s="31" t="n">
        <v>1</v>
      </c>
      <c r="K1258" s="50" t="str">
        <f aca="false">C1258&amp;"|"&amp;J1258</f>
        <v>ADM-WH|1</v>
      </c>
      <c r="L1258" s="31" t="s">
        <v>3382</v>
      </c>
      <c r="M1258" s="31" t="n">
        <v>1</v>
      </c>
      <c r="N1258" s="51" t="s">
        <v>462</v>
      </c>
      <c r="O1258" s="35" t="s">
        <v>78</v>
      </c>
      <c r="P1258" s="52"/>
      <c r="Q1258" s="52"/>
      <c r="R1258" s="33" t="n">
        <f aca="false">INDEX(Épopées!$L$6:$L$59,MATCH(K1258,Épopées!$A$6:$A$59,0))</f>
        <v>46524</v>
      </c>
      <c r="S1258" s="33" t="n">
        <f aca="false">INDEX(Épopées!$M$6:$M$59,MATCH(K1258,Épopées!$A$6:$A$59,0))</f>
        <v>46540</v>
      </c>
      <c r="T1258" s="53" t="s">
        <v>463</v>
      </c>
    </row>
    <row r="1259" customFormat="false" ht="15" hidden="false" customHeight="false" outlineLevel="0" collapsed="false">
      <c r="A1259" s="31" t="s">
        <v>3387</v>
      </c>
      <c r="B1259" s="31" t="s">
        <v>404</v>
      </c>
      <c r="C1259" s="31" t="s">
        <v>429</v>
      </c>
      <c r="D1259" s="31" t="s">
        <v>430</v>
      </c>
      <c r="E1259" s="31" t="s">
        <v>3388</v>
      </c>
      <c r="F1259" s="31" t="s">
        <v>1623</v>
      </c>
      <c r="G1259" s="31" t="s">
        <v>466</v>
      </c>
      <c r="H1259" s="31" t="s">
        <v>43</v>
      </c>
      <c r="I1259" s="31" t="n">
        <f aca="false">VLOOKUP(H1259,Paramètres!$A$15:$B$19,2,FALSE())</f>
        <v>2</v>
      </c>
      <c r="J1259" s="31" t="n">
        <v>1</v>
      </c>
      <c r="K1259" s="50" t="str">
        <f aca="false">C1259&amp;"|"&amp;J1259</f>
        <v>ADM-WH|1</v>
      </c>
      <c r="L1259" s="31" t="s">
        <v>3374</v>
      </c>
      <c r="M1259" s="31" t="n">
        <v>1</v>
      </c>
      <c r="N1259" s="51" t="s">
        <v>462</v>
      </c>
      <c r="O1259" s="35" t="s">
        <v>78</v>
      </c>
      <c r="P1259" s="52"/>
      <c r="Q1259" s="52"/>
      <c r="R1259" s="33" t="n">
        <f aca="false">INDEX(Épopées!$L$6:$L$59,MATCH(K1259,Épopées!$A$6:$A$59,0))</f>
        <v>46524</v>
      </c>
      <c r="S1259" s="33" t="n">
        <f aca="false">INDEX(Épopées!$M$6:$M$59,MATCH(K1259,Épopées!$A$6:$A$59,0))</f>
        <v>46540</v>
      </c>
      <c r="T1259" s="53" t="s">
        <v>463</v>
      </c>
    </row>
    <row r="1260" customFormat="false" ht="15" hidden="false" customHeight="false" outlineLevel="0" collapsed="false">
      <c r="A1260" s="31" t="s">
        <v>3389</v>
      </c>
      <c r="B1260" s="31" t="s">
        <v>404</v>
      </c>
      <c r="C1260" s="31" t="s">
        <v>429</v>
      </c>
      <c r="D1260" s="31" t="s">
        <v>430</v>
      </c>
      <c r="E1260" s="31" t="s">
        <v>3390</v>
      </c>
      <c r="F1260" s="31" t="s">
        <v>469</v>
      </c>
      <c r="G1260" s="31" t="s">
        <v>461</v>
      </c>
      <c r="H1260" s="31" t="s">
        <v>39</v>
      </c>
      <c r="I1260" s="31" t="n">
        <f aca="false">VLOOKUP(H1260,Paramètres!$A$15:$B$19,2,FALSE())</f>
        <v>0.5</v>
      </c>
      <c r="J1260" s="31" t="n">
        <v>1</v>
      </c>
      <c r="K1260" s="50" t="str">
        <f aca="false">C1260&amp;"|"&amp;J1260</f>
        <v>ADM-WH|1</v>
      </c>
      <c r="L1260" s="31" t="s">
        <v>3387</v>
      </c>
      <c r="M1260" s="31" t="n">
        <v>2</v>
      </c>
      <c r="N1260" s="51" t="s">
        <v>462</v>
      </c>
      <c r="O1260" s="35" t="s">
        <v>78</v>
      </c>
      <c r="P1260" s="52"/>
      <c r="Q1260" s="52"/>
      <c r="R1260" s="33" t="n">
        <f aca="false">INDEX(Épopées!$L$6:$L$59,MATCH(K1260,Épopées!$A$6:$A$59,0))</f>
        <v>46524</v>
      </c>
      <c r="S1260" s="33" t="n">
        <f aca="false">INDEX(Épopées!$M$6:$M$59,MATCH(K1260,Épopées!$A$6:$A$59,0))</f>
        <v>46540</v>
      </c>
      <c r="T1260" s="53" t="s">
        <v>463</v>
      </c>
    </row>
    <row r="1261" customFormat="false" ht="15" hidden="false" customHeight="false" outlineLevel="0" collapsed="false">
      <c r="A1261" s="31" t="s">
        <v>3391</v>
      </c>
      <c r="B1261" s="31" t="s">
        <v>404</v>
      </c>
      <c r="C1261" s="31" t="s">
        <v>429</v>
      </c>
      <c r="D1261" s="31" t="s">
        <v>430</v>
      </c>
      <c r="E1261" s="31" t="s">
        <v>3392</v>
      </c>
      <c r="F1261" s="31" t="s">
        <v>1623</v>
      </c>
      <c r="G1261" s="31" t="s">
        <v>466</v>
      </c>
      <c r="H1261" s="31" t="s">
        <v>43</v>
      </c>
      <c r="I1261" s="31" t="n">
        <f aca="false">VLOOKUP(H1261,Paramètres!$A$15:$B$19,2,FALSE())</f>
        <v>2</v>
      </c>
      <c r="J1261" s="31" t="n">
        <v>1</v>
      </c>
      <c r="K1261" s="50" t="str">
        <f aca="false">C1261&amp;"|"&amp;J1261</f>
        <v>ADM-WH|1</v>
      </c>
      <c r="L1261" s="31" t="s">
        <v>3374</v>
      </c>
      <c r="M1261" s="31" t="n">
        <v>1</v>
      </c>
      <c r="N1261" s="51" t="s">
        <v>462</v>
      </c>
      <c r="O1261" s="35" t="s">
        <v>78</v>
      </c>
      <c r="P1261" s="52"/>
      <c r="Q1261" s="52"/>
      <c r="R1261" s="33" t="n">
        <f aca="false">INDEX(Épopées!$L$6:$L$59,MATCH(K1261,Épopées!$A$6:$A$59,0))</f>
        <v>46524</v>
      </c>
      <c r="S1261" s="33" t="n">
        <f aca="false">INDEX(Épopées!$M$6:$M$59,MATCH(K1261,Épopées!$A$6:$A$59,0))</f>
        <v>46540</v>
      </c>
      <c r="T1261" s="53" t="s">
        <v>463</v>
      </c>
    </row>
    <row r="1262" customFormat="false" ht="15" hidden="false" customHeight="false" outlineLevel="0" collapsed="false">
      <c r="A1262" s="31" t="s">
        <v>3393</v>
      </c>
      <c r="B1262" s="31" t="s">
        <v>404</v>
      </c>
      <c r="C1262" s="31" t="s">
        <v>429</v>
      </c>
      <c r="D1262" s="31" t="s">
        <v>430</v>
      </c>
      <c r="E1262" s="31" t="s">
        <v>3394</v>
      </c>
      <c r="F1262" s="31" t="s">
        <v>1623</v>
      </c>
      <c r="G1262" s="31" t="s">
        <v>461</v>
      </c>
      <c r="H1262" s="31" t="s">
        <v>43</v>
      </c>
      <c r="I1262" s="31" t="n">
        <f aca="false">VLOOKUP(H1262,Paramètres!$A$15:$B$19,2,FALSE())</f>
        <v>2</v>
      </c>
      <c r="J1262" s="31" t="n">
        <v>1</v>
      </c>
      <c r="K1262" s="50" t="str">
        <f aca="false">C1262&amp;"|"&amp;J1262</f>
        <v>ADM-WH|1</v>
      </c>
      <c r="L1262" s="31" t="s">
        <v>3374</v>
      </c>
      <c r="M1262" s="31" t="n">
        <v>1</v>
      </c>
      <c r="N1262" s="51" t="s">
        <v>462</v>
      </c>
      <c r="O1262" s="35" t="s">
        <v>78</v>
      </c>
      <c r="P1262" s="52"/>
      <c r="Q1262" s="52"/>
      <c r="R1262" s="33" t="n">
        <f aca="false">INDEX(Épopées!$L$6:$L$59,MATCH(K1262,Épopées!$A$6:$A$59,0))</f>
        <v>46524</v>
      </c>
      <c r="S1262" s="33" t="n">
        <f aca="false">INDEX(Épopées!$M$6:$M$59,MATCH(K1262,Épopées!$A$6:$A$59,0))</f>
        <v>46540</v>
      </c>
      <c r="T1262" s="53" t="s">
        <v>463</v>
      </c>
    </row>
    <row r="1263" customFormat="false" ht="15" hidden="false" customHeight="false" outlineLevel="0" collapsed="false">
      <c r="A1263" s="31" t="s">
        <v>3395</v>
      </c>
      <c r="B1263" s="31" t="s">
        <v>404</v>
      </c>
      <c r="C1263" s="31" t="s">
        <v>429</v>
      </c>
      <c r="D1263" s="31" t="s">
        <v>430</v>
      </c>
      <c r="E1263" s="31" t="s">
        <v>3396</v>
      </c>
      <c r="F1263" s="31" t="s">
        <v>491</v>
      </c>
      <c r="G1263" s="31" t="s">
        <v>466</v>
      </c>
      <c r="H1263" s="31" t="s">
        <v>39</v>
      </c>
      <c r="I1263" s="31" t="n">
        <f aca="false">VLOOKUP(H1263,Paramètres!$A$15:$B$19,2,FALSE())</f>
        <v>0.5</v>
      </c>
      <c r="J1263" s="31" t="n">
        <v>1</v>
      </c>
      <c r="K1263" s="50" t="str">
        <f aca="false">C1263&amp;"|"&amp;J1263</f>
        <v>ADM-WH|1</v>
      </c>
      <c r="L1263" s="31" t="s">
        <v>3393</v>
      </c>
      <c r="M1263" s="31" t="n">
        <v>1</v>
      </c>
      <c r="N1263" s="51" t="s">
        <v>462</v>
      </c>
      <c r="O1263" s="35" t="s">
        <v>78</v>
      </c>
      <c r="P1263" s="52"/>
      <c r="Q1263" s="52"/>
      <c r="R1263" s="33" t="n">
        <f aca="false">INDEX(Épopées!$L$6:$L$59,MATCH(K1263,Épopées!$A$6:$A$59,0))</f>
        <v>46524</v>
      </c>
      <c r="S1263" s="33" t="n">
        <f aca="false">INDEX(Épopées!$M$6:$M$59,MATCH(K1263,Épopées!$A$6:$A$59,0))</f>
        <v>46540</v>
      </c>
      <c r="T1263" s="53" t="s">
        <v>463</v>
      </c>
    </row>
    <row r="1264" customFormat="false" ht="15" hidden="false" customHeight="false" outlineLevel="0" collapsed="false">
      <c r="A1264" s="31" t="s">
        <v>3397</v>
      </c>
      <c r="B1264" s="31" t="s">
        <v>404</v>
      </c>
      <c r="C1264" s="31" t="s">
        <v>429</v>
      </c>
      <c r="D1264" s="31" t="s">
        <v>430</v>
      </c>
      <c r="E1264" s="31" t="s">
        <v>3398</v>
      </c>
      <c r="F1264" s="31" t="s">
        <v>491</v>
      </c>
      <c r="G1264" s="31" t="s">
        <v>466</v>
      </c>
      <c r="H1264" s="31" t="s">
        <v>41</v>
      </c>
      <c r="I1264" s="31" t="n">
        <f aca="false">VLOOKUP(H1264,Paramètres!$A$15:$B$19,2,FALSE())</f>
        <v>1</v>
      </c>
      <c r="J1264" s="31" t="n">
        <v>1</v>
      </c>
      <c r="K1264" s="50" t="str">
        <f aca="false">C1264&amp;"|"&amp;J1264</f>
        <v>ADM-WH|1</v>
      </c>
      <c r="L1264" s="31" t="s">
        <v>3399</v>
      </c>
      <c r="M1264" s="31" t="n">
        <v>2</v>
      </c>
      <c r="N1264" s="51" t="s">
        <v>462</v>
      </c>
      <c r="O1264" s="35" t="s">
        <v>78</v>
      </c>
      <c r="P1264" s="52"/>
      <c r="Q1264" s="52"/>
      <c r="R1264" s="33" t="n">
        <f aca="false">INDEX(Épopées!$L$6:$L$59,MATCH(K1264,Épopées!$A$6:$A$59,0))</f>
        <v>46524</v>
      </c>
      <c r="S1264" s="33" t="n">
        <f aca="false">INDEX(Épopées!$M$6:$M$59,MATCH(K1264,Épopées!$A$6:$A$59,0))</f>
        <v>46540</v>
      </c>
      <c r="T1264" s="53" t="s">
        <v>463</v>
      </c>
    </row>
    <row r="1265" customFormat="false" ht="15" hidden="false" customHeight="false" outlineLevel="0" collapsed="false">
      <c r="A1265" s="31" t="s">
        <v>3400</v>
      </c>
      <c r="B1265" s="31" t="s">
        <v>404</v>
      </c>
      <c r="C1265" s="31" t="s">
        <v>429</v>
      </c>
      <c r="D1265" s="31" t="s">
        <v>430</v>
      </c>
      <c r="E1265" s="31" t="s">
        <v>3401</v>
      </c>
      <c r="F1265" s="31" t="s">
        <v>548</v>
      </c>
      <c r="G1265" s="31" t="s">
        <v>612</v>
      </c>
      <c r="H1265" s="31" t="s">
        <v>39</v>
      </c>
      <c r="I1265" s="31" t="n">
        <f aca="false">VLOOKUP(H1265,Paramètres!$A$15:$B$19,2,FALSE())</f>
        <v>0.5</v>
      </c>
      <c r="J1265" s="31" t="n">
        <v>1</v>
      </c>
      <c r="K1265" s="50" t="str">
        <f aca="false">C1265&amp;"|"&amp;J1265</f>
        <v>ADM-WH|1</v>
      </c>
      <c r="L1265" s="31" t="s">
        <v>3402</v>
      </c>
      <c r="M1265" s="31" t="n">
        <v>2</v>
      </c>
      <c r="N1265" s="51" t="s">
        <v>462</v>
      </c>
      <c r="O1265" s="35" t="s">
        <v>78</v>
      </c>
      <c r="P1265" s="52"/>
      <c r="Q1265" s="52"/>
      <c r="R1265" s="33" t="n">
        <f aca="false">INDEX(Épopées!$L$6:$L$59,MATCH(K1265,Épopées!$A$6:$A$59,0))</f>
        <v>46524</v>
      </c>
      <c r="S1265" s="33" t="n">
        <f aca="false">INDEX(Épopées!$M$6:$M$59,MATCH(K1265,Épopées!$A$6:$A$59,0))</f>
        <v>46540</v>
      </c>
      <c r="T1265" s="53" t="s">
        <v>463</v>
      </c>
    </row>
    <row r="1266" customFormat="false" ht="15" hidden="false" customHeight="false" outlineLevel="0" collapsed="false">
      <c r="A1266" s="31" t="s">
        <v>3403</v>
      </c>
      <c r="B1266" s="31" t="s">
        <v>404</v>
      </c>
      <c r="C1266" s="31" t="s">
        <v>429</v>
      </c>
      <c r="D1266" s="31" t="s">
        <v>430</v>
      </c>
      <c r="E1266" s="31" t="s">
        <v>3404</v>
      </c>
      <c r="F1266" s="31" t="s">
        <v>472</v>
      </c>
      <c r="G1266" s="31" t="s">
        <v>466</v>
      </c>
      <c r="H1266" s="31" t="s">
        <v>41</v>
      </c>
      <c r="I1266" s="31" t="n">
        <f aca="false">VLOOKUP(H1266,Paramètres!$A$15:$B$19,2,FALSE())</f>
        <v>1</v>
      </c>
      <c r="J1266" s="31" t="n">
        <v>1</v>
      </c>
      <c r="K1266" s="50" t="str">
        <f aca="false">C1266&amp;"|"&amp;J1266</f>
        <v>ADM-WH|1</v>
      </c>
      <c r="L1266" s="31" t="s">
        <v>3405</v>
      </c>
      <c r="M1266" s="31" t="n">
        <v>5</v>
      </c>
      <c r="N1266" s="51" t="s">
        <v>462</v>
      </c>
      <c r="O1266" s="35" t="s">
        <v>78</v>
      </c>
      <c r="P1266" s="52"/>
      <c r="Q1266" s="52"/>
      <c r="R1266" s="33" t="n">
        <f aca="false">INDEX(Épopées!$L$6:$L$59,MATCH(K1266,Épopées!$A$6:$A$59,0))</f>
        <v>46524</v>
      </c>
      <c r="S1266" s="33" t="n">
        <f aca="false">INDEX(Épopées!$M$6:$M$59,MATCH(K1266,Épopées!$A$6:$A$59,0))</f>
        <v>46540</v>
      </c>
      <c r="T1266" s="53" t="s">
        <v>463</v>
      </c>
    </row>
    <row r="1267" customFormat="false" ht="15" hidden="false" customHeight="false" outlineLevel="0" collapsed="false">
      <c r="A1267" s="31" t="s">
        <v>3406</v>
      </c>
      <c r="B1267" s="31" t="s">
        <v>404</v>
      </c>
      <c r="C1267" s="31" t="s">
        <v>432</v>
      </c>
      <c r="D1267" s="31" t="s">
        <v>433</v>
      </c>
      <c r="E1267" s="31" t="s">
        <v>3407</v>
      </c>
      <c r="F1267" s="31" t="s">
        <v>460</v>
      </c>
      <c r="G1267" s="31" t="s">
        <v>461</v>
      </c>
      <c r="H1267" s="31" t="s">
        <v>41</v>
      </c>
      <c r="I1267" s="31" t="n">
        <f aca="false">VLOOKUP(H1267,Paramètres!$A$15:$B$19,2,FALSE())</f>
        <v>1</v>
      </c>
      <c r="J1267" s="31" t="n">
        <v>1</v>
      </c>
      <c r="K1267" s="50" t="str">
        <f aca="false">C1267&amp;"|"&amp;J1267</f>
        <v>ADM-WI|1</v>
      </c>
      <c r="L1267" s="31"/>
      <c r="M1267" s="31" t="n">
        <v>5</v>
      </c>
      <c r="N1267" s="51" t="s">
        <v>462</v>
      </c>
      <c r="O1267" s="35" t="s">
        <v>78</v>
      </c>
      <c r="P1267" s="52"/>
      <c r="Q1267" s="52"/>
      <c r="R1267" s="33" t="n">
        <f aca="false">INDEX(Épopées!$L$6:$L$59,MATCH(K1267,Épopées!$A$6:$A$59,0))</f>
        <v>46541</v>
      </c>
      <c r="S1267" s="33" t="n">
        <f aca="false">INDEX(Épopées!$M$6:$M$59,MATCH(K1267,Épopées!$A$6:$A$59,0))</f>
        <v>46563</v>
      </c>
      <c r="T1267" s="53" t="s">
        <v>463</v>
      </c>
    </row>
    <row r="1268" customFormat="false" ht="15" hidden="false" customHeight="false" outlineLevel="0" collapsed="false">
      <c r="A1268" s="31" t="s">
        <v>3408</v>
      </c>
      <c r="B1268" s="31" t="s">
        <v>404</v>
      </c>
      <c r="C1268" s="31" t="s">
        <v>432</v>
      </c>
      <c r="D1268" s="31" t="s">
        <v>433</v>
      </c>
      <c r="E1268" s="31" t="s">
        <v>3409</v>
      </c>
      <c r="F1268" s="31" t="s">
        <v>1623</v>
      </c>
      <c r="G1268" s="31" t="s">
        <v>466</v>
      </c>
      <c r="H1268" s="31" t="s">
        <v>39</v>
      </c>
      <c r="I1268" s="31" t="n">
        <f aca="false">VLOOKUP(H1268,Paramètres!$A$15:$B$19,2,FALSE())</f>
        <v>0.5</v>
      </c>
      <c r="J1268" s="31" t="n">
        <v>1</v>
      </c>
      <c r="K1268" s="50" t="str">
        <f aca="false">C1268&amp;"|"&amp;J1268</f>
        <v>ADM-WI|1</v>
      </c>
      <c r="L1268" s="31" t="s">
        <v>3406</v>
      </c>
      <c r="M1268" s="31" t="n">
        <v>3</v>
      </c>
      <c r="N1268" s="51" t="s">
        <v>462</v>
      </c>
      <c r="O1268" s="35" t="s">
        <v>78</v>
      </c>
      <c r="P1268" s="52"/>
      <c r="Q1268" s="52"/>
      <c r="R1268" s="33" t="n">
        <f aca="false">INDEX(Épopées!$L$6:$L$59,MATCH(K1268,Épopées!$A$6:$A$59,0))</f>
        <v>46541</v>
      </c>
      <c r="S1268" s="33" t="n">
        <f aca="false">INDEX(Épopées!$M$6:$M$59,MATCH(K1268,Épopées!$A$6:$A$59,0))</f>
        <v>46563</v>
      </c>
      <c r="T1268" s="53" t="s">
        <v>463</v>
      </c>
    </row>
    <row r="1269" customFormat="false" ht="15" hidden="false" customHeight="false" outlineLevel="0" collapsed="false">
      <c r="A1269" s="31" t="s">
        <v>3410</v>
      </c>
      <c r="B1269" s="31" t="s">
        <v>404</v>
      </c>
      <c r="C1269" s="31" t="s">
        <v>432</v>
      </c>
      <c r="D1269" s="31" t="s">
        <v>433</v>
      </c>
      <c r="E1269" s="31" t="s">
        <v>3411</v>
      </c>
      <c r="F1269" s="31" t="s">
        <v>1623</v>
      </c>
      <c r="G1269" s="31" t="s">
        <v>461</v>
      </c>
      <c r="H1269" s="31" t="s">
        <v>43</v>
      </c>
      <c r="I1269" s="31" t="n">
        <f aca="false">VLOOKUP(H1269,Paramètres!$A$15:$B$19,2,FALSE())</f>
        <v>2</v>
      </c>
      <c r="J1269" s="31" t="n">
        <v>1</v>
      </c>
      <c r="K1269" s="50" t="str">
        <f aca="false">C1269&amp;"|"&amp;J1269</f>
        <v>ADM-WI|1</v>
      </c>
      <c r="L1269" s="31" t="s">
        <v>3408</v>
      </c>
      <c r="M1269" s="31" t="n">
        <v>1</v>
      </c>
      <c r="N1269" s="51" t="s">
        <v>462</v>
      </c>
      <c r="O1269" s="35" t="s">
        <v>78</v>
      </c>
      <c r="P1269" s="52"/>
      <c r="Q1269" s="52"/>
      <c r="R1269" s="33" t="n">
        <f aca="false">INDEX(Épopées!$L$6:$L$59,MATCH(K1269,Épopées!$A$6:$A$59,0))</f>
        <v>46541</v>
      </c>
      <c r="S1269" s="33" t="n">
        <f aca="false">INDEX(Épopées!$M$6:$M$59,MATCH(K1269,Épopées!$A$6:$A$59,0))</f>
        <v>46563</v>
      </c>
      <c r="T1269" s="53" t="s">
        <v>463</v>
      </c>
    </row>
    <row r="1270" customFormat="false" ht="15" hidden="false" customHeight="false" outlineLevel="0" collapsed="false">
      <c r="A1270" s="31" t="s">
        <v>3412</v>
      </c>
      <c r="B1270" s="31" t="s">
        <v>404</v>
      </c>
      <c r="C1270" s="31" t="s">
        <v>432</v>
      </c>
      <c r="D1270" s="31" t="s">
        <v>433</v>
      </c>
      <c r="E1270" s="31" t="s">
        <v>3413</v>
      </c>
      <c r="F1270" s="31" t="s">
        <v>1623</v>
      </c>
      <c r="G1270" s="31" t="s">
        <v>461</v>
      </c>
      <c r="H1270" s="31" t="s">
        <v>41</v>
      </c>
      <c r="I1270" s="31" t="n">
        <f aca="false">VLOOKUP(H1270,Paramètres!$A$15:$B$19,2,FALSE())</f>
        <v>1</v>
      </c>
      <c r="J1270" s="31" t="n">
        <v>1</v>
      </c>
      <c r="K1270" s="50" t="str">
        <f aca="false">C1270&amp;"|"&amp;J1270</f>
        <v>ADM-WI|1</v>
      </c>
      <c r="L1270" s="31" t="s">
        <v>3410</v>
      </c>
      <c r="M1270" s="31" t="n">
        <v>1</v>
      </c>
      <c r="N1270" s="51" t="s">
        <v>462</v>
      </c>
      <c r="O1270" s="35" t="s">
        <v>78</v>
      </c>
      <c r="P1270" s="52"/>
      <c r="Q1270" s="52"/>
      <c r="R1270" s="33" t="n">
        <f aca="false">INDEX(Épopées!$L$6:$L$59,MATCH(K1270,Épopées!$A$6:$A$59,0))</f>
        <v>46541</v>
      </c>
      <c r="S1270" s="33" t="n">
        <f aca="false">INDEX(Épopées!$M$6:$M$59,MATCH(K1270,Épopées!$A$6:$A$59,0))</f>
        <v>46563</v>
      </c>
      <c r="T1270" s="53" t="s">
        <v>463</v>
      </c>
    </row>
    <row r="1271" customFormat="false" ht="15" hidden="false" customHeight="false" outlineLevel="0" collapsed="false">
      <c r="A1271" s="31" t="s">
        <v>3414</v>
      </c>
      <c r="B1271" s="31" t="s">
        <v>404</v>
      </c>
      <c r="C1271" s="31" t="s">
        <v>432</v>
      </c>
      <c r="D1271" s="31" t="s">
        <v>433</v>
      </c>
      <c r="E1271" s="31" t="s">
        <v>3415</v>
      </c>
      <c r="F1271" s="31" t="s">
        <v>491</v>
      </c>
      <c r="G1271" s="31" t="s">
        <v>461</v>
      </c>
      <c r="H1271" s="31" t="s">
        <v>43</v>
      </c>
      <c r="I1271" s="31" t="n">
        <f aca="false">VLOOKUP(H1271,Paramètres!$A$15:$B$19,2,FALSE())</f>
        <v>2</v>
      </c>
      <c r="J1271" s="31" t="n">
        <v>1</v>
      </c>
      <c r="K1271" s="50" t="str">
        <f aca="false">C1271&amp;"|"&amp;J1271</f>
        <v>ADM-WI|1</v>
      </c>
      <c r="L1271" s="31" t="s">
        <v>3412</v>
      </c>
      <c r="M1271" s="31" t="n">
        <v>1</v>
      </c>
      <c r="N1271" s="51" t="s">
        <v>462</v>
      </c>
      <c r="O1271" s="35" t="s">
        <v>78</v>
      </c>
      <c r="P1271" s="52"/>
      <c r="Q1271" s="52"/>
      <c r="R1271" s="33" t="n">
        <f aca="false">INDEX(Épopées!$L$6:$L$59,MATCH(K1271,Épopées!$A$6:$A$59,0))</f>
        <v>46541</v>
      </c>
      <c r="S1271" s="33" t="n">
        <f aca="false">INDEX(Épopées!$M$6:$M$59,MATCH(K1271,Épopées!$A$6:$A$59,0))</f>
        <v>46563</v>
      </c>
      <c r="T1271" s="53" t="s">
        <v>463</v>
      </c>
    </row>
    <row r="1272" customFormat="false" ht="15" hidden="false" customHeight="false" outlineLevel="0" collapsed="false">
      <c r="A1272" s="31" t="s">
        <v>3416</v>
      </c>
      <c r="B1272" s="31" t="s">
        <v>404</v>
      </c>
      <c r="C1272" s="31" t="s">
        <v>432</v>
      </c>
      <c r="D1272" s="31" t="s">
        <v>433</v>
      </c>
      <c r="E1272" s="31" t="s">
        <v>3417</v>
      </c>
      <c r="F1272" s="31" t="s">
        <v>491</v>
      </c>
      <c r="G1272" s="31" t="s">
        <v>466</v>
      </c>
      <c r="H1272" s="31" t="s">
        <v>41</v>
      </c>
      <c r="I1272" s="31" t="n">
        <f aca="false">VLOOKUP(H1272,Paramètres!$A$15:$B$19,2,FALSE())</f>
        <v>1</v>
      </c>
      <c r="J1272" s="31" t="n">
        <v>1</v>
      </c>
      <c r="K1272" s="50" t="str">
        <f aca="false">C1272&amp;"|"&amp;J1272</f>
        <v>ADM-WI|1</v>
      </c>
      <c r="L1272" s="31" t="s">
        <v>3410</v>
      </c>
      <c r="M1272" s="31" t="n">
        <v>1</v>
      </c>
      <c r="N1272" s="51" t="s">
        <v>462</v>
      </c>
      <c r="O1272" s="35" t="s">
        <v>78</v>
      </c>
      <c r="P1272" s="52"/>
      <c r="Q1272" s="52"/>
      <c r="R1272" s="33" t="n">
        <f aca="false">INDEX(Épopées!$L$6:$L$59,MATCH(K1272,Épopées!$A$6:$A$59,0))</f>
        <v>46541</v>
      </c>
      <c r="S1272" s="33" t="n">
        <f aca="false">INDEX(Épopées!$M$6:$M$59,MATCH(K1272,Épopées!$A$6:$A$59,0))</f>
        <v>46563</v>
      </c>
      <c r="T1272" s="53" t="s">
        <v>463</v>
      </c>
    </row>
    <row r="1273" customFormat="false" ht="15" hidden="false" customHeight="false" outlineLevel="0" collapsed="false">
      <c r="A1273" s="31" t="s">
        <v>3418</v>
      </c>
      <c r="B1273" s="31" t="s">
        <v>404</v>
      </c>
      <c r="C1273" s="31" t="s">
        <v>432</v>
      </c>
      <c r="D1273" s="31" t="s">
        <v>433</v>
      </c>
      <c r="E1273" s="31" t="s">
        <v>3419</v>
      </c>
      <c r="F1273" s="31" t="s">
        <v>1623</v>
      </c>
      <c r="G1273" s="31" t="s">
        <v>466</v>
      </c>
      <c r="H1273" s="31" t="s">
        <v>41</v>
      </c>
      <c r="I1273" s="31" t="n">
        <f aca="false">VLOOKUP(H1273,Paramètres!$A$15:$B$19,2,FALSE())</f>
        <v>1</v>
      </c>
      <c r="J1273" s="31" t="n">
        <v>1</v>
      </c>
      <c r="K1273" s="50" t="str">
        <f aca="false">C1273&amp;"|"&amp;J1273</f>
        <v>ADM-WI|1</v>
      </c>
      <c r="L1273" s="31" t="s">
        <v>3410</v>
      </c>
      <c r="M1273" s="31" t="n">
        <v>1</v>
      </c>
      <c r="N1273" s="51" t="s">
        <v>462</v>
      </c>
      <c r="O1273" s="35" t="s">
        <v>78</v>
      </c>
      <c r="P1273" s="52"/>
      <c r="Q1273" s="52"/>
      <c r="R1273" s="33" t="n">
        <f aca="false">INDEX(Épopées!$L$6:$L$59,MATCH(K1273,Épopées!$A$6:$A$59,0))</f>
        <v>46541</v>
      </c>
      <c r="S1273" s="33" t="n">
        <f aca="false">INDEX(Épopées!$M$6:$M$59,MATCH(K1273,Épopées!$A$6:$A$59,0))</f>
        <v>46563</v>
      </c>
      <c r="T1273" s="53" t="s">
        <v>463</v>
      </c>
    </row>
    <row r="1274" customFormat="false" ht="15" hidden="false" customHeight="false" outlineLevel="0" collapsed="false">
      <c r="A1274" s="31" t="s">
        <v>3420</v>
      </c>
      <c r="B1274" s="31" t="s">
        <v>404</v>
      </c>
      <c r="C1274" s="31" t="s">
        <v>432</v>
      </c>
      <c r="D1274" s="31" t="s">
        <v>433</v>
      </c>
      <c r="E1274" s="31" t="s">
        <v>3421</v>
      </c>
      <c r="F1274" s="31" t="s">
        <v>491</v>
      </c>
      <c r="G1274" s="31" t="s">
        <v>461</v>
      </c>
      <c r="H1274" s="31" t="s">
        <v>39</v>
      </c>
      <c r="I1274" s="31" t="n">
        <f aca="false">VLOOKUP(H1274,Paramètres!$A$15:$B$19,2,FALSE())</f>
        <v>0.5</v>
      </c>
      <c r="J1274" s="31" t="n">
        <v>1</v>
      </c>
      <c r="K1274" s="50" t="str">
        <f aca="false">C1274&amp;"|"&amp;J1274</f>
        <v>ADM-WI|1</v>
      </c>
      <c r="L1274" s="31" t="s">
        <v>3418</v>
      </c>
      <c r="M1274" s="31" t="n">
        <v>1</v>
      </c>
      <c r="N1274" s="51" t="s">
        <v>462</v>
      </c>
      <c r="O1274" s="35" t="s">
        <v>78</v>
      </c>
      <c r="P1274" s="52"/>
      <c r="Q1274" s="52"/>
      <c r="R1274" s="33" t="n">
        <f aca="false">INDEX(Épopées!$L$6:$L$59,MATCH(K1274,Épopées!$A$6:$A$59,0))</f>
        <v>46541</v>
      </c>
      <c r="S1274" s="33" t="n">
        <f aca="false">INDEX(Épopées!$M$6:$M$59,MATCH(K1274,Épopées!$A$6:$A$59,0))</f>
        <v>46563</v>
      </c>
      <c r="T1274" s="53" t="s">
        <v>463</v>
      </c>
    </row>
    <row r="1275" customFormat="false" ht="15" hidden="false" customHeight="false" outlineLevel="0" collapsed="false">
      <c r="A1275" s="31" t="s">
        <v>3422</v>
      </c>
      <c r="B1275" s="31" t="s">
        <v>404</v>
      </c>
      <c r="C1275" s="31" t="s">
        <v>432</v>
      </c>
      <c r="D1275" s="31" t="s">
        <v>433</v>
      </c>
      <c r="E1275" s="31" t="s">
        <v>3423</v>
      </c>
      <c r="F1275" s="31" t="s">
        <v>1623</v>
      </c>
      <c r="G1275" s="31" t="s">
        <v>461</v>
      </c>
      <c r="H1275" s="31" t="s">
        <v>41</v>
      </c>
      <c r="I1275" s="31" t="n">
        <f aca="false">VLOOKUP(H1275,Paramètres!$A$15:$B$19,2,FALSE())</f>
        <v>1</v>
      </c>
      <c r="J1275" s="31" t="n">
        <v>1</v>
      </c>
      <c r="K1275" s="50" t="str">
        <f aca="false">C1275&amp;"|"&amp;J1275</f>
        <v>ADM-WI|1</v>
      </c>
      <c r="L1275" s="31" t="s">
        <v>3424</v>
      </c>
      <c r="M1275" s="31" t="n">
        <v>1</v>
      </c>
      <c r="N1275" s="51" t="s">
        <v>462</v>
      </c>
      <c r="O1275" s="35" t="s">
        <v>78</v>
      </c>
      <c r="P1275" s="52"/>
      <c r="Q1275" s="52"/>
      <c r="R1275" s="33" t="n">
        <f aca="false">INDEX(Épopées!$L$6:$L$59,MATCH(K1275,Épopées!$A$6:$A$59,0))</f>
        <v>46541</v>
      </c>
      <c r="S1275" s="33" t="n">
        <f aca="false">INDEX(Épopées!$M$6:$M$59,MATCH(K1275,Épopées!$A$6:$A$59,0))</f>
        <v>46563</v>
      </c>
      <c r="T1275" s="53" t="s">
        <v>463</v>
      </c>
    </row>
    <row r="1276" customFormat="false" ht="15" hidden="false" customHeight="false" outlineLevel="0" collapsed="false">
      <c r="A1276" s="31" t="s">
        <v>3425</v>
      </c>
      <c r="B1276" s="31" t="s">
        <v>404</v>
      </c>
      <c r="C1276" s="31" t="s">
        <v>432</v>
      </c>
      <c r="D1276" s="31" t="s">
        <v>433</v>
      </c>
      <c r="E1276" s="31" t="s">
        <v>3426</v>
      </c>
      <c r="F1276" s="31" t="s">
        <v>1623</v>
      </c>
      <c r="G1276" s="31" t="s">
        <v>461</v>
      </c>
      <c r="H1276" s="31" t="s">
        <v>41</v>
      </c>
      <c r="I1276" s="31" t="n">
        <f aca="false">VLOOKUP(H1276,Paramètres!$A$15:$B$19,2,FALSE())</f>
        <v>1</v>
      </c>
      <c r="J1276" s="31" t="n">
        <v>1</v>
      </c>
      <c r="K1276" s="50" t="str">
        <f aca="false">C1276&amp;"|"&amp;J1276</f>
        <v>ADM-WI|1</v>
      </c>
      <c r="L1276" s="31" t="s">
        <v>3408</v>
      </c>
      <c r="M1276" s="31" t="n">
        <v>1</v>
      </c>
      <c r="N1276" s="51" t="s">
        <v>462</v>
      </c>
      <c r="O1276" s="35" t="s">
        <v>78</v>
      </c>
      <c r="P1276" s="52"/>
      <c r="Q1276" s="52"/>
      <c r="R1276" s="33" t="n">
        <f aca="false">INDEX(Épopées!$L$6:$L$59,MATCH(K1276,Épopées!$A$6:$A$59,0))</f>
        <v>46541</v>
      </c>
      <c r="S1276" s="33" t="n">
        <f aca="false">INDEX(Épopées!$M$6:$M$59,MATCH(K1276,Épopées!$A$6:$A$59,0))</f>
        <v>46563</v>
      </c>
      <c r="T1276" s="53" t="s">
        <v>463</v>
      </c>
    </row>
    <row r="1277" customFormat="false" ht="15" hidden="false" customHeight="false" outlineLevel="0" collapsed="false">
      <c r="A1277" s="31" t="s">
        <v>3427</v>
      </c>
      <c r="B1277" s="31" t="s">
        <v>404</v>
      </c>
      <c r="C1277" s="31" t="s">
        <v>432</v>
      </c>
      <c r="D1277" s="31" t="s">
        <v>433</v>
      </c>
      <c r="E1277" s="31" t="s">
        <v>3428</v>
      </c>
      <c r="F1277" s="31" t="s">
        <v>491</v>
      </c>
      <c r="G1277" s="31" t="s">
        <v>466</v>
      </c>
      <c r="H1277" s="31" t="s">
        <v>41</v>
      </c>
      <c r="I1277" s="31" t="n">
        <f aca="false">VLOOKUP(H1277,Paramètres!$A$15:$B$19,2,FALSE())</f>
        <v>1</v>
      </c>
      <c r="J1277" s="31" t="n">
        <v>1</v>
      </c>
      <c r="K1277" s="50" t="str">
        <f aca="false">C1277&amp;"|"&amp;J1277</f>
        <v>ADM-WI|1</v>
      </c>
      <c r="L1277" s="31" t="s">
        <v>3425</v>
      </c>
      <c r="M1277" s="31" t="n">
        <v>1</v>
      </c>
      <c r="N1277" s="51" t="s">
        <v>462</v>
      </c>
      <c r="O1277" s="35" t="s">
        <v>78</v>
      </c>
      <c r="P1277" s="52"/>
      <c r="Q1277" s="52"/>
      <c r="R1277" s="33" t="n">
        <f aca="false">INDEX(Épopées!$L$6:$L$59,MATCH(K1277,Épopées!$A$6:$A$59,0))</f>
        <v>46541</v>
      </c>
      <c r="S1277" s="33" t="n">
        <f aca="false">INDEX(Épopées!$M$6:$M$59,MATCH(K1277,Épopées!$A$6:$A$59,0))</f>
        <v>46563</v>
      </c>
      <c r="T1277" s="53" t="s">
        <v>463</v>
      </c>
    </row>
    <row r="1278" customFormat="false" ht="15" hidden="false" customHeight="false" outlineLevel="0" collapsed="false">
      <c r="A1278" s="31" t="s">
        <v>3429</v>
      </c>
      <c r="B1278" s="31" t="s">
        <v>404</v>
      </c>
      <c r="C1278" s="31" t="s">
        <v>432</v>
      </c>
      <c r="D1278" s="31" t="s">
        <v>433</v>
      </c>
      <c r="E1278" s="31" t="s">
        <v>3430</v>
      </c>
      <c r="F1278" s="31" t="s">
        <v>1623</v>
      </c>
      <c r="G1278" s="31" t="s">
        <v>461</v>
      </c>
      <c r="H1278" s="31" t="s">
        <v>43</v>
      </c>
      <c r="I1278" s="31" t="n">
        <f aca="false">VLOOKUP(H1278,Paramètres!$A$15:$B$19,2,FALSE())</f>
        <v>2</v>
      </c>
      <c r="J1278" s="31" t="n">
        <v>1</v>
      </c>
      <c r="K1278" s="50" t="str">
        <f aca="false">C1278&amp;"|"&amp;J1278</f>
        <v>ADM-WI|1</v>
      </c>
      <c r="L1278" s="31" t="s">
        <v>3408</v>
      </c>
      <c r="M1278" s="31" t="n">
        <v>1</v>
      </c>
      <c r="N1278" s="51" t="s">
        <v>462</v>
      </c>
      <c r="O1278" s="35" t="s">
        <v>78</v>
      </c>
      <c r="P1278" s="52"/>
      <c r="Q1278" s="52"/>
      <c r="R1278" s="33" t="n">
        <f aca="false">INDEX(Épopées!$L$6:$L$59,MATCH(K1278,Épopées!$A$6:$A$59,0))</f>
        <v>46541</v>
      </c>
      <c r="S1278" s="33" t="n">
        <f aca="false">INDEX(Épopées!$M$6:$M$59,MATCH(K1278,Épopées!$A$6:$A$59,0))</f>
        <v>46563</v>
      </c>
      <c r="T1278" s="53" t="s">
        <v>463</v>
      </c>
    </row>
    <row r="1279" customFormat="false" ht="15" hidden="false" customHeight="false" outlineLevel="0" collapsed="false">
      <c r="A1279" s="31" t="s">
        <v>3431</v>
      </c>
      <c r="B1279" s="31" t="s">
        <v>404</v>
      </c>
      <c r="C1279" s="31" t="s">
        <v>432</v>
      </c>
      <c r="D1279" s="31" t="s">
        <v>433</v>
      </c>
      <c r="E1279" s="31" t="s">
        <v>3432</v>
      </c>
      <c r="F1279" s="31" t="s">
        <v>491</v>
      </c>
      <c r="G1279" s="31" t="s">
        <v>612</v>
      </c>
      <c r="H1279" s="31" t="s">
        <v>39</v>
      </c>
      <c r="I1279" s="31" t="n">
        <f aca="false">VLOOKUP(H1279,Paramètres!$A$15:$B$19,2,FALSE())</f>
        <v>0.5</v>
      </c>
      <c r="J1279" s="31" t="n">
        <v>1</v>
      </c>
      <c r="K1279" s="50" t="str">
        <f aca="false">C1279&amp;"|"&amp;J1279</f>
        <v>ADM-WI|1</v>
      </c>
      <c r="L1279" s="31" t="s">
        <v>3429</v>
      </c>
      <c r="M1279" s="31" t="n">
        <v>1</v>
      </c>
      <c r="N1279" s="51" t="s">
        <v>462</v>
      </c>
      <c r="O1279" s="35" t="s">
        <v>78</v>
      </c>
      <c r="P1279" s="52"/>
      <c r="Q1279" s="52"/>
      <c r="R1279" s="33" t="n">
        <f aca="false">INDEX(Épopées!$L$6:$L$59,MATCH(K1279,Épopées!$A$6:$A$59,0))</f>
        <v>46541</v>
      </c>
      <c r="S1279" s="33" t="n">
        <f aca="false">INDEX(Épopées!$M$6:$M$59,MATCH(K1279,Épopées!$A$6:$A$59,0))</f>
        <v>46563</v>
      </c>
      <c r="T1279" s="53" t="s">
        <v>463</v>
      </c>
    </row>
    <row r="1280" customFormat="false" ht="15" hidden="false" customHeight="false" outlineLevel="0" collapsed="false">
      <c r="A1280" s="31" t="s">
        <v>3433</v>
      </c>
      <c r="B1280" s="31" t="s">
        <v>404</v>
      </c>
      <c r="C1280" s="31" t="s">
        <v>432</v>
      </c>
      <c r="D1280" s="31" t="s">
        <v>433</v>
      </c>
      <c r="E1280" s="31" t="s">
        <v>3434</v>
      </c>
      <c r="F1280" s="31" t="s">
        <v>1623</v>
      </c>
      <c r="G1280" s="31" t="s">
        <v>461</v>
      </c>
      <c r="H1280" s="31" t="s">
        <v>43</v>
      </c>
      <c r="I1280" s="31" t="n">
        <f aca="false">VLOOKUP(H1280,Paramètres!$A$15:$B$19,2,FALSE())</f>
        <v>2</v>
      </c>
      <c r="J1280" s="31" t="n">
        <v>1</v>
      </c>
      <c r="K1280" s="50" t="str">
        <f aca="false">C1280&amp;"|"&amp;J1280</f>
        <v>ADM-WI|1</v>
      </c>
      <c r="L1280" s="31" t="s">
        <v>3406</v>
      </c>
      <c r="M1280" s="31" t="n">
        <v>1</v>
      </c>
      <c r="N1280" s="51" t="s">
        <v>462</v>
      </c>
      <c r="O1280" s="35" t="s">
        <v>78</v>
      </c>
      <c r="P1280" s="52"/>
      <c r="Q1280" s="52"/>
      <c r="R1280" s="33" t="n">
        <f aca="false">INDEX(Épopées!$L$6:$L$59,MATCH(K1280,Épopées!$A$6:$A$59,0))</f>
        <v>46541</v>
      </c>
      <c r="S1280" s="33" t="n">
        <f aca="false">INDEX(Épopées!$M$6:$M$59,MATCH(K1280,Épopées!$A$6:$A$59,0))</f>
        <v>46563</v>
      </c>
      <c r="T1280" s="53" t="s">
        <v>463</v>
      </c>
    </row>
    <row r="1281" customFormat="false" ht="15" hidden="false" customHeight="false" outlineLevel="0" collapsed="false">
      <c r="A1281" s="31" t="s">
        <v>3435</v>
      </c>
      <c r="B1281" s="31" t="s">
        <v>404</v>
      </c>
      <c r="C1281" s="31" t="s">
        <v>432</v>
      </c>
      <c r="D1281" s="31" t="s">
        <v>433</v>
      </c>
      <c r="E1281" s="31" t="s">
        <v>3436</v>
      </c>
      <c r="F1281" s="31" t="s">
        <v>491</v>
      </c>
      <c r="G1281" s="31" t="s">
        <v>466</v>
      </c>
      <c r="H1281" s="31" t="s">
        <v>41</v>
      </c>
      <c r="I1281" s="31" t="n">
        <f aca="false">VLOOKUP(H1281,Paramètres!$A$15:$B$19,2,FALSE())</f>
        <v>1</v>
      </c>
      <c r="J1281" s="31" t="n">
        <v>1</v>
      </c>
      <c r="K1281" s="50" t="str">
        <f aca="false">C1281&amp;"|"&amp;J1281</f>
        <v>ADM-WI|1</v>
      </c>
      <c r="L1281" s="31" t="s">
        <v>3433</v>
      </c>
      <c r="M1281" s="31" t="n">
        <v>1</v>
      </c>
      <c r="N1281" s="51" t="s">
        <v>462</v>
      </c>
      <c r="O1281" s="35" t="s">
        <v>78</v>
      </c>
      <c r="P1281" s="52"/>
      <c r="Q1281" s="52"/>
      <c r="R1281" s="33" t="n">
        <f aca="false">INDEX(Épopées!$L$6:$L$59,MATCH(K1281,Épopées!$A$6:$A$59,0))</f>
        <v>46541</v>
      </c>
      <c r="S1281" s="33" t="n">
        <f aca="false">INDEX(Épopées!$M$6:$M$59,MATCH(K1281,Épopées!$A$6:$A$59,0))</f>
        <v>46563</v>
      </c>
      <c r="T1281" s="53" t="s">
        <v>463</v>
      </c>
    </row>
    <row r="1282" customFormat="false" ht="15" hidden="false" customHeight="false" outlineLevel="0" collapsed="false">
      <c r="A1282" s="31" t="s">
        <v>3437</v>
      </c>
      <c r="B1282" s="31" t="s">
        <v>404</v>
      </c>
      <c r="C1282" s="31" t="s">
        <v>432</v>
      </c>
      <c r="D1282" s="31" t="s">
        <v>433</v>
      </c>
      <c r="E1282" s="31" t="s">
        <v>3438</v>
      </c>
      <c r="F1282" s="31" t="s">
        <v>491</v>
      </c>
      <c r="G1282" s="31" t="s">
        <v>466</v>
      </c>
      <c r="H1282" s="31" t="s">
        <v>41</v>
      </c>
      <c r="I1282" s="31" t="n">
        <f aca="false">VLOOKUP(H1282,Paramètres!$A$15:$B$19,2,FALSE())</f>
        <v>1</v>
      </c>
      <c r="J1282" s="31" t="n">
        <v>1</v>
      </c>
      <c r="K1282" s="50" t="str">
        <f aca="false">C1282&amp;"|"&amp;J1282</f>
        <v>ADM-WI|1</v>
      </c>
      <c r="L1282" s="31" t="s">
        <v>3433</v>
      </c>
      <c r="M1282" s="31" t="n">
        <v>1</v>
      </c>
      <c r="N1282" s="51" t="s">
        <v>462</v>
      </c>
      <c r="O1282" s="35" t="s">
        <v>78</v>
      </c>
      <c r="P1282" s="52"/>
      <c r="Q1282" s="52"/>
      <c r="R1282" s="33" t="n">
        <f aca="false">INDEX(Épopées!$L$6:$L$59,MATCH(K1282,Épopées!$A$6:$A$59,0))</f>
        <v>46541</v>
      </c>
      <c r="S1282" s="33" t="n">
        <f aca="false">INDEX(Épopées!$M$6:$M$59,MATCH(K1282,Épopées!$A$6:$A$59,0))</f>
        <v>46563</v>
      </c>
      <c r="T1282" s="53" t="s">
        <v>463</v>
      </c>
    </row>
    <row r="1283" customFormat="false" ht="15" hidden="false" customHeight="false" outlineLevel="0" collapsed="false">
      <c r="A1283" s="31" t="s">
        <v>3439</v>
      </c>
      <c r="B1283" s="31" t="s">
        <v>404</v>
      </c>
      <c r="C1283" s="31" t="s">
        <v>432</v>
      </c>
      <c r="D1283" s="31" t="s">
        <v>433</v>
      </c>
      <c r="E1283" s="31" t="s">
        <v>3440</v>
      </c>
      <c r="F1283" s="31" t="s">
        <v>1623</v>
      </c>
      <c r="G1283" s="31" t="s">
        <v>461</v>
      </c>
      <c r="H1283" s="31" t="s">
        <v>41</v>
      </c>
      <c r="I1283" s="31" t="n">
        <f aca="false">VLOOKUP(H1283,Paramètres!$A$15:$B$19,2,FALSE())</f>
        <v>1</v>
      </c>
      <c r="J1283" s="31" t="n">
        <v>1</v>
      </c>
      <c r="K1283" s="50" t="str">
        <f aca="false">C1283&amp;"|"&amp;J1283</f>
        <v>ADM-WI|1</v>
      </c>
      <c r="L1283" s="31" t="s">
        <v>3441</v>
      </c>
      <c r="M1283" s="31" t="n">
        <v>1</v>
      </c>
      <c r="N1283" s="51" t="s">
        <v>462</v>
      </c>
      <c r="O1283" s="35" t="s">
        <v>78</v>
      </c>
      <c r="P1283" s="52"/>
      <c r="Q1283" s="52"/>
      <c r="R1283" s="33" t="n">
        <f aca="false">INDEX(Épopées!$L$6:$L$59,MATCH(K1283,Épopées!$A$6:$A$59,0))</f>
        <v>46541</v>
      </c>
      <c r="S1283" s="33" t="n">
        <f aca="false">INDEX(Épopées!$M$6:$M$59,MATCH(K1283,Épopées!$A$6:$A$59,0))</f>
        <v>46563</v>
      </c>
      <c r="T1283" s="53" t="s">
        <v>463</v>
      </c>
    </row>
    <row r="1284" customFormat="false" ht="15" hidden="false" customHeight="false" outlineLevel="0" collapsed="false">
      <c r="A1284" s="31" t="s">
        <v>3442</v>
      </c>
      <c r="B1284" s="31" t="s">
        <v>404</v>
      </c>
      <c r="C1284" s="31" t="s">
        <v>432</v>
      </c>
      <c r="D1284" s="31" t="s">
        <v>433</v>
      </c>
      <c r="E1284" s="31" t="s">
        <v>3443</v>
      </c>
      <c r="F1284" s="31" t="s">
        <v>1623</v>
      </c>
      <c r="G1284" s="31" t="s">
        <v>466</v>
      </c>
      <c r="H1284" s="31" t="s">
        <v>41</v>
      </c>
      <c r="I1284" s="31" t="n">
        <f aca="false">VLOOKUP(H1284,Paramètres!$A$15:$B$19,2,FALSE())</f>
        <v>1</v>
      </c>
      <c r="J1284" s="31" t="n">
        <v>1</v>
      </c>
      <c r="K1284" s="50" t="str">
        <f aca="false">C1284&amp;"|"&amp;J1284</f>
        <v>ADM-WI|1</v>
      </c>
      <c r="L1284" s="31" t="s">
        <v>3408</v>
      </c>
      <c r="M1284" s="31" t="n">
        <v>1</v>
      </c>
      <c r="N1284" s="51" t="s">
        <v>462</v>
      </c>
      <c r="O1284" s="35" t="s">
        <v>78</v>
      </c>
      <c r="P1284" s="52"/>
      <c r="Q1284" s="52"/>
      <c r="R1284" s="33" t="n">
        <f aca="false">INDEX(Épopées!$L$6:$L$59,MATCH(K1284,Épopées!$A$6:$A$59,0))</f>
        <v>46541</v>
      </c>
      <c r="S1284" s="33" t="n">
        <f aca="false">INDEX(Épopées!$M$6:$M$59,MATCH(K1284,Épopées!$A$6:$A$59,0))</f>
        <v>46563</v>
      </c>
      <c r="T1284" s="53" t="s">
        <v>463</v>
      </c>
    </row>
    <row r="1285" customFormat="false" ht="15" hidden="false" customHeight="false" outlineLevel="0" collapsed="false">
      <c r="A1285" s="31" t="s">
        <v>3444</v>
      </c>
      <c r="B1285" s="31" t="s">
        <v>404</v>
      </c>
      <c r="C1285" s="31" t="s">
        <v>432</v>
      </c>
      <c r="D1285" s="31" t="s">
        <v>433</v>
      </c>
      <c r="E1285" s="31" t="s">
        <v>3445</v>
      </c>
      <c r="F1285" s="31" t="s">
        <v>491</v>
      </c>
      <c r="G1285" s="31" t="s">
        <v>466</v>
      </c>
      <c r="H1285" s="31" t="s">
        <v>41</v>
      </c>
      <c r="I1285" s="31" t="n">
        <f aca="false">VLOOKUP(H1285,Paramètres!$A$15:$B$19,2,FALSE())</f>
        <v>1</v>
      </c>
      <c r="J1285" s="31" t="n">
        <v>1</v>
      </c>
      <c r="K1285" s="50" t="str">
        <f aca="false">C1285&amp;"|"&amp;J1285</f>
        <v>ADM-WI|1</v>
      </c>
      <c r="L1285" s="31" t="s">
        <v>3442</v>
      </c>
      <c r="M1285" s="31" t="n">
        <v>1</v>
      </c>
      <c r="N1285" s="51" t="s">
        <v>462</v>
      </c>
      <c r="O1285" s="35" t="s">
        <v>78</v>
      </c>
      <c r="P1285" s="52"/>
      <c r="Q1285" s="52"/>
      <c r="R1285" s="33" t="n">
        <f aca="false">INDEX(Épopées!$L$6:$L$59,MATCH(K1285,Épopées!$A$6:$A$59,0))</f>
        <v>46541</v>
      </c>
      <c r="S1285" s="33" t="n">
        <f aca="false">INDEX(Épopées!$M$6:$M$59,MATCH(K1285,Épopées!$A$6:$A$59,0))</f>
        <v>46563</v>
      </c>
      <c r="T1285" s="53" t="s">
        <v>463</v>
      </c>
    </row>
    <row r="1286" customFormat="false" ht="15" hidden="false" customHeight="false" outlineLevel="0" collapsed="false">
      <c r="A1286" s="31" t="s">
        <v>3446</v>
      </c>
      <c r="B1286" s="31" t="s">
        <v>404</v>
      </c>
      <c r="C1286" s="31" t="s">
        <v>432</v>
      </c>
      <c r="D1286" s="31" t="s">
        <v>433</v>
      </c>
      <c r="E1286" s="31" t="s">
        <v>3447</v>
      </c>
      <c r="F1286" s="31" t="s">
        <v>469</v>
      </c>
      <c r="G1286" s="31" t="s">
        <v>461</v>
      </c>
      <c r="H1286" s="31" t="s">
        <v>41</v>
      </c>
      <c r="I1286" s="31" t="n">
        <f aca="false">VLOOKUP(H1286,Paramètres!$A$15:$B$19,2,FALSE())</f>
        <v>1</v>
      </c>
      <c r="J1286" s="31" t="n">
        <v>1</v>
      </c>
      <c r="K1286" s="50" t="str">
        <f aca="false">C1286&amp;"|"&amp;J1286</f>
        <v>ADM-WI|1</v>
      </c>
      <c r="L1286" s="31" t="s">
        <v>3448</v>
      </c>
      <c r="M1286" s="31" t="n">
        <v>5</v>
      </c>
      <c r="N1286" s="51" t="s">
        <v>462</v>
      </c>
      <c r="O1286" s="35" t="s">
        <v>78</v>
      </c>
      <c r="P1286" s="52"/>
      <c r="Q1286" s="52"/>
      <c r="R1286" s="33" t="n">
        <f aca="false">INDEX(Épopées!$L$6:$L$59,MATCH(K1286,Épopées!$A$6:$A$59,0))</f>
        <v>46541</v>
      </c>
      <c r="S1286" s="33" t="n">
        <f aca="false">INDEX(Épopées!$M$6:$M$59,MATCH(K1286,Épopées!$A$6:$A$59,0))</f>
        <v>46563</v>
      </c>
      <c r="T1286" s="53" t="s">
        <v>463</v>
      </c>
    </row>
    <row r="1287" customFormat="false" ht="15" hidden="false" customHeight="false" outlineLevel="0" collapsed="false">
      <c r="A1287" s="31" t="s">
        <v>3449</v>
      </c>
      <c r="B1287" s="31" t="s">
        <v>404</v>
      </c>
      <c r="C1287" s="31" t="s">
        <v>432</v>
      </c>
      <c r="D1287" s="31" t="s">
        <v>433</v>
      </c>
      <c r="E1287" s="31" t="s">
        <v>3450</v>
      </c>
      <c r="F1287" s="31" t="s">
        <v>472</v>
      </c>
      <c r="G1287" s="31" t="s">
        <v>466</v>
      </c>
      <c r="H1287" s="31" t="s">
        <v>41</v>
      </c>
      <c r="I1287" s="31" t="n">
        <f aca="false">VLOOKUP(H1287,Paramètres!$A$15:$B$19,2,FALSE())</f>
        <v>1</v>
      </c>
      <c r="J1287" s="31" t="n">
        <v>1</v>
      </c>
      <c r="K1287" s="50" t="str">
        <f aca="false">C1287&amp;"|"&amp;J1287</f>
        <v>ADM-WI|1</v>
      </c>
      <c r="L1287" s="31" t="s">
        <v>3451</v>
      </c>
      <c r="M1287" s="31" t="n">
        <v>6</v>
      </c>
      <c r="N1287" s="51" t="s">
        <v>462</v>
      </c>
      <c r="O1287" s="35" t="s">
        <v>78</v>
      </c>
      <c r="P1287" s="52"/>
      <c r="Q1287" s="52"/>
      <c r="R1287" s="33" t="n">
        <f aca="false">INDEX(Épopées!$L$6:$L$59,MATCH(K1287,Épopées!$A$6:$A$59,0))</f>
        <v>46541</v>
      </c>
      <c r="S1287" s="33" t="n">
        <f aca="false">INDEX(Épopées!$M$6:$M$59,MATCH(K1287,Épopées!$A$6:$A$59,0))</f>
        <v>46563</v>
      </c>
      <c r="T1287" s="53" t="s">
        <v>463</v>
      </c>
    </row>
    <row r="1288" customFormat="false" ht="15" hidden="false" customHeight="false" outlineLevel="0" collapsed="false">
      <c r="A1288" s="31" t="s">
        <v>3452</v>
      </c>
      <c r="B1288" s="31" t="s">
        <v>404</v>
      </c>
      <c r="C1288" s="31" t="s">
        <v>213</v>
      </c>
      <c r="D1288" s="31" t="s">
        <v>435</v>
      </c>
      <c r="E1288" s="31" t="s">
        <v>3453</v>
      </c>
      <c r="F1288" s="31" t="s">
        <v>460</v>
      </c>
      <c r="G1288" s="31" t="s">
        <v>461</v>
      </c>
      <c r="H1288" s="31" t="s">
        <v>41</v>
      </c>
      <c r="I1288" s="31" t="n">
        <f aca="false">VLOOKUP(H1288,Paramètres!$A$15:$B$19,2,FALSE())</f>
        <v>1</v>
      </c>
      <c r="J1288" s="31" t="n">
        <v>1</v>
      </c>
      <c r="K1288" s="50" t="str">
        <f aca="false">C1288&amp;"|"&amp;J1288</f>
        <v>ADM-WJ|1</v>
      </c>
      <c r="L1288" s="31"/>
      <c r="M1288" s="31" t="n">
        <v>2</v>
      </c>
      <c r="N1288" s="51" t="s">
        <v>462</v>
      </c>
      <c r="O1288" s="35" t="s">
        <v>78</v>
      </c>
      <c r="P1288" s="52"/>
      <c r="Q1288" s="52"/>
      <c r="R1288" s="33" t="n">
        <f aca="false">INDEX(Épopées!$L$6:$L$59,MATCH(K1288,Épopées!$A$6:$A$59,0))</f>
        <v>46566</v>
      </c>
      <c r="S1288" s="33" t="n">
        <f aca="false">INDEX(Épopées!$M$6:$M$59,MATCH(K1288,Épopées!$A$6:$A$59,0))</f>
        <v>46573</v>
      </c>
      <c r="T1288" s="53" t="s">
        <v>463</v>
      </c>
    </row>
    <row r="1289" customFormat="false" ht="15" hidden="false" customHeight="false" outlineLevel="0" collapsed="false">
      <c r="A1289" s="31" t="s">
        <v>3454</v>
      </c>
      <c r="B1289" s="31" t="s">
        <v>404</v>
      </c>
      <c r="C1289" s="31" t="s">
        <v>213</v>
      </c>
      <c r="D1289" s="31" t="s">
        <v>435</v>
      </c>
      <c r="E1289" s="31" t="s">
        <v>3455</v>
      </c>
      <c r="F1289" s="31" t="s">
        <v>1623</v>
      </c>
      <c r="G1289" s="31" t="s">
        <v>461</v>
      </c>
      <c r="H1289" s="31" t="s">
        <v>43</v>
      </c>
      <c r="I1289" s="31" t="n">
        <f aca="false">VLOOKUP(H1289,Paramètres!$A$15:$B$19,2,FALSE())</f>
        <v>2</v>
      </c>
      <c r="J1289" s="31" t="n">
        <v>1</v>
      </c>
      <c r="K1289" s="50" t="str">
        <f aca="false">C1289&amp;"|"&amp;J1289</f>
        <v>ADM-WJ|1</v>
      </c>
      <c r="L1289" s="31" t="s">
        <v>3452</v>
      </c>
      <c r="M1289" s="31" t="n">
        <v>1</v>
      </c>
      <c r="N1289" s="51" t="s">
        <v>462</v>
      </c>
      <c r="O1289" s="35" t="s">
        <v>78</v>
      </c>
      <c r="P1289" s="52"/>
      <c r="Q1289" s="52"/>
      <c r="R1289" s="33" t="n">
        <f aca="false">INDEX(Épopées!$L$6:$L$59,MATCH(K1289,Épopées!$A$6:$A$59,0))</f>
        <v>46566</v>
      </c>
      <c r="S1289" s="33" t="n">
        <f aca="false">INDEX(Épopées!$M$6:$M$59,MATCH(K1289,Épopées!$A$6:$A$59,0))</f>
        <v>46573</v>
      </c>
      <c r="T1289" s="53" t="s">
        <v>463</v>
      </c>
    </row>
    <row r="1290" customFormat="false" ht="15" hidden="false" customHeight="false" outlineLevel="0" collapsed="false">
      <c r="A1290" s="31" t="s">
        <v>3456</v>
      </c>
      <c r="B1290" s="31" t="s">
        <v>404</v>
      </c>
      <c r="C1290" s="31" t="s">
        <v>213</v>
      </c>
      <c r="D1290" s="31" t="s">
        <v>435</v>
      </c>
      <c r="E1290" s="31" t="s">
        <v>3457</v>
      </c>
      <c r="F1290" s="31" t="s">
        <v>1623</v>
      </c>
      <c r="G1290" s="31" t="s">
        <v>461</v>
      </c>
      <c r="H1290" s="31" t="s">
        <v>43</v>
      </c>
      <c r="I1290" s="31" t="n">
        <f aca="false">VLOOKUP(H1290,Paramètres!$A$15:$B$19,2,FALSE())</f>
        <v>2</v>
      </c>
      <c r="J1290" s="31" t="n">
        <v>1</v>
      </c>
      <c r="K1290" s="50" t="str">
        <f aca="false">C1290&amp;"|"&amp;J1290</f>
        <v>ADM-WJ|1</v>
      </c>
      <c r="L1290" s="31" t="s">
        <v>3452</v>
      </c>
      <c r="M1290" s="31" t="n">
        <v>1</v>
      </c>
      <c r="N1290" s="51" t="s">
        <v>462</v>
      </c>
      <c r="O1290" s="35" t="s">
        <v>78</v>
      </c>
      <c r="P1290" s="52"/>
      <c r="Q1290" s="52"/>
      <c r="R1290" s="33" t="n">
        <f aca="false">INDEX(Épopées!$L$6:$L$59,MATCH(K1290,Épopées!$A$6:$A$59,0))</f>
        <v>46566</v>
      </c>
      <c r="S1290" s="33" t="n">
        <f aca="false">INDEX(Épopées!$M$6:$M$59,MATCH(K1290,Épopées!$A$6:$A$59,0))</f>
        <v>46573</v>
      </c>
      <c r="T1290" s="53" t="s">
        <v>463</v>
      </c>
    </row>
    <row r="1291" customFormat="false" ht="15" hidden="false" customHeight="false" outlineLevel="0" collapsed="false">
      <c r="A1291" s="31" t="s">
        <v>3458</v>
      </c>
      <c r="B1291" s="31" t="s">
        <v>404</v>
      </c>
      <c r="C1291" s="31" t="s">
        <v>213</v>
      </c>
      <c r="D1291" s="31" t="s">
        <v>435</v>
      </c>
      <c r="E1291" s="31" t="s">
        <v>3459</v>
      </c>
      <c r="F1291" s="31" t="s">
        <v>491</v>
      </c>
      <c r="G1291" s="31" t="s">
        <v>461</v>
      </c>
      <c r="H1291" s="31" t="s">
        <v>43</v>
      </c>
      <c r="I1291" s="31" t="n">
        <f aca="false">VLOOKUP(H1291,Paramètres!$A$15:$B$19,2,FALSE())</f>
        <v>2</v>
      </c>
      <c r="J1291" s="31" t="n">
        <v>1</v>
      </c>
      <c r="K1291" s="50" t="str">
        <f aca="false">C1291&amp;"|"&amp;J1291</f>
        <v>ADM-WJ|1</v>
      </c>
      <c r="L1291" s="31" t="s">
        <v>3456</v>
      </c>
      <c r="M1291" s="31" t="n">
        <v>2</v>
      </c>
      <c r="N1291" s="51" t="s">
        <v>462</v>
      </c>
      <c r="O1291" s="35" t="s">
        <v>78</v>
      </c>
      <c r="P1291" s="52"/>
      <c r="Q1291" s="52"/>
      <c r="R1291" s="33" t="n">
        <f aca="false">INDEX(Épopées!$L$6:$L$59,MATCH(K1291,Épopées!$A$6:$A$59,0))</f>
        <v>46566</v>
      </c>
      <c r="S1291" s="33" t="n">
        <f aca="false">INDEX(Épopées!$M$6:$M$59,MATCH(K1291,Épopées!$A$6:$A$59,0))</f>
        <v>46573</v>
      </c>
      <c r="T1291" s="53" t="s">
        <v>463</v>
      </c>
    </row>
    <row r="1292" customFormat="false" ht="15" hidden="false" customHeight="false" outlineLevel="0" collapsed="false">
      <c r="A1292" s="31" t="s">
        <v>3460</v>
      </c>
      <c r="B1292" s="31" t="s">
        <v>404</v>
      </c>
      <c r="C1292" s="31" t="s">
        <v>437</v>
      </c>
      <c r="D1292" s="31" t="s">
        <v>438</v>
      </c>
      <c r="E1292" s="31" t="s">
        <v>3461</v>
      </c>
      <c r="F1292" s="31" t="s">
        <v>486</v>
      </c>
      <c r="G1292" s="31" t="s">
        <v>461</v>
      </c>
      <c r="H1292" s="31" t="s">
        <v>41</v>
      </c>
      <c r="I1292" s="31" t="n">
        <f aca="false">VLOOKUP(H1292,Paramètres!$A$15:$B$19,2,FALSE())</f>
        <v>1</v>
      </c>
      <c r="J1292" s="31" t="n">
        <v>2</v>
      </c>
      <c r="K1292" s="50" t="str">
        <f aca="false">C1292&amp;"|"&amp;J1292</f>
        <v>ADM-WG|2</v>
      </c>
      <c r="L1292" s="31"/>
      <c r="M1292" s="31" t="n">
        <v>4</v>
      </c>
      <c r="N1292" s="51" t="s">
        <v>462</v>
      </c>
      <c r="O1292" s="35" t="s">
        <v>78</v>
      </c>
      <c r="P1292" s="52"/>
      <c r="Q1292" s="52"/>
      <c r="R1292" s="33" t="n">
        <f aca="false">INDEX(Épopées!$L$6:$L$59,MATCH(K1292,Épopées!$A$6:$A$59,0))</f>
        <v>46574</v>
      </c>
      <c r="S1292" s="33" t="n">
        <f aca="false">INDEX(Épopées!$M$6:$M$59,MATCH(K1292,Épopées!$A$6:$A$59,0))</f>
        <v>46601</v>
      </c>
      <c r="T1292" s="53" t="s">
        <v>463</v>
      </c>
    </row>
    <row r="1293" customFormat="false" ht="15" hidden="false" customHeight="false" outlineLevel="0" collapsed="false">
      <c r="A1293" s="31" t="s">
        <v>3462</v>
      </c>
      <c r="B1293" s="31" t="s">
        <v>404</v>
      </c>
      <c r="C1293" s="31" t="s">
        <v>437</v>
      </c>
      <c r="D1293" s="31" t="s">
        <v>438</v>
      </c>
      <c r="E1293" s="31" t="s">
        <v>3463</v>
      </c>
      <c r="F1293" s="31" t="s">
        <v>460</v>
      </c>
      <c r="G1293" s="31" t="s">
        <v>461</v>
      </c>
      <c r="H1293" s="31" t="s">
        <v>41</v>
      </c>
      <c r="I1293" s="31" t="n">
        <f aca="false">VLOOKUP(H1293,Paramètres!$A$15:$B$19,2,FALSE())</f>
        <v>1</v>
      </c>
      <c r="J1293" s="31" t="n">
        <v>2</v>
      </c>
      <c r="K1293" s="50" t="str">
        <f aca="false">C1293&amp;"|"&amp;J1293</f>
        <v>ADM-WG|2</v>
      </c>
      <c r="L1293" s="31" t="s">
        <v>3460</v>
      </c>
      <c r="M1293" s="31" t="n">
        <v>5</v>
      </c>
      <c r="N1293" s="51" t="s">
        <v>462</v>
      </c>
      <c r="O1293" s="35" t="s">
        <v>78</v>
      </c>
      <c r="P1293" s="52"/>
      <c r="Q1293" s="52"/>
      <c r="R1293" s="33" t="n">
        <f aca="false">INDEX(Épopées!$L$6:$L$59,MATCH(K1293,Épopées!$A$6:$A$59,0))</f>
        <v>46574</v>
      </c>
      <c r="S1293" s="33" t="n">
        <f aca="false">INDEX(Épopées!$M$6:$M$59,MATCH(K1293,Épopées!$A$6:$A$59,0))</f>
        <v>46601</v>
      </c>
      <c r="T1293" s="53" t="s">
        <v>463</v>
      </c>
    </row>
    <row r="1294" customFormat="false" ht="15" hidden="false" customHeight="false" outlineLevel="0" collapsed="false">
      <c r="A1294" s="31" t="s">
        <v>3464</v>
      </c>
      <c r="B1294" s="31" t="s">
        <v>404</v>
      </c>
      <c r="C1294" s="31" t="s">
        <v>437</v>
      </c>
      <c r="D1294" s="31" t="s">
        <v>438</v>
      </c>
      <c r="E1294" s="31" t="s">
        <v>3465</v>
      </c>
      <c r="F1294" s="31" t="s">
        <v>491</v>
      </c>
      <c r="G1294" s="31" t="s">
        <v>461</v>
      </c>
      <c r="H1294" s="31" t="s">
        <v>41</v>
      </c>
      <c r="I1294" s="31" t="n">
        <f aca="false">VLOOKUP(H1294,Paramètres!$A$15:$B$19,2,FALSE())</f>
        <v>1</v>
      </c>
      <c r="J1294" s="31" t="n">
        <v>2</v>
      </c>
      <c r="K1294" s="50" t="str">
        <f aca="false">C1294&amp;"|"&amp;J1294</f>
        <v>ADM-WG|2</v>
      </c>
      <c r="L1294" s="31" t="s">
        <v>3462</v>
      </c>
      <c r="M1294" s="31" t="n">
        <v>3</v>
      </c>
      <c r="N1294" s="51" t="s">
        <v>462</v>
      </c>
      <c r="O1294" s="35" t="s">
        <v>78</v>
      </c>
      <c r="P1294" s="52"/>
      <c r="Q1294" s="52"/>
      <c r="R1294" s="33" t="n">
        <f aca="false">INDEX(Épopées!$L$6:$L$59,MATCH(K1294,Épopées!$A$6:$A$59,0))</f>
        <v>46574</v>
      </c>
      <c r="S1294" s="33" t="n">
        <f aca="false">INDEX(Épopées!$M$6:$M$59,MATCH(K1294,Épopées!$A$6:$A$59,0))</f>
        <v>46601</v>
      </c>
      <c r="T1294" s="53" t="s">
        <v>463</v>
      </c>
    </row>
    <row r="1295" customFormat="false" ht="15" hidden="false" customHeight="false" outlineLevel="0" collapsed="false">
      <c r="A1295" s="31" t="s">
        <v>3466</v>
      </c>
      <c r="B1295" s="31" t="s">
        <v>404</v>
      </c>
      <c r="C1295" s="31" t="s">
        <v>437</v>
      </c>
      <c r="D1295" s="31" t="s">
        <v>438</v>
      </c>
      <c r="E1295" s="31" t="s">
        <v>3467</v>
      </c>
      <c r="F1295" s="31" t="s">
        <v>1623</v>
      </c>
      <c r="G1295" s="31" t="s">
        <v>461</v>
      </c>
      <c r="H1295" s="31" t="s">
        <v>43</v>
      </c>
      <c r="I1295" s="31" t="n">
        <f aca="false">VLOOKUP(H1295,Paramètres!$A$15:$B$19,2,FALSE())</f>
        <v>2</v>
      </c>
      <c r="J1295" s="31" t="n">
        <v>2</v>
      </c>
      <c r="K1295" s="50" t="str">
        <f aca="false">C1295&amp;"|"&amp;J1295</f>
        <v>ADM-WG|2</v>
      </c>
      <c r="L1295" s="31" t="s">
        <v>3468</v>
      </c>
      <c r="M1295" s="31" t="n">
        <v>1</v>
      </c>
      <c r="N1295" s="51" t="s">
        <v>462</v>
      </c>
      <c r="O1295" s="35" t="s">
        <v>78</v>
      </c>
      <c r="P1295" s="52"/>
      <c r="Q1295" s="52"/>
      <c r="R1295" s="33" t="n">
        <f aca="false">INDEX(Épopées!$L$6:$L$59,MATCH(K1295,Épopées!$A$6:$A$59,0))</f>
        <v>46574</v>
      </c>
      <c r="S1295" s="33" t="n">
        <f aca="false">INDEX(Épopées!$M$6:$M$59,MATCH(K1295,Épopées!$A$6:$A$59,0))</f>
        <v>46601</v>
      </c>
      <c r="T1295" s="53" t="s">
        <v>463</v>
      </c>
    </row>
    <row r="1296" customFormat="false" ht="15" hidden="false" customHeight="false" outlineLevel="0" collapsed="false">
      <c r="A1296" s="31" t="s">
        <v>3469</v>
      </c>
      <c r="B1296" s="31" t="s">
        <v>404</v>
      </c>
      <c r="C1296" s="31" t="s">
        <v>437</v>
      </c>
      <c r="D1296" s="31" t="s">
        <v>438</v>
      </c>
      <c r="E1296" s="31" t="s">
        <v>3470</v>
      </c>
      <c r="F1296" s="31" t="s">
        <v>1623</v>
      </c>
      <c r="G1296" s="31" t="s">
        <v>461</v>
      </c>
      <c r="H1296" s="31" t="s">
        <v>39</v>
      </c>
      <c r="I1296" s="31" t="n">
        <f aca="false">VLOOKUP(H1296,Paramètres!$A$15:$B$19,2,FALSE())</f>
        <v>0.5</v>
      </c>
      <c r="J1296" s="31" t="n">
        <v>2</v>
      </c>
      <c r="K1296" s="50" t="str">
        <f aca="false">C1296&amp;"|"&amp;J1296</f>
        <v>ADM-WG|2</v>
      </c>
      <c r="L1296" s="31"/>
      <c r="M1296" s="31" t="n">
        <v>2</v>
      </c>
      <c r="N1296" s="51" t="s">
        <v>462</v>
      </c>
      <c r="O1296" s="35" t="s">
        <v>78</v>
      </c>
      <c r="P1296" s="52"/>
      <c r="Q1296" s="52"/>
      <c r="R1296" s="33" t="n">
        <f aca="false">INDEX(Épopées!$L$6:$L$59,MATCH(K1296,Épopées!$A$6:$A$59,0))</f>
        <v>46574</v>
      </c>
      <c r="S1296" s="33" t="n">
        <f aca="false">INDEX(Épopées!$M$6:$M$59,MATCH(K1296,Épopées!$A$6:$A$59,0))</f>
        <v>46601</v>
      </c>
      <c r="T1296" s="53" t="s">
        <v>463</v>
      </c>
    </row>
    <row r="1297" customFormat="false" ht="15" hidden="false" customHeight="false" outlineLevel="0" collapsed="false">
      <c r="A1297" s="31" t="s">
        <v>3471</v>
      </c>
      <c r="B1297" s="31" t="s">
        <v>404</v>
      </c>
      <c r="C1297" s="31" t="s">
        <v>437</v>
      </c>
      <c r="D1297" s="31" t="s">
        <v>438</v>
      </c>
      <c r="E1297" s="31" t="s">
        <v>3472</v>
      </c>
      <c r="F1297" s="31" t="s">
        <v>491</v>
      </c>
      <c r="G1297" s="31" t="s">
        <v>461</v>
      </c>
      <c r="H1297" s="31" t="s">
        <v>41</v>
      </c>
      <c r="I1297" s="31" t="n">
        <f aca="false">VLOOKUP(H1297,Paramètres!$A$15:$B$19,2,FALSE())</f>
        <v>1</v>
      </c>
      <c r="J1297" s="31" t="n">
        <v>2</v>
      </c>
      <c r="K1297" s="50" t="str">
        <f aca="false">C1297&amp;"|"&amp;J1297</f>
        <v>ADM-WG|2</v>
      </c>
      <c r="L1297" s="31" t="s">
        <v>3466</v>
      </c>
      <c r="M1297" s="31" t="n">
        <v>2</v>
      </c>
      <c r="N1297" s="51" t="s">
        <v>462</v>
      </c>
      <c r="O1297" s="35" t="s">
        <v>78</v>
      </c>
      <c r="P1297" s="52"/>
      <c r="Q1297" s="52"/>
      <c r="R1297" s="33" t="n">
        <f aca="false">INDEX(Épopées!$L$6:$L$59,MATCH(K1297,Épopées!$A$6:$A$59,0))</f>
        <v>46574</v>
      </c>
      <c r="S1297" s="33" t="n">
        <f aca="false">INDEX(Épopées!$M$6:$M$59,MATCH(K1297,Épopées!$A$6:$A$59,0))</f>
        <v>46601</v>
      </c>
      <c r="T1297" s="53" t="s">
        <v>463</v>
      </c>
    </row>
    <row r="1298" customFormat="false" ht="15" hidden="false" customHeight="false" outlineLevel="0" collapsed="false">
      <c r="A1298" s="31" t="s">
        <v>3473</v>
      </c>
      <c r="B1298" s="31" t="s">
        <v>404</v>
      </c>
      <c r="C1298" s="31" t="s">
        <v>437</v>
      </c>
      <c r="D1298" s="31" t="s">
        <v>438</v>
      </c>
      <c r="E1298" s="31" t="s">
        <v>3474</v>
      </c>
      <c r="F1298" s="31" t="s">
        <v>491</v>
      </c>
      <c r="G1298" s="31" t="s">
        <v>466</v>
      </c>
      <c r="H1298" s="31" t="s">
        <v>41</v>
      </c>
      <c r="I1298" s="31" t="n">
        <f aca="false">VLOOKUP(H1298,Paramètres!$A$15:$B$19,2,FALSE())</f>
        <v>1</v>
      </c>
      <c r="J1298" s="31" t="n">
        <v>2</v>
      </c>
      <c r="K1298" s="50" t="str">
        <f aca="false">C1298&amp;"|"&amp;J1298</f>
        <v>ADM-WG|2</v>
      </c>
      <c r="L1298" s="31" t="s">
        <v>3466</v>
      </c>
      <c r="M1298" s="31" t="n">
        <v>1</v>
      </c>
      <c r="N1298" s="51" t="s">
        <v>462</v>
      </c>
      <c r="O1298" s="35" t="s">
        <v>78</v>
      </c>
      <c r="P1298" s="52"/>
      <c r="Q1298" s="52"/>
      <c r="R1298" s="33" t="n">
        <f aca="false">INDEX(Épopées!$L$6:$L$59,MATCH(K1298,Épopées!$A$6:$A$59,0))</f>
        <v>46574</v>
      </c>
      <c r="S1298" s="33" t="n">
        <f aca="false">INDEX(Épopées!$M$6:$M$59,MATCH(K1298,Épopées!$A$6:$A$59,0))</f>
        <v>46601</v>
      </c>
      <c r="T1298" s="53" t="s">
        <v>463</v>
      </c>
    </row>
    <row r="1299" customFormat="false" ht="15" hidden="false" customHeight="false" outlineLevel="0" collapsed="false">
      <c r="A1299" s="31" t="s">
        <v>3475</v>
      </c>
      <c r="B1299" s="31" t="s">
        <v>404</v>
      </c>
      <c r="C1299" s="31" t="s">
        <v>437</v>
      </c>
      <c r="D1299" s="31" t="s">
        <v>438</v>
      </c>
      <c r="E1299" s="31" t="s">
        <v>3476</v>
      </c>
      <c r="F1299" s="31" t="s">
        <v>1623</v>
      </c>
      <c r="G1299" s="31" t="s">
        <v>461</v>
      </c>
      <c r="H1299" s="31" t="s">
        <v>43</v>
      </c>
      <c r="I1299" s="31" t="n">
        <f aca="false">VLOOKUP(H1299,Paramètres!$A$15:$B$19,2,FALSE())</f>
        <v>2</v>
      </c>
      <c r="J1299" s="31" t="n">
        <v>2</v>
      </c>
      <c r="K1299" s="50" t="str">
        <f aca="false">C1299&amp;"|"&amp;J1299</f>
        <v>ADM-WG|2</v>
      </c>
      <c r="L1299" s="31" t="s">
        <v>3468</v>
      </c>
      <c r="M1299" s="31" t="n">
        <v>1</v>
      </c>
      <c r="N1299" s="51" t="s">
        <v>462</v>
      </c>
      <c r="O1299" s="35" t="s">
        <v>78</v>
      </c>
      <c r="P1299" s="52"/>
      <c r="Q1299" s="52"/>
      <c r="R1299" s="33" t="n">
        <f aca="false">INDEX(Épopées!$L$6:$L$59,MATCH(K1299,Épopées!$A$6:$A$59,0))</f>
        <v>46574</v>
      </c>
      <c r="S1299" s="33" t="n">
        <f aca="false">INDEX(Épopées!$M$6:$M$59,MATCH(K1299,Épopées!$A$6:$A$59,0))</f>
        <v>46601</v>
      </c>
      <c r="T1299" s="53" t="s">
        <v>463</v>
      </c>
    </row>
    <row r="1300" customFormat="false" ht="15" hidden="false" customHeight="false" outlineLevel="0" collapsed="false">
      <c r="A1300" s="31" t="s">
        <v>3477</v>
      </c>
      <c r="B1300" s="31" t="s">
        <v>404</v>
      </c>
      <c r="C1300" s="31" t="s">
        <v>437</v>
      </c>
      <c r="D1300" s="31" t="s">
        <v>438</v>
      </c>
      <c r="E1300" s="31" t="s">
        <v>3478</v>
      </c>
      <c r="F1300" s="31" t="s">
        <v>1623</v>
      </c>
      <c r="G1300" s="31" t="s">
        <v>461</v>
      </c>
      <c r="H1300" s="31" t="s">
        <v>41</v>
      </c>
      <c r="I1300" s="31" t="n">
        <f aca="false">VLOOKUP(H1300,Paramètres!$A$15:$B$19,2,FALSE())</f>
        <v>1</v>
      </c>
      <c r="J1300" s="31" t="n">
        <v>2</v>
      </c>
      <c r="K1300" s="50" t="str">
        <f aca="false">C1300&amp;"|"&amp;J1300</f>
        <v>ADM-WG|2</v>
      </c>
      <c r="L1300" s="31" t="s">
        <v>3475</v>
      </c>
      <c r="M1300" s="31" t="n">
        <v>2</v>
      </c>
      <c r="N1300" s="51" t="s">
        <v>462</v>
      </c>
      <c r="O1300" s="35" t="s">
        <v>78</v>
      </c>
      <c r="P1300" s="52"/>
      <c r="Q1300" s="52"/>
      <c r="R1300" s="33" t="n">
        <f aca="false">INDEX(Épopées!$L$6:$L$59,MATCH(K1300,Épopées!$A$6:$A$59,0))</f>
        <v>46574</v>
      </c>
      <c r="S1300" s="33" t="n">
        <f aca="false">INDEX(Épopées!$M$6:$M$59,MATCH(K1300,Épopées!$A$6:$A$59,0))</f>
        <v>46601</v>
      </c>
      <c r="T1300" s="53" t="s">
        <v>463</v>
      </c>
    </row>
    <row r="1301" customFormat="false" ht="15" hidden="false" customHeight="false" outlineLevel="0" collapsed="false">
      <c r="A1301" s="31" t="s">
        <v>3479</v>
      </c>
      <c r="B1301" s="31" t="s">
        <v>404</v>
      </c>
      <c r="C1301" s="31" t="s">
        <v>437</v>
      </c>
      <c r="D1301" s="31" t="s">
        <v>438</v>
      </c>
      <c r="E1301" s="31" t="s">
        <v>3480</v>
      </c>
      <c r="F1301" s="31" t="s">
        <v>1623</v>
      </c>
      <c r="G1301" s="31" t="s">
        <v>466</v>
      </c>
      <c r="H1301" s="31" t="s">
        <v>41</v>
      </c>
      <c r="I1301" s="31" t="n">
        <f aca="false">VLOOKUP(H1301,Paramètres!$A$15:$B$19,2,FALSE())</f>
        <v>1</v>
      </c>
      <c r="J1301" s="31" t="n">
        <v>2</v>
      </c>
      <c r="K1301" s="50" t="str">
        <f aca="false">C1301&amp;"|"&amp;J1301</f>
        <v>ADM-WG|2</v>
      </c>
      <c r="L1301" s="31" t="s">
        <v>3475</v>
      </c>
      <c r="M1301" s="31" t="n">
        <v>1</v>
      </c>
      <c r="N1301" s="51" t="s">
        <v>462</v>
      </c>
      <c r="O1301" s="35" t="s">
        <v>78</v>
      </c>
      <c r="P1301" s="52"/>
      <c r="Q1301" s="52"/>
      <c r="R1301" s="33" t="n">
        <f aca="false">INDEX(Épopées!$L$6:$L$59,MATCH(K1301,Épopées!$A$6:$A$59,0))</f>
        <v>46574</v>
      </c>
      <c r="S1301" s="33" t="n">
        <f aca="false">INDEX(Épopées!$M$6:$M$59,MATCH(K1301,Épopées!$A$6:$A$59,0))</f>
        <v>46601</v>
      </c>
      <c r="T1301" s="53" t="s">
        <v>463</v>
      </c>
    </row>
    <row r="1302" customFormat="false" ht="15" hidden="false" customHeight="false" outlineLevel="0" collapsed="false">
      <c r="A1302" s="31" t="s">
        <v>3481</v>
      </c>
      <c r="B1302" s="31" t="s">
        <v>404</v>
      </c>
      <c r="C1302" s="31" t="s">
        <v>437</v>
      </c>
      <c r="D1302" s="31" t="s">
        <v>438</v>
      </c>
      <c r="E1302" s="31" t="s">
        <v>3482</v>
      </c>
      <c r="F1302" s="31" t="s">
        <v>491</v>
      </c>
      <c r="G1302" s="31" t="s">
        <v>612</v>
      </c>
      <c r="H1302" s="31" t="s">
        <v>39</v>
      </c>
      <c r="I1302" s="31" t="n">
        <f aca="false">VLOOKUP(H1302,Paramètres!$A$15:$B$19,2,FALSE())</f>
        <v>0.5</v>
      </c>
      <c r="J1302" s="31" t="n">
        <v>2</v>
      </c>
      <c r="K1302" s="50" t="str">
        <f aca="false">C1302&amp;"|"&amp;J1302</f>
        <v>ADM-WG|2</v>
      </c>
      <c r="L1302" s="31" t="s">
        <v>3475</v>
      </c>
      <c r="M1302" s="31" t="n">
        <v>1</v>
      </c>
      <c r="N1302" s="51" t="s">
        <v>462</v>
      </c>
      <c r="O1302" s="35" t="s">
        <v>78</v>
      </c>
      <c r="P1302" s="52"/>
      <c r="Q1302" s="52"/>
      <c r="R1302" s="33" t="n">
        <f aca="false">INDEX(Épopées!$L$6:$L$59,MATCH(K1302,Épopées!$A$6:$A$59,0))</f>
        <v>46574</v>
      </c>
      <c r="S1302" s="33" t="n">
        <f aca="false">INDEX(Épopées!$M$6:$M$59,MATCH(K1302,Épopées!$A$6:$A$59,0))</f>
        <v>46601</v>
      </c>
      <c r="T1302" s="53" t="s">
        <v>463</v>
      </c>
    </row>
    <row r="1303" customFormat="false" ht="15" hidden="false" customHeight="false" outlineLevel="0" collapsed="false">
      <c r="A1303" s="31" t="s">
        <v>3483</v>
      </c>
      <c r="B1303" s="31" t="s">
        <v>404</v>
      </c>
      <c r="C1303" s="31" t="s">
        <v>437</v>
      </c>
      <c r="D1303" s="31" t="s">
        <v>438</v>
      </c>
      <c r="E1303" s="31" t="s">
        <v>3484</v>
      </c>
      <c r="F1303" s="31" t="s">
        <v>491</v>
      </c>
      <c r="G1303" s="31" t="s">
        <v>461</v>
      </c>
      <c r="H1303" s="31" t="s">
        <v>41</v>
      </c>
      <c r="I1303" s="31" t="n">
        <f aca="false">VLOOKUP(H1303,Paramètres!$A$15:$B$19,2,FALSE())</f>
        <v>1</v>
      </c>
      <c r="J1303" s="31" t="n">
        <v>2</v>
      </c>
      <c r="K1303" s="50" t="str">
        <f aca="false">C1303&amp;"|"&amp;J1303</f>
        <v>ADM-WG|2</v>
      </c>
      <c r="L1303" s="31" t="s">
        <v>3485</v>
      </c>
      <c r="M1303" s="31" t="n">
        <v>1</v>
      </c>
      <c r="N1303" s="51" t="s">
        <v>462</v>
      </c>
      <c r="O1303" s="35" t="s">
        <v>78</v>
      </c>
      <c r="P1303" s="52"/>
      <c r="Q1303" s="52"/>
      <c r="R1303" s="33" t="n">
        <f aca="false">INDEX(Épopées!$L$6:$L$59,MATCH(K1303,Épopées!$A$6:$A$59,0))</f>
        <v>46574</v>
      </c>
      <c r="S1303" s="33" t="n">
        <f aca="false">INDEX(Épopées!$M$6:$M$59,MATCH(K1303,Épopées!$A$6:$A$59,0))</f>
        <v>46601</v>
      </c>
      <c r="T1303" s="53" t="s">
        <v>463</v>
      </c>
    </row>
    <row r="1304" customFormat="false" ht="15" hidden="false" customHeight="false" outlineLevel="0" collapsed="false">
      <c r="A1304" s="31" t="s">
        <v>3486</v>
      </c>
      <c r="B1304" s="31" t="s">
        <v>404</v>
      </c>
      <c r="C1304" s="31" t="s">
        <v>437</v>
      </c>
      <c r="D1304" s="31" t="s">
        <v>438</v>
      </c>
      <c r="E1304" s="31" t="s">
        <v>3487</v>
      </c>
      <c r="F1304" s="31" t="s">
        <v>1623</v>
      </c>
      <c r="G1304" s="31" t="s">
        <v>461</v>
      </c>
      <c r="H1304" s="31" t="s">
        <v>41</v>
      </c>
      <c r="I1304" s="31" t="n">
        <f aca="false">VLOOKUP(H1304,Paramètres!$A$15:$B$19,2,FALSE())</f>
        <v>1</v>
      </c>
      <c r="J1304" s="31" t="n">
        <v>2</v>
      </c>
      <c r="K1304" s="50" t="str">
        <f aca="false">C1304&amp;"|"&amp;J1304</f>
        <v>ADM-WG|2</v>
      </c>
      <c r="L1304" s="31" t="s">
        <v>3483</v>
      </c>
      <c r="M1304" s="31" t="n">
        <v>1</v>
      </c>
      <c r="N1304" s="51" t="s">
        <v>462</v>
      </c>
      <c r="O1304" s="35" t="s">
        <v>78</v>
      </c>
      <c r="P1304" s="52"/>
      <c r="Q1304" s="52"/>
      <c r="R1304" s="33" t="n">
        <f aca="false">INDEX(Épopées!$L$6:$L$59,MATCH(K1304,Épopées!$A$6:$A$59,0))</f>
        <v>46574</v>
      </c>
      <c r="S1304" s="33" t="n">
        <f aca="false">INDEX(Épopées!$M$6:$M$59,MATCH(K1304,Épopées!$A$6:$A$59,0))</f>
        <v>46601</v>
      </c>
      <c r="T1304" s="53" t="s">
        <v>463</v>
      </c>
    </row>
    <row r="1305" customFormat="false" ht="15" hidden="false" customHeight="false" outlineLevel="0" collapsed="false">
      <c r="A1305" s="31" t="s">
        <v>3488</v>
      </c>
      <c r="B1305" s="31" t="s">
        <v>404</v>
      </c>
      <c r="C1305" s="31" t="s">
        <v>437</v>
      </c>
      <c r="D1305" s="31" t="s">
        <v>438</v>
      </c>
      <c r="E1305" s="31" t="s">
        <v>3489</v>
      </c>
      <c r="F1305" s="31" t="s">
        <v>491</v>
      </c>
      <c r="G1305" s="31" t="s">
        <v>461</v>
      </c>
      <c r="H1305" s="31" t="s">
        <v>41</v>
      </c>
      <c r="I1305" s="31" t="n">
        <f aca="false">VLOOKUP(H1305,Paramètres!$A$15:$B$19,2,FALSE())</f>
        <v>1</v>
      </c>
      <c r="J1305" s="31" t="n">
        <v>2</v>
      </c>
      <c r="K1305" s="50" t="str">
        <f aca="false">C1305&amp;"|"&amp;J1305</f>
        <v>ADM-WG|2</v>
      </c>
      <c r="L1305" s="31" t="s">
        <v>3486</v>
      </c>
      <c r="M1305" s="31" t="n">
        <v>2</v>
      </c>
      <c r="N1305" s="51" t="s">
        <v>462</v>
      </c>
      <c r="O1305" s="35" t="s">
        <v>78</v>
      </c>
      <c r="P1305" s="52"/>
      <c r="Q1305" s="52"/>
      <c r="R1305" s="33" t="n">
        <f aca="false">INDEX(Épopées!$L$6:$L$59,MATCH(K1305,Épopées!$A$6:$A$59,0))</f>
        <v>46574</v>
      </c>
      <c r="S1305" s="33" t="n">
        <f aca="false">INDEX(Épopées!$M$6:$M$59,MATCH(K1305,Épopées!$A$6:$A$59,0))</f>
        <v>46601</v>
      </c>
      <c r="T1305" s="53" t="s">
        <v>463</v>
      </c>
    </row>
    <row r="1306" customFormat="false" ht="15" hidden="false" customHeight="false" outlineLevel="0" collapsed="false">
      <c r="A1306" s="31" t="s">
        <v>3490</v>
      </c>
      <c r="B1306" s="31" t="s">
        <v>404</v>
      </c>
      <c r="C1306" s="31" t="s">
        <v>437</v>
      </c>
      <c r="D1306" s="31" t="s">
        <v>438</v>
      </c>
      <c r="E1306" s="31" t="s">
        <v>3491</v>
      </c>
      <c r="F1306" s="31" t="s">
        <v>491</v>
      </c>
      <c r="G1306" s="31" t="s">
        <v>466</v>
      </c>
      <c r="H1306" s="31" t="s">
        <v>41</v>
      </c>
      <c r="I1306" s="31" t="n">
        <f aca="false">VLOOKUP(H1306,Paramètres!$A$15:$B$19,2,FALSE())</f>
        <v>1</v>
      </c>
      <c r="J1306" s="31" t="n">
        <v>2</v>
      </c>
      <c r="K1306" s="50" t="str">
        <f aca="false">C1306&amp;"|"&amp;J1306</f>
        <v>ADM-WG|2</v>
      </c>
      <c r="L1306" s="31" t="s">
        <v>3486</v>
      </c>
      <c r="M1306" s="31" t="n">
        <v>3</v>
      </c>
      <c r="N1306" s="51" t="s">
        <v>462</v>
      </c>
      <c r="O1306" s="35" t="s">
        <v>78</v>
      </c>
      <c r="P1306" s="52"/>
      <c r="Q1306" s="52"/>
      <c r="R1306" s="33" t="n">
        <f aca="false">INDEX(Épopées!$L$6:$L$59,MATCH(K1306,Épopées!$A$6:$A$59,0))</f>
        <v>46574</v>
      </c>
      <c r="S1306" s="33" t="n">
        <f aca="false">INDEX(Épopées!$M$6:$M$59,MATCH(K1306,Épopées!$A$6:$A$59,0))</f>
        <v>46601</v>
      </c>
      <c r="T1306" s="53" t="s">
        <v>463</v>
      </c>
    </row>
    <row r="1307" customFormat="false" ht="15" hidden="false" customHeight="false" outlineLevel="0" collapsed="false">
      <c r="A1307" s="31" t="s">
        <v>3492</v>
      </c>
      <c r="B1307" s="31" t="s">
        <v>404</v>
      </c>
      <c r="C1307" s="31" t="s">
        <v>437</v>
      </c>
      <c r="D1307" s="31" t="s">
        <v>438</v>
      </c>
      <c r="E1307" s="31" t="s">
        <v>3493</v>
      </c>
      <c r="F1307" s="31" t="s">
        <v>1623</v>
      </c>
      <c r="G1307" s="31" t="s">
        <v>461</v>
      </c>
      <c r="H1307" s="31" t="s">
        <v>41</v>
      </c>
      <c r="I1307" s="31" t="n">
        <f aca="false">VLOOKUP(H1307,Paramètres!$A$15:$B$19,2,FALSE())</f>
        <v>1</v>
      </c>
      <c r="J1307" s="31" t="n">
        <v>2</v>
      </c>
      <c r="K1307" s="50" t="str">
        <f aca="false">C1307&amp;"|"&amp;J1307</f>
        <v>ADM-WG|2</v>
      </c>
      <c r="L1307" s="31" t="s">
        <v>3494</v>
      </c>
      <c r="M1307" s="31" t="n">
        <v>1</v>
      </c>
      <c r="N1307" s="51" t="s">
        <v>462</v>
      </c>
      <c r="O1307" s="35" t="s">
        <v>78</v>
      </c>
      <c r="P1307" s="52"/>
      <c r="Q1307" s="52"/>
      <c r="R1307" s="33" t="n">
        <f aca="false">INDEX(Épopées!$L$6:$L$59,MATCH(K1307,Épopées!$A$6:$A$59,0))</f>
        <v>46574</v>
      </c>
      <c r="S1307" s="33" t="n">
        <f aca="false">INDEX(Épopées!$M$6:$M$59,MATCH(K1307,Épopées!$A$6:$A$59,0))</f>
        <v>46601</v>
      </c>
      <c r="T1307" s="53" t="s">
        <v>463</v>
      </c>
    </row>
    <row r="1308" customFormat="false" ht="15" hidden="false" customHeight="false" outlineLevel="0" collapsed="false">
      <c r="A1308" s="31" t="s">
        <v>3495</v>
      </c>
      <c r="B1308" s="31" t="s">
        <v>404</v>
      </c>
      <c r="C1308" s="31" t="s">
        <v>437</v>
      </c>
      <c r="D1308" s="31" t="s">
        <v>438</v>
      </c>
      <c r="E1308" s="31" t="s">
        <v>3496</v>
      </c>
      <c r="F1308" s="31" t="s">
        <v>1623</v>
      </c>
      <c r="G1308" s="31" t="s">
        <v>466</v>
      </c>
      <c r="H1308" s="31" t="s">
        <v>41</v>
      </c>
      <c r="I1308" s="31" t="n">
        <f aca="false">VLOOKUP(H1308,Paramètres!$A$15:$B$19,2,FALSE())</f>
        <v>1</v>
      </c>
      <c r="J1308" s="31" t="n">
        <v>2</v>
      </c>
      <c r="K1308" s="50" t="str">
        <f aca="false">C1308&amp;"|"&amp;J1308</f>
        <v>ADM-WG|2</v>
      </c>
      <c r="L1308" s="31" t="s">
        <v>3492</v>
      </c>
      <c r="M1308" s="31" t="n">
        <v>1</v>
      </c>
      <c r="N1308" s="51" t="s">
        <v>462</v>
      </c>
      <c r="O1308" s="35" t="s">
        <v>78</v>
      </c>
      <c r="P1308" s="52"/>
      <c r="Q1308" s="52"/>
      <c r="R1308" s="33" t="n">
        <f aca="false">INDEX(Épopées!$L$6:$L$59,MATCH(K1308,Épopées!$A$6:$A$59,0))</f>
        <v>46574</v>
      </c>
      <c r="S1308" s="33" t="n">
        <f aca="false">INDEX(Épopées!$M$6:$M$59,MATCH(K1308,Épopées!$A$6:$A$59,0))</f>
        <v>46601</v>
      </c>
      <c r="T1308" s="53" t="s">
        <v>463</v>
      </c>
    </row>
    <row r="1309" customFormat="false" ht="15" hidden="false" customHeight="false" outlineLevel="0" collapsed="false">
      <c r="A1309" s="31" t="s">
        <v>3497</v>
      </c>
      <c r="B1309" s="31" t="s">
        <v>404</v>
      </c>
      <c r="C1309" s="31" t="s">
        <v>437</v>
      </c>
      <c r="D1309" s="31" t="s">
        <v>438</v>
      </c>
      <c r="E1309" s="31" t="s">
        <v>3498</v>
      </c>
      <c r="F1309" s="31" t="s">
        <v>1623</v>
      </c>
      <c r="G1309" s="31" t="s">
        <v>466</v>
      </c>
      <c r="H1309" s="31" t="s">
        <v>43</v>
      </c>
      <c r="I1309" s="31" t="n">
        <f aca="false">VLOOKUP(H1309,Paramètres!$A$15:$B$19,2,FALSE())</f>
        <v>2</v>
      </c>
      <c r="J1309" s="31" t="n">
        <v>2</v>
      </c>
      <c r="K1309" s="50" t="str">
        <f aca="false">C1309&amp;"|"&amp;J1309</f>
        <v>ADM-WG|2</v>
      </c>
      <c r="L1309" s="31" t="s">
        <v>3464</v>
      </c>
      <c r="M1309" s="31" t="n">
        <v>1</v>
      </c>
      <c r="N1309" s="51" t="s">
        <v>462</v>
      </c>
      <c r="O1309" s="35" t="s">
        <v>78</v>
      </c>
      <c r="P1309" s="52"/>
      <c r="Q1309" s="52"/>
      <c r="R1309" s="33" t="n">
        <f aca="false">INDEX(Épopées!$L$6:$L$59,MATCH(K1309,Épopées!$A$6:$A$59,0))</f>
        <v>46574</v>
      </c>
      <c r="S1309" s="33" t="n">
        <f aca="false">INDEX(Épopées!$M$6:$M$59,MATCH(K1309,Épopées!$A$6:$A$59,0))</f>
        <v>46601</v>
      </c>
      <c r="T1309" s="53" t="s">
        <v>463</v>
      </c>
    </row>
    <row r="1310" customFormat="false" ht="15" hidden="false" customHeight="false" outlineLevel="0" collapsed="false">
      <c r="A1310" s="31" t="s">
        <v>3499</v>
      </c>
      <c r="B1310" s="31" t="s">
        <v>404</v>
      </c>
      <c r="C1310" s="31" t="s">
        <v>437</v>
      </c>
      <c r="D1310" s="31" t="s">
        <v>438</v>
      </c>
      <c r="E1310" s="31" t="s">
        <v>3500</v>
      </c>
      <c r="F1310" s="31" t="s">
        <v>491</v>
      </c>
      <c r="G1310" s="31" t="s">
        <v>466</v>
      </c>
      <c r="H1310" s="31" t="s">
        <v>41</v>
      </c>
      <c r="I1310" s="31" t="n">
        <f aca="false">VLOOKUP(H1310,Paramètres!$A$15:$B$19,2,FALSE())</f>
        <v>1</v>
      </c>
      <c r="J1310" s="31" t="n">
        <v>2</v>
      </c>
      <c r="K1310" s="50" t="str">
        <f aca="false">C1310&amp;"|"&amp;J1310</f>
        <v>ADM-WG|2</v>
      </c>
      <c r="L1310" s="31" t="s">
        <v>3497</v>
      </c>
      <c r="M1310" s="31" t="n">
        <v>1</v>
      </c>
      <c r="N1310" s="51" t="s">
        <v>462</v>
      </c>
      <c r="O1310" s="35" t="s">
        <v>78</v>
      </c>
      <c r="P1310" s="52"/>
      <c r="Q1310" s="52"/>
      <c r="R1310" s="33" t="n">
        <f aca="false">INDEX(Épopées!$L$6:$L$59,MATCH(K1310,Épopées!$A$6:$A$59,0))</f>
        <v>46574</v>
      </c>
      <c r="S1310" s="33" t="n">
        <f aca="false">INDEX(Épopées!$M$6:$M$59,MATCH(K1310,Épopées!$A$6:$A$59,0))</f>
        <v>46601</v>
      </c>
      <c r="T1310" s="53" t="s">
        <v>463</v>
      </c>
    </row>
    <row r="1311" customFormat="false" ht="15" hidden="false" customHeight="false" outlineLevel="0" collapsed="false">
      <c r="A1311" s="31" t="s">
        <v>3501</v>
      </c>
      <c r="B1311" s="31" t="s">
        <v>404</v>
      </c>
      <c r="C1311" s="31" t="s">
        <v>437</v>
      </c>
      <c r="D1311" s="31" t="s">
        <v>438</v>
      </c>
      <c r="E1311" s="31" t="s">
        <v>3502</v>
      </c>
      <c r="F1311" s="31" t="s">
        <v>491</v>
      </c>
      <c r="G1311" s="31" t="s">
        <v>612</v>
      </c>
      <c r="H1311" s="31" t="s">
        <v>41</v>
      </c>
      <c r="I1311" s="31" t="n">
        <f aca="false">VLOOKUP(H1311,Paramètres!$A$15:$B$19,2,FALSE())</f>
        <v>1</v>
      </c>
      <c r="J1311" s="31" t="n">
        <v>2</v>
      </c>
      <c r="K1311" s="50" t="str">
        <f aca="false">C1311&amp;"|"&amp;J1311</f>
        <v>ADM-WG|2</v>
      </c>
      <c r="L1311" s="31" t="s">
        <v>3497</v>
      </c>
      <c r="M1311" s="31" t="n">
        <v>1</v>
      </c>
      <c r="N1311" s="51" t="s">
        <v>462</v>
      </c>
      <c r="O1311" s="35" t="s">
        <v>78</v>
      </c>
      <c r="P1311" s="52"/>
      <c r="Q1311" s="52"/>
      <c r="R1311" s="33" t="n">
        <f aca="false">INDEX(Épopées!$L$6:$L$59,MATCH(K1311,Épopées!$A$6:$A$59,0))</f>
        <v>46574</v>
      </c>
      <c r="S1311" s="33" t="n">
        <f aca="false">INDEX(Épopées!$M$6:$M$59,MATCH(K1311,Épopées!$A$6:$A$59,0))</f>
        <v>46601</v>
      </c>
      <c r="T1311" s="53" t="s">
        <v>463</v>
      </c>
    </row>
    <row r="1312" customFormat="false" ht="15" hidden="false" customHeight="false" outlineLevel="0" collapsed="false">
      <c r="A1312" s="31" t="s">
        <v>3503</v>
      </c>
      <c r="B1312" s="31" t="s">
        <v>404</v>
      </c>
      <c r="C1312" s="31" t="s">
        <v>437</v>
      </c>
      <c r="D1312" s="31" t="s">
        <v>438</v>
      </c>
      <c r="E1312" s="31" t="s">
        <v>3504</v>
      </c>
      <c r="F1312" s="31" t="s">
        <v>491</v>
      </c>
      <c r="G1312" s="31" t="s">
        <v>612</v>
      </c>
      <c r="H1312" s="31" t="s">
        <v>39</v>
      </c>
      <c r="I1312" s="31" t="n">
        <f aca="false">VLOOKUP(H1312,Paramètres!$A$15:$B$19,2,FALSE())</f>
        <v>0.5</v>
      </c>
      <c r="J1312" s="31" t="n">
        <v>2</v>
      </c>
      <c r="K1312" s="50" t="str">
        <f aca="false">C1312&amp;"|"&amp;J1312</f>
        <v>ADM-WG|2</v>
      </c>
      <c r="L1312" s="31" t="s">
        <v>3499</v>
      </c>
      <c r="M1312" s="31" t="n">
        <v>1</v>
      </c>
      <c r="N1312" s="51" t="s">
        <v>462</v>
      </c>
      <c r="O1312" s="35" t="s">
        <v>78</v>
      </c>
      <c r="P1312" s="52"/>
      <c r="Q1312" s="52"/>
      <c r="R1312" s="33" t="n">
        <f aca="false">INDEX(Épopées!$L$6:$L$59,MATCH(K1312,Épopées!$A$6:$A$59,0))</f>
        <v>46574</v>
      </c>
      <c r="S1312" s="33" t="n">
        <f aca="false">INDEX(Épopées!$M$6:$M$59,MATCH(K1312,Épopées!$A$6:$A$59,0))</f>
        <v>46601</v>
      </c>
      <c r="T1312" s="53" t="s">
        <v>463</v>
      </c>
    </row>
    <row r="1313" customFormat="false" ht="15" hidden="false" customHeight="false" outlineLevel="0" collapsed="false">
      <c r="A1313" s="31" t="s">
        <v>3505</v>
      </c>
      <c r="B1313" s="31" t="s">
        <v>404</v>
      </c>
      <c r="C1313" s="31" t="s">
        <v>437</v>
      </c>
      <c r="D1313" s="31" t="s">
        <v>438</v>
      </c>
      <c r="E1313" s="31" t="s">
        <v>3506</v>
      </c>
      <c r="F1313" s="31" t="s">
        <v>1623</v>
      </c>
      <c r="G1313" s="31" t="s">
        <v>466</v>
      </c>
      <c r="H1313" s="31" t="s">
        <v>41</v>
      </c>
      <c r="I1313" s="31" t="n">
        <f aca="false">VLOOKUP(H1313,Paramètres!$A$15:$B$19,2,FALSE())</f>
        <v>1</v>
      </c>
      <c r="J1313" s="31" t="n">
        <v>2</v>
      </c>
      <c r="K1313" s="50" t="str">
        <f aca="false">C1313&amp;"|"&amp;J1313</f>
        <v>ADM-WG|2</v>
      </c>
      <c r="L1313" s="31" t="s">
        <v>3507</v>
      </c>
      <c r="M1313" s="31" t="n">
        <v>1</v>
      </c>
      <c r="N1313" s="51" t="s">
        <v>462</v>
      </c>
      <c r="O1313" s="35" t="s">
        <v>78</v>
      </c>
      <c r="P1313" s="52"/>
      <c r="Q1313" s="52"/>
      <c r="R1313" s="33" t="n">
        <f aca="false">INDEX(Épopées!$L$6:$L$59,MATCH(K1313,Épopées!$A$6:$A$59,0))</f>
        <v>46574</v>
      </c>
      <c r="S1313" s="33" t="n">
        <f aca="false">INDEX(Épopées!$M$6:$M$59,MATCH(K1313,Épopées!$A$6:$A$59,0))</f>
        <v>46601</v>
      </c>
      <c r="T1313" s="53" t="s">
        <v>463</v>
      </c>
    </row>
    <row r="1314" customFormat="false" ht="15" hidden="false" customHeight="false" outlineLevel="0" collapsed="false">
      <c r="A1314" s="31" t="s">
        <v>3508</v>
      </c>
      <c r="B1314" s="31" t="s">
        <v>404</v>
      </c>
      <c r="C1314" s="31" t="s">
        <v>437</v>
      </c>
      <c r="D1314" s="31" t="s">
        <v>438</v>
      </c>
      <c r="E1314" s="31" t="s">
        <v>3509</v>
      </c>
      <c r="F1314" s="31" t="s">
        <v>1623</v>
      </c>
      <c r="G1314" s="31" t="s">
        <v>466</v>
      </c>
      <c r="H1314" s="31" t="s">
        <v>39</v>
      </c>
      <c r="I1314" s="31" t="n">
        <f aca="false">VLOOKUP(H1314,Paramètres!$A$15:$B$19,2,FALSE())</f>
        <v>0.5</v>
      </c>
      <c r="J1314" s="31" t="n">
        <v>2</v>
      </c>
      <c r="K1314" s="50" t="str">
        <f aca="false">C1314&amp;"|"&amp;J1314</f>
        <v>ADM-WG|2</v>
      </c>
      <c r="L1314" s="31" t="s">
        <v>3471</v>
      </c>
      <c r="M1314" s="31" t="n">
        <v>1</v>
      </c>
      <c r="N1314" s="51" t="s">
        <v>462</v>
      </c>
      <c r="O1314" s="35" t="s">
        <v>78</v>
      </c>
      <c r="P1314" s="52"/>
      <c r="Q1314" s="52"/>
      <c r="R1314" s="33" t="n">
        <f aca="false">INDEX(Épopées!$L$6:$L$59,MATCH(K1314,Épopées!$A$6:$A$59,0))</f>
        <v>46574</v>
      </c>
      <c r="S1314" s="33" t="n">
        <f aca="false">INDEX(Épopées!$M$6:$M$59,MATCH(K1314,Épopées!$A$6:$A$59,0))</f>
        <v>46601</v>
      </c>
      <c r="T1314" s="53" t="s">
        <v>463</v>
      </c>
    </row>
    <row r="1315" customFormat="false" ht="15" hidden="false" customHeight="false" outlineLevel="0" collapsed="false">
      <c r="A1315" s="31" t="s">
        <v>3510</v>
      </c>
      <c r="B1315" s="31" t="s">
        <v>404</v>
      </c>
      <c r="C1315" s="31" t="s">
        <v>437</v>
      </c>
      <c r="D1315" s="31" t="s">
        <v>438</v>
      </c>
      <c r="E1315" s="31" t="s">
        <v>3511</v>
      </c>
      <c r="F1315" s="31" t="s">
        <v>491</v>
      </c>
      <c r="G1315" s="31" t="s">
        <v>612</v>
      </c>
      <c r="H1315" s="31" t="s">
        <v>39</v>
      </c>
      <c r="I1315" s="31" t="n">
        <f aca="false">VLOOKUP(H1315,Paramètres!$A$15:$B$19,2,FALSE())</f>
        <v>0.5</v>
      </c>
      <c r="J1315" s="31" t="n">
        <v>2</v>
      </c>
      <c r="K1315" s="50" t="str">
        <f aca="false">C1315&amp;"|"&amp;J1315</f>
        <v>ADM-WG|2</v>
      </c>
      <c r="L1315" s="31" t="s">
        <v>3512</v>
      </c>
      <c r="M1315" s="31" t="n">
        <v>2</v>
      </c>
      <c r="N1315" s="51" t="s">
        <v>462</v>
      </c>
      <c r="O1315" s="35" t="s">
        <v>78</v>
      </c>
      <c r="P1315" s="52"/>
      <c r="Q1315" s="52"/>
      <c r="R1315" s="33" t="n">
        <f aca="false">INDEX(Épopées!$L$6:$L$59,MATCH(K1315,Épopées!$A$6:$A$59,0))</f>
        <v>46574</v>
      </c>
      <c r="S1315" s="33" t="n">
        <f aca="false">INDEX(Épopées!$M$6:$M$59,MATCH(K1315,Épopées!$A$6:$A$59,0))</f>
        <v>46601</v>
      </c>
      <c r="T1315" s="53" t="s">
        <v>463</v>
      </c>
    </row>
    <row r="1316" customFormat="false" ht="15" hidden="false" customHeight="false" outlineLevel="0" collapsed="false">
      <c r="A1316" s="31" t="s">
        <v>3513</v>
      </c>
      <c r="B1316" s="31" t="s">
        <v>404</v>
      </c>
      <c r="C1316" s="31" t="s">
        <v>437</v>
      </c>
      <c r="D1316" s="31" t="s">
        <v>438</v>
      </c>
      <c r="E1316" s="31" t="s">
        <v>3514</v>
      </c>
      <c r="F1316" s="31" t="s">
        <v>491</v>
      </c>
      <c r="G1316" s="31" t="s">
        <v>466</v>
      </c>
      <c r="H1316" s="31" t="s">
        <v>41</v>
      </c>
      <c r="I1316" s="31" t="n">
        <f aca="false">VLOOKUP(H1316,Paramètres!$A$15:$B$19,2,FALSE())</f>
        <v>1</v>
      </c>
      <c r="J1316" s="31" t="n">
        <v>2</v>
      </c>
      <c r="K1316" s="50" t="str">
        <f aca="false">C1316&amp;"|"&amp;J1316</f>
        <v>ADM-WG|2</v>
      </c>
      <c r="L1316" s="31" t="s">
        <v>3471</v>
      </c>
      <c r="M1316" s="31" t="n">
        <v>2</v>
      </c>
      <c r="N1316" s="51" t="s">
        <v>462</v>
      </c>
      <c r="O1316" s="35" t="s">
        <v>78</v>
      </c>
      <c r="P1316" s="52"/>
      <c r="Q1316" s="52"/>
      <c r="R1316" s="33" t="n">
        <f aca="false">INDEX(Épopées!$L$6:$L$59,MATCH(K1316,Épopées!$A$6:$A$59,0))</f>
        <v>46574</v>
      </c>
      <c r="S1316" s="33" t="n">
        <f aca="false">INDEX(Épopées!$M$6:$M$59,MATCH(K1316,Épopées!$A$6:$A$59,0))</f>
        <v>46601</v>
      </c>
      <c r="T1316" s="53" t="s">
        <v>463</v>
      </c>
    </row>
    <row r="1317" customFormat="false" ht="15" hidden="false" customHeight="false" outlineLevel="0" collapsed="false">
      <c r="A1317" s="31" t="s">
        <v>3515</v>
      </c>
      <c r="B1317" s="31" t="s">
        <v>404</v>
      </c>
      <c r="C1317" s="31" t="s">
        <v>437</v>
      </c>
      <c r="D1317" s="31" t="s">
        <v>438</v>
      </c>
      <c r="E1317" s="31" t="s">
        <v>3516</v>
      </c>
      <c r="F1317" s="31" t="s">
        <v>469</v>
      </c>
      <c r="G1317" s="31" t="s">
        <v>461</v>
      </c>
      <c r="H1317" s="31" t="s">
        <v>41</v>
      </c>
      <c r="I1317" s="31" t="n">
        <f aca="false">VLOOKUP(H1317,Paramètres!$A$15:$B$19,2,FALSE())</f>
        <v>1</v>
      </c>
      <c r="J1317" s="31" t="n">
        <v>2</v>
      </c>
      <c r="K1317" s="50" t="str">
        <f aca="false">C1317&amp;"|"&amp;J1317</f>
        <v>ADM-WG|2</v>
      </c>
      <c r="L1317" s="31" t="s">
        <v>3512</v>
      </c>
      <c r="M1317" s="31" t="n">
        <v>4</v>
      </c>
      <c r="N1317" s="51" t="s">
        <v>462</v>
      </c>
      <c r="O1317" s="35" t="s">
        <v>78</v>
      </c>
      <c r="P1317" s="52"/>
      <c r="Q1317" s="52"/>
      <c r="R1317" s="33" t="n">
        <f aca="false">INDEX(Épopées!$L$6:$L$59,MATCH(K1317,Épopées!$A$6:$A$59,0))</f>
        <v>46574</v>
      </c>
      <c r="S1317" s="33" t="n">
        <f aca="false">INDEX(Épopées!$M$6:$M$59,MATCH(K1317,Épopées!$A$6:$A$59,0))</f>
        <v>46601</v>
      </c>
      <c r="T1317" s="53" t="s">
        <v>463</v>
      </c>
    </row>
    <row r="1318" customFormat="false" ht="15" hidden="false" customHeight="false" outlineLevel="0" collapsed="false">
      <c r="A1318" s="31" t="s">
        <v>3517</v>
      </c>
      <c r="B1318" s="31" t="s">
        <v>404</v>
      </c>
      <c r="C1318" s="31" t="s">
        <v>437</v>
      </c>
      <c r="D1318" s="31" t="s">
        <v>438</v>
      </c>
      <c r="E1318" s="31" t="s">
        <v>3518</v>
      </c>
      <c r="F1318" s="31" t="s">
        <v>472</v>
      </c>
      <c r="G1318" s="31" t="s">
        <v>466</v>
      </c>
      <c r="H1318" s="31" t="s">
        <v>41</v>
      </c>
      <c r="I1318" s="31" t="n">
        <f aca="false">VLOOKUP(H1318,Paramètres!$A$15:$B$19,2,FALSE())</f>
        <v>1</v>
      </c>
      <c r="J1318" s="31" t="n">
        <v>2</v>
      </c>
      <c r="K1318" s="50" t="str">
        <f aca="false">C1318&amp;"|"&amp;J1318</f>
        <v>ADM-WG|2</v>
      </c>
      <c r="L1318" s="31" t="s">
        <v>3519</v>
      </c>
      <c r="M1318" s="31" t="n">
        <v>7</v>
      </c>
      <c r="N1318" s="51" t="s">
        <v>462</v>
      </c>
      <c r="O1318" s="35" t="s">
        <v>78</v>
      </c>
      <c r="P1318" s="52"/>
      <c r="Q1318" s="52"/>
      <c r="R1318" s="33" t="n">
        <f aca="false">INDEX(Épopées!$L$6:$L$59,MATCH(K1318,Épopées!$A$6:$A$59,0))</f>
        <v>46574</v>
      </c>
      <c r="S1318" s="33" t="n">
        <f aca="false">INDEX(Épopées!$M$6:$M$59,MATCH(K1318,Épopées!$A$6:$A$59,0))</f>
        <v>46601</v>
      </c>
      <c r="T1318" s="53" t="s">
        <v>463</v>
      </c>
    </row>
    <row r="1319" customFormat="false" ht="15" hidden="false" customHeight="false" outlineLevel="0" collapsed="false">
      <c r="A1319" s="31" t="s">
        <v>3520</v>
      </c>
      <c r="B1319" s="31" t="s">
        <v>404</v>
      </c>
      <c r="C1319" s="31" t="s">
        <v>213</v>
      </c>
      <c r="D1319" s="31" t="s">
        <v>435</v>
      </c>
      <c r="E1319" s="31" t="s">
        <v>3521</v>
      </c>
      <c r="F1319" s="31" t="s">
        <v>1623</v>
      </c>
      <c r="G1319" s="31" t="s">
        <v>466</v>
      </c>
      <c r="H1319" s="31" t="s">
        <v>43</v>
      </c>
      <c r="I1319" s="31" t="n">
        <f aca="false">VLOOKUP(H1319,Paramètres!$A$15:$B$19,2,FALSE())</f>
        <v>2</v>
      </c>
      <c r="J1319" s="31" t="n">
        <v>2</v>
      </c>
      <c r="K1319" s="50" t="str">
        <f aca="false">C1319&amp;"|"&amp;J1319</f>
        <v>ADM-WJ|2</v>
      </c>
      <c r="L1319" s="31" t="s">
        <v>3452</v>
      </c>
      <c r="M1319" s="31" t="n">
        <v>1</v>
      </c>
      <c r="N1319" s="51" t="s">
        <v>462</v>
      </c>
      <c r="O1319" s="35" t="s">
        <v>78</v>
      </c>
      <c r="P1319" s="52"/>
      <c r="Q1319" s="52"/>
      <c r="R1319" s="33" t="n">
        <f aca="false">INDEX(Épopées!$L$6:$L$59,MATCH(K1319,Épopées!$A$6:$A$59,0))</f>
        <v>46602</v>
      </c>
      <c r="S1319" s="33" t="n">
        <f aca="false">INDEX(Épopées!$M$6:$M$59,MATCH(K1319,Épopées!$A$6:$A$59,0))</f>
        <v>46609</v>
      </c>
      <c r="T1319" s="53" t="s">
        <v>463</v>
      </c>
    </row>
    <row r="1320" customFormat="false" ht="15" hidden="false" customHeight="false" outlineLevel="0" collapsed="false">
      <c r="A1320" s="31" t="s">
        <v>3522</v>
      </c>
      <c r="B1320" s="31" t="s">
        <v>404</v>
      </c>
      <c r="C1320" s="31" t="s">
        <v>213</v>
      </c>
      <c r="D1320" s="31" t="s">
        <v>435</v>
      </c>
      <c r="E1320" s="31" t="s">
        <v>3523</v>
      </c>
      <c r="F1320" s="31" t="s">
        <v>491</v>
      </c>
      <c r="G1320" s="31" t="s">
        <v>612</v>
      </c>
      <c r="H1320" s="31" t="s">
        <v>41</v>
      </c>
      <c r="I1320" s="31" t="n">
        <f aca="false">VLOOKUP(H1320,Paramètres!$A$15:$B$19,2,FALSE())</f>
        <v>1</v>
      </c>
      <c r="J1320" s="31" t="n">
        <v>2</v>
      </c>
      <c r="K1320" s="50" t="str">
        <f aca="false">C1320&amp;"|"&amp;J1320</f>
        <v>ADM-WJ|2</v>
      </c>
      <c r="L1320" s="31" t="s">
        <v>3520</v>
      </c>
      <c r="M1320" s="31" t="n">
        <v>1</v>
      </c>
      <c r="N1320" s="51" t="s">
        <v>462</v>
      </c>
      <c r="O1320" s="35" t="s">
        <v>78</v>
      </c>
      <c r="P1320" s="52"/>
      <c r="Q1320" s="52"/>
      <c r="R1320" s="33" t="n">
        <f aca="false">INDEX(Épopées!$L$6:$L$59,MATCH(K1320,Épopées!$A$6:$A$59,0))</f>
        <v>46602</v>
      </c>
      <c r="S1320" s="33" t="n">
        <f aca="false">INDEX(Épopées!$M$6:$M$59,MATCH(K1320,Épopées!$A$6:$A$59,0))</f>
        <v>46609</v>
      </c>
      <c r="T1320" s="53" t="s">
        <v>463</v>
      </c>
    </row>
    <row r="1321" customFormat="false" ht="15" hidden="false" customHeight="false" outlineLevel="0" collapsed="false">
      <c r="A1321" s="31" t="s">
        <v>3524</v>
      </c>
      <c r="B1321" s="31" t="s">
        <v>404</v>
      </c>
      <c r="C1321" s="31" t="s">
        <v>213</v>
      </c>
      <c r="D1321" s="31" t="s">
        <v>435</v>
      </c>
      <c r="E1321" s="31" t="s">
        <v>3525</v>
      </c>
      <c r="F1321" s="31" t="s">
        <v>1623</v>
      </c>
      <c r="G1321" s="31" t="s">
        <v>466</v>
      </c>
      <c r="H1321" s="31" t="s">
        <v>43</v>
      </c>
      <c r="I1321" s="31" t="n">
        <f aca="false">VLOOKUP(H1321,Paramètres!$A$15:$B$19,2,FALSE())</f>
        <v>2</v>
      </c>
      <c r="J1321" s="31" t="n">
        <v>2</v>
      </c>
      <c r="K1321" s="50" t="str">
        <f aca="false">C1321&amp;"|"&amp;J1321</f>
        <v>ADM-WJ|2</v>
      </c>
      <c r="L1321" s="31" t="s">
        <v>3452</v>
      </c>
      <c r="M1321" s="31" t="n">
        <v>1</v>
      </c>
      <c r="N1321" s="51" t="s">
        <v>462</v>
      </c>
      <c r="O1321" s="35" t="s">
        <v>78</v>
      </c>
      <c r="P1321" s="52"/>
      <c r="Q1321" s="52"/>
      <c r="R1321" s="33" t="n">
        <f aca="false">INDEX(Épopées!$L$6:$L$59,MATCH(K1321,Épopées!$A$6:$A$59,0))</f>
        <v>46602</v>
      </c>
      <c r="S1321" s="33" t="n">
        <f aca="false">INDEX(Épopées!$M$6:$M$59,MATCH(K1321,Épopées!$A$6:$A$59,0))</f>
        <v>46609</v>
      </c>
      <c r="T1321" s="53" t="s">
        <v>463</v>
      </c>
    </row>
    <row r="1322" customFormat="false" ht="15" hidden="false" customHeight="false" outlineLevel="0" collapsed="false">
      <c r="A1322" s="31" t="s">
        <v>3526</v>
      </c>
      <c r="B1322" s="31" t="s">
        <v>404</v>
      </c>
      <c r="C1322" s="31" t="s">
        <v>213</v>
      </c>
      <c r="D1322" s="31" t="s">
        <v>435</v>
      </c>
      <c r="E1322" s="31" t="s">
        <v>3527</v>
      </c>
      <c r="F1322" s="31" t="s">
        <v>491</v>
      </c>
      <c r="G1322" s="31" t="s">
        <v>466</v>
      </c>
      <c r="H1322" s="31" t="s">
        <v>41</v>
      </c>
      <c r="I1322" s="31" t="n">
        <f aca="false">VLOOKUP(H1322,Paramètres!$A$15:$B$19,2,FALSE())</f>
        <v>1</v>
      </c>
      <c r="J1322" s="31" t="n">
        <v>2</v>
      </c>
      <c r="K1322" s="50" t="str">
        <f aca="false">C1322&amp;"|"&amp;J1322</f>
        <v>ADM-WJ|2</v>
      </c>
      <c r="L1322" s="31" t="s">
        <v>3524</v>
      </c>
      <c r="M1322" s="31" t="n">
        <v>1</v>
      </c>
      <c r="N1322" s="51" t="s">
        <v>462</v>
      </c>
      <c r="O1322" s="35" t="s">
        <v>78</v>
      </c>
      <c r="P1322" s="52"/>
      <c r="Q1322" s="52"/>
      <c r="R1322" s="33" t="n">
        <f aca="false">INDEX(Épopées!$L$6:$L$59,MATCH(K1322,Épopées!$A$6:$A$59,0))</f>
        <v>46602</v>
      </c>
      <c r="S1322" s="33" t="n">
        <f aca="false">INDEX(Épopées!$M$6:$M$59,MATCH(K1322,Épopées!$A$6:$A$59,0))</f>
        <v>46609</v>
      </c>
      <c r="T1322" s="53" t="s">
        <v>463</v>
      </c>
    </row>
    <row r="1323" customFormat="false" ht="15" hidden="false" customHeight="false" outlineLevel="0" collapsed="false">
      <c r="A1323" s="31" t="s">
        <v>3528</v>
      </c>
      <c r="B1323" s="31" t="s">
        <v>404</v>
      </c>
      <c r="C1323" s="31" t="s">
        <v>213</v>
      </c>
      <c r="D1323" s="31" t="s">
        <v>435</v>
      </c>
      <c r="E1323" s="31" t="s">
        <v>3529</v>
      </c>
      <c r="F1323" s="31" t="s">
        <v>472</v>
      </c>
      <c r="G1323" s="31" t="s">
        <v>466</v>
      </c>
      <c r="H1323" s="31" t="s">
        <v>41</v>
      </c>
      <c r="I1323" s="31" t="n">
        <f aca="false">VLOOKUP(H1323,Paramètres!$A$15:$B$19,2,FALSE())</f>
        <v>1</v>
      </c>
      <c r="J1323" s="31" t="n">
        <v>2</v>
      </c>
      <c r="K1323" s="50" t="str">
        <f aca="false">C1323&amp;"|"&amp;J1323</f>
        <v>ADM-WJ|2</v>
      </c>
      <c r="L1323" s="31" t="s">
        <v>3530</v>
      </c>
      <c r="M1323" s="31" t="n">
        <v>6</v>
      </c>
      <c r="N1323" s="51" t="s">
        <v>462</v>
      </c>
      <c r="O1323" s="35" t="s">
        <v>78</v>
      </c>
      <c r="P1323" s="52"/>
      <c r="Q1323" s="52"/>
      <c r="R1323" s="33" t="n">
        <f aca="false">INDEX(Épopées!$L$6:$L$59,MATCH(K1323,Épopées!$A$6:$A$59,0))</f>
        <v>46602</v>
      </c>
      <c r="S1323" s="33" t="n">
        <f aca="false">INDEX(Épopées!$M$6:$M$59,MATCH(K1323,Épopées!$A$6:$A$59,0))</f>
        <v>46609</v>
      </c>
      <c r="T1323" s="53" t="s">
        <v>463</v>
      </c>
    </row>
    <row r="1324" customFormat="false" ht="15" hidden="false" customHeight="false" outlineLevel="0" collapsed="false">
      <c r="A1324" s="31" t="s">
        <v>3531</v>
      </c>
      <c r="B1324" s="31" t="s">
        <v>404</v>
      </c>
      <c r="C1324" s="31" t="s">
        <v>213</v>
      </c>
      <c r="D1324" s="31" t="s">
        <v>435</v>
      </c>
      <c r="E1324" s="31" t="s">
        <v>3532</v>
      </c>
      <c r="F1324" s="31" t="s">
        <v>1623</v>
      </c>
      <c r="G1324" s="31" t="s">
        <v>612</v>
      </c>
      <c r="H1324" s="31" t="s">
        <v>43</v>
      </c>
      <c r="I1324" s="31" t="n">
        <f aca="false">VLOOKUP(H1324,Paramètres!$A$15:$B$19,2,FALSE())</f>
        <v>2</v>
      </c>
      <c r="J1324" s="31" t="n">
        <v>3</v>
      </c>
      <c r="K1324" s="50" t="str">
        <f aca="false">C1324&amp;"|"&amp;J1324</f>
        <v>ADM-WJ|3</v>
      </c>
      <c r="L1324" s="31" t="s">
        <v>3452</v>
      </c>
      <c r="M1324" s="31" t="n">
        <v>1</v>
      </c>
      <c r="N1324" s="51" t="s">
        <v>462</v>
      </c>
      <c r="O1324" s="35" t="s">
        <v>78</v>
      </c>
      <c r="P1324" s="52"/>
      <c r="Q1324" s="52"/>
      <c r="R1324" s="33" t="n">
        <f aca="false">INDEX(Épopées!$L$6:$L$59,MATCH(K1324,Épopées!$A$6:$A$59,0))</f>
        <v>46673</v>
      </c>
      <c r="S1324" s="33" t="n">
        <f aca="false">INDEX(Épopées!$M$6:$M$59,MATCH(K1324,Épopées!$A$6:$A$59,0))</f>
        <v>46679</v>
      </c>
      <c r="T1324" s="53" t="s">
        <v>463</v>
      </c>
    </row>
    <row r="1325" customFormat="false" ht="15" hidden="false" customHeight="false" outlineLevel="0" collapsed="false">
      <c r="A1325" s="31" t="s">
        <v>3533</v>
      </c>
      <c r="B1325" s="31" t="s">
        <v>404</v>
      </c>
      <c r="C1325" s="31" t="s">
        <v>213</v>
      </c>
      <c r="D1325" s="31" t="s">
        <v>435</v>
      </c>
      <c r="E1325" s="31" t="s">
        <v>3534</v>
      </c>
      <c r="F1325" s="31" t="s">
        <v>491</v>
      </c>
      <c r="G1325" s="31" t="s">
        <v>612</v>
      </c>
      <c r="H1325" s="31" t="s">
        <v>41</v>
      </c>
      <c r="I1325" s="31" t="n">
        <f aca="false">VLOOKUP(H1325,Paramètres!$A$15:$B$19,2,FALSE())</f>
        <v>1</v>
      </c>
      <c r="J1325" s="31" t="n">
        <v>3</v>
      </c>
      <c r="K1325" s="50" t="str">
        <f aca="false">C1325&amp;"|"&amp;J1325</f>
        <v>ADM-WJ|3</v>
      </c>
      <c r="L1325" s="31" t="s">
        <v>3531</v>
      </c>
      <c r="M1325" s="31" t="n">
        <v>1</v>
      </c>
      <c r="N1325" s="51" t="s">
        <v>462</v>
      </c>
      <c r="O1325" s="35" t="s">
        <v>78</v>
      </c>
      <c r="P1325" s="52"/>
      <c r="Q1325" s="52"/>
      <c r="R1325" s="33" t="n">
        <f aca="false">INDEX(Épopées!$L$6:$L$59,MATCH(K1325,Épopées!$A$6:$A$59,0))</f>
        <v>46673</v>
      </c>
      <c r="S1325" s="33" t="n">
        <f aca="false">INDEX(Épopées!$M$6:$M$59,MATCH(K1325,Épopées!$A$6:$A$59,0))</f>
        <v>46679</v>
      </c>
      <c r="T1325" s="53" t="s">
        <v>463</v>
      </c>
    </row>
    <row r="1326" customFormat="false" ht="15" hidden="false" customHeight="false" outlineLevel="0" collapsed="false">
      <c r="A1326" s="31" t="s">
        <v>3535</v>
      </c>
      <c r="B1326" s="31" t="s">
        <v>404</v>
      </c>
      <c r="C1326" s="31" t="s">
        <v>213</v>
      </c>
      <c r="D1326" s="31" t="s">
        <v>435</v>
      </c>
      <c r="E1326" s="31" t="s">
        <v>3536</v>
      </c>
      <c r="F1326" s="31" t="s">
        <v>1623</v>
      </c>
      <c r="G1326" s="31" t="s">
        <v>612</v>
      </c>
      <c r="H1326" s="31" t="s">
        <v>43</v>
      </c>
      <c r="I1326" s="31" t="n">
        <f aca="false">VLOOKUP(H1326,Paramètres!$A$15:$B$19,2,FALSE())</f>
        <v>2</v>
      </c>
      <c r="J1326" s="31" t="n">
        <v>3</v>
      </c>
      <c r="K1326" s="50" t="str">
        <f aca="false">C1326&amp;"|"&amp;J1326</f>
        <v>ADM-WJ|3</v>
      </c>
      <c r="L1326" s="31" t="s">
        <v>3452</v>
      </c>
      <c r="M1326" s="31" t="n">
        <v>1</v>
      </c>
      <c r="N1326" s="51" t="s">
        <v>462</v>
      </c>
      <c r="O1326" s="35" t="s">
        <v>78</v>
      </c>
      <c r="P1326" s="52"/>
      <c r="Q1326" s="52"/>
      <c r="R1326" s="33" t="n">
        <f aca="false">INDEX(Épopées!$L$6:$L$59,MATCH(K1326,Épopées!$A$6:$A$59,0))</f>
        <v>46673</v>
      </c>
      <c r="S1326" s="33" t="n">
        <f aca="false">INDEX(Épopées!$M$6:$M$59,MATCH(K1326,Épopées!$A$6:$A$59,0))</f>
        <v>46679</v>
      </c>
      <c r="T1326" s="53" t="s">
        <v>463</v>
      </c>
    </row>
    <row r="1327" customFormat="false" ht="15" hidden="false" customHeight="false" outlineLevel="0" collapsed="false">
      <c r="A1327" s="31" t="s">
        <v>3537</v>
      </c>
      <c r="B1327" s="31" t="s">
        <v>404</v>
      </c>
      <c r="C1327" s="31" t="s">
        <v>213</v>
      </c>
      <c r="D1327" s="31" t="s">
        <v>435</v>
      </c>
      <c r="E1327" s="31" t="s">
        <v>3538</v>
      </c>
      <c r="F1327" s="31" t="s">
        <v>491</v>
      </c>
      <c r="G1327" s="31" t="s">
        <v>612</v>
      </c>
      <c r="H1327" s="31" t="s">
        <v>41</v>
      </c>
      <c r="I1327" s="31" t="n">
        <f aca="false">VLOOKUP(H1327,Paramètres!$A$15:$B$19,2,FALSE())</f>
        <v>1</v>
      </c>
      <c r="J1327" s="31" t="n">
        <v>3</v>
      </c>
      <c r="K1327" s="50" t="str">
        <f aca="false">C1327&amp;"|"&amp;J1327</f>
        <v>ADM-WJ|3</v>
      </c>
      <c r="L1327" s="31" t="s">
        <v>3535</v>
      </c>
      <c r="M1327" s="31" t="n">
        <v>1</v>
      </c>
      <c r="N1327" s="51" t="s">
        <v>462</v>
      </c>
      <c r="O1327" s="35" t="s">
        <v>78</v>
      </c>
      <c r="P1327" s="52"/>
      <c r="Q1327" s="52"/>
      <c r="R1327" s="33" t="n">
        <f aca="false">INDEX(Épopées!$L$6:$L$59,MATCH(K1327,Épopées!$A$6:$A$59,0))</f>
        <v>46673</v>
      </c>
      <c r="S1327" s="33" t="n">
        <f aca="false">INDEX(Épopées!$M$6:$M$59,MATCH(K1327,Épopées!$A$6:$A$59,0))</f>
        <v>46679</v>
      </c>
      <c r="T1327" s="53" t="s">
        <v>463</v>
      </c>
    </row>
  </sheetData>
  <autoFilter ref="A5:T1327"/>
  <conditionalFormatting sqref="O6:O1327">
    <cfRule type="expression" priority="2" aboveAverage="0" equalAverage="0" bottom="0" percent="0" rank="0" text="" dxfId="6">
      <formula>$O6="Terminé"</formula>
    </cfRule>
    <cfRule type="expression" priority="3" aboveAverage="0" equalAverage="0" bottom="0" percent="0" rank="0" text="" dxfId="7">
      <formula>$O6="En cours"</formula>
    </cfRule>
    <cfRule type="expression" priority="4" aboveAverage="0" equalAverage="0" bottom="0" percent="0" rank="0" text="" dxfId="17">
      <formula>$O6="En revue"</formula>
    </cfRule>
    <cfRule type="expression" priority="5" aboveAverage="0" equalAverage="0" bottom="0" percent="0" rank="0" text="" dxfId="18">
      <formula>$O6="Bloqué"</formula>
    </cfRule>
  </conditionalFormatting>
  <conditionalFormatting sqref="J6:J1327">
    <cfRule type="expression" priority="6" aboveAverage="0" equalAverage="0" bottom="0" percent="0" rank="0" text="" dxfId="19">
      <formula>$J6=0</formula>
    </cfRule>
    <cfRule type="expression" priority="7" aboveAverage="0" equalAverage="0" bottom="0" percent="0" rank="0" text="" dxfId="20">
      <formula>$J6=1</formula>
    </cfRule>
    <cfRule type="expression" priority="8" aboveAverage="0" equalAverage="0" bottom="0" percent="0" rank="0" text="" dxfId="21">
      <formula>$J6=2</formula>
    </cfRule>
    <cfRule type="expression" priority="9" aboveAverage="0" equalAverage="0" bottom="0" percent="0" rank="0" text="" dxfId="22">
      <formula>$J6=3</formula>
    </cfRule>
  </conditionalFormatting>
  <dataValidations count="1">
    <dataValidation allowBlank="false" errorStyle="stop" operator="between" showDropDown="false" showErrorMessage="false" showInputMessage="false" sqref="O6:O1327" type="list">
      <formula1>"À faire,En cours,En revue,Terminé,Bloqué"</formula1>
      <formula2>0</formula2>
    </dataValidation>
  </dataValidations>
  <hyperlinks>
    <hyperlink ref="T6" r:id="rId1" display="Ouvrir"/>
    <hyperlink ref="T7" r:id="rId2" display="Ouvrir"/>
    <hyperlink ref="T8" r:id="rId3" display="Ouvrir"/>
    <hyperlink ref="T9" r:id="rId4" display="Ouvrir"/>
    <hyperlink ref="T10" r:id="rId5" display="Ouvrir"/>
    <hyperlink ref="T11" r:id="rId6" display="Ouvrir"/>
    <hyperlink ref="T12" r:id="rId7" display="Ouvrir"/>
    <hyperlink ref="T13" r:id="rId8" display="Ouvrir"/>
    <hyperlink ref="T14" r:id="rId9" display="Ouvrir"/>
    <hyperlink ref="T15" r:id="rId10" display="Ouvrir"/>
    <hyperlink ref="T16" r:id="rId11" display="Ouvrir"/>
    <hyperlink ref="T17" r:id="rId12" display="Ouvrir"/>
    <hyperlink ref="T18" r:id="rId13" display="Ouvrir"/>
    <hyperlink ref="T19" r:id="rId14" display="Ouvrir"/>
    <hyperlink ref="T20" r:id="rId15" display="Ouvrir"/>
    <hyperlink ref="T21" r:id="rId16" display="Ouvrir"/>
    <hyperlink ref="T22" r:id="rId17" display="Ouvrir"/>
    <hyperlink ref="T23" r:id="rId18" display="Ouvrir"/>
    <hyperlink ref="T24" r:id="rId19" display="Ouvrir"/>
    <hyperlink ref="T25" r:id="rId20" display="Ouvrir"/>
    <hyperlink ref="T26" r:id="rId21" display="Ouvrir"/>
    <hyperlink ref="T27" r:id="rId22" display="Ouvrir"/>
    <hyperlink ref="T28" r:id="rId23" display="Ouvrir"/>
    <hyperlink ref="T29" r:id="rId24" display="Ouvrir"/>
    <hyperlink ref="T30" r:id="rId25" display="Ouvrir"/>
    <hyperlink ref="T31" r:id="rId26" display="Ouvrir"/>
    <hyperlink ref="T32" r:id="rId27" display="Ouvrir"/>
    <hyperlink ref="T33" r:id="rId28" display="Ouvrir"/>
    <hyperlink ref="T34" r:id="rId29" display="Ouvrir"/>
    <hyperlink ref="T35" r:id="rId30" display="Ouvrir"/>
    <hyperlink ref="T36" r:id="rId31" display="Ouvrir"/>
    <hyperlink ref="T37" r:id="rId32" display="Ouvrir"/>
    <hyperlink ref="T38" r:id="rId33" display="Ouvrir"/>
    <hyperlink ref="T39" r:id="rId34" display="Ouvrir"/>
    <hyperlink ref="T40" r:id="rId35" display="Ouvrir"/>
    <hyperlink ref="T41" r:id="rId36" display="Ouvrir"/>
    <hyperlink ref="T42" r:id="rId37" display="Ouvrir"/>
    <hyperlink ref="T43" r:id="rId38" display="Ouvrir"/>
    <hyperlink ref="T44" r:id="rId39" display="Ouvrir"/>
    <hyperlink ref="T45" r:id="rId40" display="Ouvrir"/>
    <hyperlink ref="T46" r:id="rId41" display="Ouvrir"/>
    <hyperlink ref="T47" r:id="rId42" display="Ouvrir"/>
    <hyperlink ref="T48" r:id="rId43" display="Ouvrir"/>
    <hyperlink ref="T49" r:id="rId44" display="Ouvrir"/>
    <hyperlink ref="T50" r:id="rId45" display="Ouvrir"/>
    <hyperlink ref="T51" r:id="rId46" display="Ouvrir"/>
    <hyperlink ref="T52" r:id="rId47" display="Ouvrir"/>
    <hyperlink ref="T53" r:id="rId48" display="Ouvrir"/>
    <hyperlink ref="T54" r:id="rId49" display="Ouvrir"/>
    <hyperlink ref="T55" r:id="rId50" display="Ouvrir"/>
    <hyperlink ref="T56" r:id="rId51" display="Ouvrir"/>
    <hyperlink ref="T57" r:id="rId52" display="Ouvrir"/>
    <hyperlink ref="T58" r:id="rId53" display="Ouvrir"/>
    <hyperlink ref="T59" r:id="rId54" display="Ouvrir"/>
    <hyperlink ref="T60" r:id="rId55" display="Ouvrir"/>
    <hyperlink ref="T61" r:id="rId56" display="Ouvrir"/>
    <hyperlink ref="T62" r:id="rId57" display="Ouvrir"/>
    <hyperlink ref="T63" r:id="rId58" display="Ouvrir"/>
    <hyperlink ref="T64" r:id="rId59" display="Ouvrir"/>
    <hyperlink ref="T65" r:id="rId60" display="Ouvrir"/>
    <hyperlink ref="T66" r:id="rId61" display="Ouvrir"/>
    <hyperlink ref="T67" r:id="rId62" display="Ouvrir"/>
    <hyperlink ref="T68" r:id="rId63" display="Ouvrir"/>
    <hyperlink ref="T69" r:id="rId64" display="Ouvrir"/>
    <hyperlink ref="T70" r:id="rId65" display="Ouvrir"/>
    <hyperlink ref="T71" r:id="rId66" display="Ouvrir"/>
    <hyperlink ref="T72" r:id="rId67" display="Ouvrir"/>
    <hyperlink ref="T73" r:id="rId68" display="Ouvrir"/>
    <hyperlink ref="T74" r:id="rId69" display="Ouvrir"/>
    <hyperlink ref="T75" r:id="rId70" display="Ouvrir"/>
    <hyperlink ref="T76" r:id="rId71" display="Ouvrir"/>
    <hyperlink ref="T77" r:id="rId72" display="Ouvrir"/>
    <hyperlink ref="T78" r:id="rId73" display="Ouvrir"/>
    <hyperlink ref="T79" r:id="rId74" display="Ouvrir"/>
    <hyperlink ref="T80" r:id="rId75" display="Ouvrir"/>
    <hyperlink ref="T81" r:id="rId76" display="Ouvrir"/>
    <hyperlink ref="T82" r:id="rId77" display="Ouvrir"/>
    <hyperlink ref="T83" r:id="rId78" display="Ouvrir"/>
    <hyperlink ref="T84" r:id="rId79" display="Ouvrir"/>
    <hyperlink ref="T85" r:id="rId80" display="Ouvrir"/>
    <hyperlink ref="T86" r:id="rId81" display="Ouvrir"/>
    <hyperlink ref="T87" r:id="rId82" display="Ouvrir"/>
    <hyperlink ref="T88" r:id="rId83" display="Ouvrir"/>
    <hyperlink ref="T89" r:id="rId84" display="Ouvrir"/>
    <hyperlink ref="T90" r:id="rId85" display="Ouvrir"/>
    <hyperlink ref="T91" r:id="rId86" display="Ouvrir"/>
    <hyperlink ref="T92" r:id="rId87" display="Ouvrir"/>
    <hyperlink ref="T93" r:id="rId88" display="Ouvrir"/>
    <hyperlink ref="T94" r:id="rId89" display="Ouvrir"/>
    <hyperlink ref="T95" r:id="rId90" display="Ouvrir"/>
    <hyperlink ref="T96" r:id="rId91" display="Ouvrir"/>
    <hyperlink ref="T97" r:id="rId92" display="Ouvrir"/>
    <hyperlink ref="T98" r:id="rId93" display="Ouvrir"/>
    <hyperlink ref="T99" r:id="rId94" display="Ouvrir"/>
    <hyperlink ref="T100" r:id="rId95" display="Ouvrir"/>
    <hyperlink ref="T101" r:id="rId96" display="Ouvrir"/>
    <hyperlink ref="T102" r:id="rId97" display="Ouvrir"/>
    <hyperlink ref="T103" r:id="rId98" display="Ouvrir"/>
    <hyperlink ref="T104" r:id="rId99" display="Ouvrir"/>
    <hyperlink ref="T105" r:id="rId100" display="Ouvrir"/>
    <hyperlink ref="T106" r:id="rId101" display="Ouvrir"/>
    <hyperlink ref="T107" r:id="rId102" display="Ouvrir"/>
    <hyperlink ref="T108" r:id="rId103" display="Ouvrir"/>
    <hyperlink ref="T109" r:id="rId104" display="Ouvrir"/>
    <hyperlink ref="T110" r:id="rId105" display="Ouvrir"/>
    <hyperlink ref="T111" r:id="rId106" display="Ouvrir"/>
    <hyperlink ref="T112" r:id="rId107" display="Ouvrir"/>
    <hyperlink ref="T113" r:id="rId108" display="Ouvrir"/>
    <hyperlink ref="T114" r:id="rId109" display="Ouvrir"/>
    <hyperlink ref="T115" r:id="rId110" display="Ouvrir"/>
    <hyperlink ref="T116" r:id="rId111" display="Ouvrir"/>
    <hyperlink ref="T117" r:id="rId112" display="Ouvrir"/>
    <hyperlink ref="T118" r:id="rId113" display="Ouvrir"/>
    <hyperlink ref="T119" r:id="rId114" display="Ouvrir"/>
    <hyperlink ref="T120" r:id="rId115" display="Ouvrir"/>
    <hyperlink ref="T121" r:id="rId116" display="Ouvrir"/>
    <hyperlink ref="T122" r:id="rId117" display="Ouvrir"/>
    <hyperlink ref="T123" r:id="rId118" display="Ouvrir"/>
    <hyperlink ref="T124" r:id="rId119" display="Ouvrir"/>
    <hyperlink ref="T125" r:id="rId120" display="Ouvrir"/>
    <hyperlink ref="T126" r:id="rId121" display="Ouvrir"/>
    <hyperlink ref="T127" r:id="rId122" display="Ouvrir"/>
    <hyperlink ref="T128" r:id="rId123" display="Ouvrir"/>
    <hyperlink ref="T129" r:id="rId124" display="Ouvrir"/>
    <hyperlink ref="T130" r:id="rId125" display="Ouvrir"/>
    <hyperlink ref="T131" r:id="rId126" display="Ouvrir"/>
    <hyperlink ref="T132" r:id="rId127" display="Ouvrir"/>
    <hyperlink ref="T133" r:id="rId128" display="Ouvrir"/>
    <hyperlink ref="T134" r:id="rId129" display="Ouvrir"/>
    <hyperlink ref="T135" r:id="rId130" display="Ouvrir"/>
    <hyperlink ref="T136" r:id="rId131" display="Ouvrir"/>
    <hyperlink ref="T137" r:id="rId132" display="Ouvrir"/>
    <hyperlink ref="T138" r:id="rId133" display="Ouvrir"/>
    <hyperlink ref="T139" r:id="rId134" display="Ouvrir"/>
    <hyperlink ref="T140" r:id="rId135" display="Ouvrir"/>
    <hyperlink ref="T141" r:id="rId136" display="Ouvrir"/>
    <hyperlink ref="T142" r:id="rId137" display="Ouvrir"/>
    <hyperlink ref="T143" r:id="rId138" display="Ouvrir"/>
    <hyperlink ref="T144" r:id="rId139" display="Ouvrir"/>
    <hyperlink ref="T145" r:id="rId140" display="Ouvrir"/>
    <hyperlink ref="T146" r:id="rId141" display="Ouvrir"/>
    <hyperlink ref="T147" r:id="rId142" display="Ouvrir"/>
    <hyperlink ref="T148" r:id="rId143" display="Ouvrir"/>
    <hyperlink ref="T149" r:id="rId144" display="Ouvrir"/>
    <hyperlink ref="T150" r:id="rId145" display="Ouvrir"/>
    <hyperlink ref="T151" r:id="rId146" display="Ouvrir"/>
    <hyperlink ref="T152" r:id="rId147" display="Ouvrir"/>
    <hyperlink ref="T153" r:id="rId148" display="Ouvrir"/>
    <hyperlink ref="T154" r:id="rId149" display="Ouvrir"/>
    <hyperlink ref="T155" r:id="rId150" display="Ouvrir"/>
    <hyperlink ref="T156" r:id="rId151" display="Ouvrir"/>
    <hyperlink ref="T157" r:id="rId152" display="Ouvrir"/>
    <hyperlink ref="T158" r:id="rId153" display="Ouvrir"/>
    <hyperlink ref="T159" r:id="rId154" display="Ouvrir"/>
    <hyperlink ref="T160" r:id="rId155" display="Ouvrir"/>
    <hyperlink ref="T161" r:id="rId156" display="Ouvrir"/>
    <hyperlink ref="T162" r:id="rId157" display="Ouvrir"/>
    <hyperlink ref="T163" r:id="rId158" display="Ouvrir"/>
    <hyperlink ref="T164" r:id="rId159" display="Ouvrir"/>
    <hyperlink ref="T165" r:id="rId160" display="Ouvrir"/>
    <hyperlink ref="T166" r:id="rId161" display="Ouvrir"/>
    <hyperlink ref="T167" r:id="rId162" display="Ouvrir"/>
    <hyperlink ref="T168" r:id="rId163" display="Ouvrir"/>
    <hyperlink ref="T169" r:id="rId164" display="Ouvrir"/>
    <hyperlink ref="T170" r:id="rId165" display="Ouvrir"/>
    <hyperlink ref="T171" r:id="rId166" display="Ouvrir"/>
    <hyperlink ref="T172" r:id="rId167" display="Ouvrir"/>
    <hyperlink ref="T173" r:id="rId168" display="Ouvrir"/>
    <hyperlink ref="T174" r:id="rId169" display="Ouvrir"/>
    <hyperlink ref="T175" r:id="rId170" display="Ouvrir"/>
    <hyperlink ref="T176" r:id="rId171" display="Ouvrir"/>
    <hyperlink ref="T177" r:id="rId172" display="Ouvrir"/>
    <hyperlink ref="T178" r:id="rId173" display="Ouvrir"/>
    <hyperlink ref="T179" r:id="rId174" display="Ouvrir"/>
    <hyperlink ref="T180" r:id="rId175" display="Ouvrir"/>
    <hyperlink ref="T181" r:id="rId176" display="Ouvrir"/>
    <hyperlink ref="T182" r:id="rId177" display="Ouvrir"/>
    <hyperlink ref="T183" r:id="rId178" display="Ouvrir"/>
    <hyperlink ref="T184" r:id="rId179" display="Ouvrir"/>
    <hyperlink ref="T185" r:id="rId180" display="Ouvrir"/>
    <hyperlink ref="T186" r:id="rId181" display="Ouvrir"/>
    <hyperlink ref="T187" r:id="rId182" display="Ouvrir"/>
    <hyperlink ref="T188" r:id="rId183" display="Ouvrir"/>
    <hyperlink ref="T189" r:id="rId184" display="Ouvrir"/>
    <hyperlink ref="T190" r:id="rId185" display="Ouvrir"/>
    <hyperlink ref="T191" r:id="rId186" display="Ouvrir"/>
    <hyperlink ref="T192" r:id="rId187" display="Ouvrir"/>
    <hyperlink ref="T193" r:id="rId188" display="Ouvrir"/>
    <hyperlink ref="T194" r:id="rId189" display="Ouvrir"/>
    <hyperlink ref="T195" r:id="rId190" display="Ouvrir"/>
    <hyperlink ref="T196" r:id="rId191" display="Ouvrir"/>
    <hyperlink ref="T197" r:id="rId192" display="Ouvrir"/>
    <hyperlink ref="T198" r:id="rId193" display="Ouvrir"/>
    <hyperlink ref="T199" r:id="rId194" display="Ouvrir"/>
    <hyperlink ref="T200" r:id="rId195" display="Ouvrir"/>
    <hyperlink ref="T201" r:id="rId196" display="Ouvrir"/>
    <hyperlink ref="T202" r:id="rId197" display="Ouvrir"/>
    <hyperlink ref="T203" r:id="rId198" display="Ouvrir"/>
    <hyperlink ref="T204" r:id="rId199" display="Ouvrir"/>
    <hyperlink ref="T205" r:id="rId200" display="Ouvrir"/>
    <hyperlink ref="T206" r:id="rId201" display="Ouvrir"/>
    <hyperlink ref="T207" r:id="rId202" display="Ouvrir"/>
    <hyperlink ref="T208" r:id="rId203" display="Ouvrir"/>
    <hyperlink ref="T209" r:id="rId204" display="Ouvrir"/>
    <hyperlink ref="T210" r:id="rId205" display="Ouvrir"/>
    <hyperlink ref="T211" r:id="rId206" display="Ouvrir"/>
    <hyperlink ref="T212" r:id="rId207" display="Ouvrir"/>
    <hyperlink ref="T213" r:id="rId208" display="Ouvrir"/>
    <hyperlink ref="T214" r:id="rId209" display="Ouvrir"/>
    <hyperlink ref="T215" r:id="rId210" display="Ouvrir"/>
    <hyperlink ref="T216" r:id="rId211" display="Ouvrir"/>
    <hyperlink ref="T217" r:id="rId212" display="Ouvrir"/>
    <hyperlink ref="T218" r:id="rId213" display="Ouvrir"/>
    <hyperlink ref="T219" r:id="rId214" display="Ouvrir"/>
    <hyperlink ref="T220" r:id="rId215" display="Ouvrir"/>
    <hyperlink ref="T221" r:id="rId216" display="Ouvrir"/>
    <hyperlink ref="T222" r:id="rId217" display="Ouvrir"/>
    <hyperlink ref="T223" r:id="rId218" display="Ouvrir"/>
    <hyperlink ref="T224" r:id="rId219" display="Ouvrir"/>
    <hyperlink ref="T225" r:id="rId220" display="Ouvrir"/>
    <hyperlink ref="T226" r:id="rId221" display="Ouvrir"/>
    <hyperlink ref="T227" r:id="rId222" display="Ouvrir"/>
    <hyperlink ref="T228" r:id="rId223" display="Ouvrir"/>
    <hyperlink ref="T229" r:id="rId224" display="Ouvrir"/>
    <hyperlink ref="T230" r:id="rId225" display="Ouvrir"/>
    <hyperlink ref="T231" r:id="rId226" display="Ouvrir"/>
    <hyperlink ref="T232" r:id="rId227" display="Ouvrir"/>
    <hyperlink ref="T233" r:id="rId228" display="Ouvrir"/>
    <hyperlink ref="T234" r:id="rId229" display="Ouvrir"/>
    <hyperlink ref="T235" r:id="rId230" display="Ouvrir"/>
    <hyperlink ref="T236" r:id="rId231" display="Ouvrir"/>
    <hyperlink ref="T237" r:id="rId232" display="Ouvrir"/>
    <hyperlink ref="T238" r:id="rId233" display="Ouvrir"/>
    <hyperlink ref="T239" r:id="rId234" display="Ouvrir"/>
    <hyperlink ref="T240" r:id="rId235" display="Ouvrir"/>
    <hyperlink ref="T241" r:id="rId236" display="Ouvrir"/>
    <hyperlink ref="T242" r:id="rId237" display="Ouvrir"/>
    <hyperlink ref="T243" r:id="rId238" display="Ouvrir"/>
    <hyperlink ref="T244" r:id="rId239" display="Ouvrir"/>
    <hyperlink ref="T245" r:id="rId240" display="Ouvrir"/>
    <hyperlink ref="T246" r:id="rId241" display="Ouvrir"/>
    <hyperlink ref="T247" r:id="rId242" display="Ouvrir"/>
    <hyperlink ref="T248" r:id="rId243" display="Ouvrir"/>
    <hyperlink ref="T249" r:id="rId244" display="Ouvrir"/>
    <hyperlink ref="T250" r:id="rId245" display="Ouvrir"/>
    <hyperlink ref="T251" r:id="rId246" display="Ouvrir"/>
    <hyperlink ref="T252" r:id="rId247" display="Ouvrir"/>
    <hyperlink ref="T253" r:id="rId248" display="Ouvrir"/>
    <hyperlink ref="T254" r:id="rId249" display="Ouvrir"/>
    <hyperlink ref="T255" r:id="rId250" display="Ouvrir"/>
    <hyperlink ref="T256" r:id="rId251" display="Ouvrir"/>
    <hyperlink ref="T257" r:id="rId252" display="Ouvrir"/>
    <hyperlink ref="T258" r:id="rId253" display="Ouvrir"/>
    <hyperlink ref="T259" r:id="rId254" display="Ouvrir"/>
    <hyperlink ref="T260" r:id="rId255" display="Ouvrir"/>
    <hyperlink ref="T261" r:id="rId256" display="Ouvrir"/>
    <hyperlink ref="T262" r:id="rId257" display="Ouvrir"/>
    <hyperlink ref="T263" r:id="rId258" display="Ouvrir"/>
    <hyperlink ref="T264" r:id="rId259" display="Ouvrir"/>
    <hyperlink ref="T265" r:id="rId260" display="Ouvrir"/>
    <hyperlink ref="T266" r:id="rId261" display="Ouvrir"/>
    <hyperlink ref="T267" r:id="rId262" display="Ouvrir"/>
    <hyperlink ref="T268" r:id="rId263" display="Ouvrir"/>
    <hyperlink ref="T269" r:id="rId264" display="Ouvrir"/>
    <hyperlink ref="T270" r:id="rId265" display="Ouvrir"/>
    <hyperlink ref="T271" r:id="rId266" display="Ouvrir"/>
    <hyperlink ref="T272" r:id="rId267" display="Ouvrir"/>
    <hyperlink ref="T273" r:id="rId268" display="Ouvrir"/>
    <hyperlink ref="T274" r:id="rId269" display="Ouvrir"/>
    <hyperlink ref="T275" r:id="rId270" display="Ouvrir"/>
    <hyperlink ref="T276" r:id="rId271" display="Ouvrir"/>
    <hyperlink ref="T277" r:id="rId272" display="Ouvrir"/>
    <hyperlink ref="T278" r:id="rId273" display="Ouvrir"/>
    <hyperlink ref="T279" r:id="rId274" display="Ouvrir"/>
    <hyperlink ref="T280" r:id="rId275" display="Ouvrir"/>
    <hyperlink ref="T281" r:id="rId276" display="Ouvrir"/>
    <hyperlink ref="T282" r:id="rId277" display="Ouvrir"/>
    <hyperlink ref="T283" r:id="rId278" display="Ouvrir"/>
    <hyperlink ref="T284" r:id="rId279" display="Ouvrir"/>
    <hyperlink ref="T285" r:id="rId280" display="Ouvrir"/>
    <hyperlink ref="T286" r:id="rId281" display="Ouvrir"/>
    <hyperlink ref="T287" r:id="rId282" display="Ouvrir"/>
    <hyperlink ref="T288" r:id="rId283" display="Ouvrir"/>
    <hyperlink ref="T289" r:id="rId284" display="Ouvrir"/>
    <hyperlink ref="T290" r:id="rId285" display="Ouvrir"/>
    <hyperlink ref="T291" r:id="rId286" display="Ouvrir"/>
    <hyperlink ref="T292" r:id="rId287" display="Ouvrir"/>
    <hyperlink ref="T293" r:id="rId288" display="Ouvrir"/>
    <hyperlink ref="T294" r:id="rId289" display="Ouvrir"/>
    <hyperlink ref="T295" r:id="rId290" display="Ouvrir"/>
    <hyperlink ref="T296" r:id="rId291" display="Ouvrir"/>
    <hyperlink ref="T297" r:id="rId292" display="Ouvrir"/>
    <hyperlink ref="T298" r:id="rId293" display="Ouvrir"/>
    <hyperlink ref="T299" r:id="rId294" display="Ouvrir"/>
    <hyperlink ref="T300" r:id="rId295" display="Ouvrir"/>
    <hyperlink ref="T301" r:id="rId296" display="Ouvrir"/>
    <hyperlink ref="T302" r:id="rId297" display="Ouvrir"/>
    <hyperlink ref="T303" r:id="rId298" display="Ouvrir"/>
    <hyperlink ref="T304" r:id="rId299" display="Ouvrir"/>
    <hyperlink ref="T305" r:id="rId300" display="Ouvrir"/>
    <hyperlink ref="T306" r:id="rId301" display="Ouvrir"/>
    <hyperlink ref="T307" r:id="rId302" display="Ouvrir"/>
    <hyperlink ref="T308" r:id="rId303" display="Ouvrir"/>
    <hyperlink ref="T309" r:id="rId304" display="Ouvrir"/>
    <hyperlink ref="T310" r:id="rId305" display="Ouvrir"/>
    <hyperlink ref="T311" r:id="rId306" display="Ouvrir"/>
    <hyperlink ref="T312" r:id="rId307" display="Ouvrir"/>
    <hyperlink ref="T313" r:id="rId308" display="Ouvrir"/>
    <hyperlink ref="T314" r:id="rId309" display="Ouvrir"/>
    <hyperlink ref="T315" r:id="rId310" display="Ouvrir"/>
    <hyperlink ref="T316" r:id="rId311" display="Ouvrir"/>
    <hyperlink ref="T317" r:id="rId312" display="Ouvrir"/>
    <hyperlink ref="T318" r:id="rId313" display="Ouvrir"/>
    <hyperlink ref="T319" r:id="rId314" display="Ouvrir"/>
    <hyperlink ref="T320" r:id="rId315" display="Ouvrir"/>
    <hyperlink ref="T321" r:id="rId316" display="Ouvrir"/>
    <hyperlink ref="T322" r:id="rId317" display="Ouvrir"/>
    <hyperlink ref="T323" r:id="rId318" display="Ouvrir"/>
    <hyperlink ref="T324" r:id="rId319" display="Ouvrir"/>
    <hyperlink ref="T325" r:id="rId320" display="Ouvrir"/>
    <hyperlink ref="T326" r:id="rId321" display="Ouvrir"/>
    <hyperlink ref="T327" r:id="rId322" display="Ouvrir"/>
    <hyperlink ref="T328" r:id="rId323" display="Ouvrir"/>
    <hyperlink ref="T329" r:id="rId324" display="Ouvrir"/>
    <hyperlink ref="T330" r:id="rId325" display="Ouvrir"/>
    <hyperlink ref="T331" r:id="rId326" display="Ouvrir"/>
    <hyperlink ref="T332" r:id="rId327" display="Ouvrir"/>
    <hyperlink ref="T333" r:id="rId328" display="Ouvrir"/>
    <hyperlink ref="T334" r:id="rId329" display="Ouvrir"/>
    <hyperlink ref="T335" r:id="rId330" display="Ouvrir"/>
    <hyperlink ref="T336" r:id="rId331" display="Ouvrir"/>
    <hyperlink ref="T337" r:id="rId332" display="Ouvrir"/>
    <hyperlink ref="T338" r:id="rId333" display="Ouvrir"/>
    <hyperlink ref="T339" r:id="rId334" display="Ouvrir"/>
    <hyperlink ref="T340" r:id="rId335" display="Ouvrir"/>
    <hyperlink ref="T341" r:id="rId336" display="Ouvrir"/>
    <hyperlink ref="T342" r:id="rId337" display="Ouvrir"/>
    <hyperlink ref="T343" r:id="rId338" display="Ouvrir"/>
    <hyperlink ref="T344" r:id="rId339" display="Ouvrir"/>
    <hyperlink ref="T345" r:id="rId340" display="Ouvrir"/>
    <hyperlink ref="T346" r:id="rId341" display="Ouvrir"/>
    <hyperlink ref="T347" r:id="rId342" display="Ouvrir"/>
    <hyperlink ref="T348" r:id="rId343" display="Ouvrir"/>
    <hyperlink ref="T349" r:id="rId344" display="Ouvrir"/>
    <hyperlink ref="T350" r:id="rId345" display="Ouvrir"/>
    <hyperlink ref="T351" r:id="rId346" display="Ouvrir"/>
    <hyperlink ref="T352" r:id="rId347" display="Ouvrir"/>
    <hyperlink ref="T353" r:id="rId348" display="Ouvrir"/>
    <hyperlink ref="T354" r:id="rId349" display="Ouvrir"/>
    <hyperlink ref="T355" r:id="rId350" display="Ouvrir"/>
    <hyperlink ref="T356" r:id="rId351" display="Ouvrir"/>
    <hyperlink ref="T357" r:id="rId352" display="Ouvrir"/>
    <hyperlink ref="T358" r:id="rId353" display="Ouvrir"/>
    <hyperlink ref="T359" r:id="rId354" display="Ouvrir"/>
    <hyperlink ref="T360" r:id="rId355" display="Ouvrir"/>
    <hyperlink ref="T361" r:id="rId356" display="Ouvrir"/>
    <hyperlink ref="T362" r:id="rId357" display="Ouvrir"/>
    <hyperlink ref="T363" r:id="rId358" display="Ouvrir"/>
    <hyperlink ref="T364" r:id="rId359" display="Ouvrir"/>
    <hyperlink ref="T365" r:id="rId360" display="Ouvrir"/>
    <hyperlink ref="T366" r:id="rId361" display="Ouvrir"/>
    <hyperlink ref="T367" r:id="rId362" display="Ouvrir"/>
    <hyperlink ref="T368" r:id="rId363" display="Ouvrir"/>
    <hyperlink ref="T369" r:id="rId364" display="Ouvrir"/>
    <hyperlink ref="T370" r:id="rId365" display="Ouvrir"/>
    <hyperlink ref="T371" r:id="rId366" display="Ouvrir"/>
    <hyperlink ref="T372" r:id="rId367" display="Ouvrir"/>
    <hyperlink ref="T373" r:id="rId368" display="Ouvrir"/>
    <hyperlink ref="T374" r:id="rId369" display="Ouvrir"/>
    <hyperlink ref="T375" r:id="rId370" display="Ouvrir"/>
    <hyperlink ref="T376" r:id="rId371" display="Ouvrir"/>
    <hyperlink ref="T377" r:id="rId372" display="Ouvrir"/>
    <hyperlink ref="T378" r:id="rId373" display="Ouvrir"/>
    <hyperlink ref="T379" r:id="rId374" display="Ouvrir"/>
    <hyperlink ref="T380" r:id="rId375" display="Ouvrir"/>
    <hyperlink ref="T381" r:id="rId376" display="Ouvrir"/>
    <hyperlink ref="T382" r:id="rId377" display="Ouvrir"/>
    <hyperlink ref="T383" r:id="rId378" display="Ouvrir"/>
    <hyperlink ref="T384" r:id="rId379" display="Ouvrir"/>
    <hyperlink ref="T385" r:id="rId380" display="Ouvrir"/>
    <hyperlink ref="T386" r:id="rId381" display="Ouvrir"/>
    <hyperlink ref="T387" r:id="rId382" display="Ouvrir"/>
    <hyperlink ref="T388" r:id="rId383" display="Ouvrir"/>
    <hyperlink ref="T389" r:id="rId384" display="Ouvrir"/>
    <hyperlink ref="T390" r:id="rId385" display="Ouvrir"/>
    <hyperlink ref="T391" r:id="rId386" display="Ouvrir"/>
    <hyperlink ref="T392" r:id="rId387" display="Ouvrir"/>
    <hyperlink ref="T393" r:id="rId388" display="Ouvrir"/>
    <hyperlink ref="T394" r:id="rId389" display="Ouvrir"/>
    <hyperlink ref="T395" r:id="rId390" display="Ouvrir"/>
    <hyperlink ref="T396" r:id="rId391" display="Ouvrir"/>
    <hyperlink ref="T397" r:id="rId392" display="Ouvrir"/>
    <hyperlink ref="T398" r:id="rId393" display="Ouvrir"/>
    <hyperlink ref="T399" r:id="rId394" display="Ouvrir"/>
    <hyperlink ref="T400" r:id="rId395" display="Ouvrir"/>
    <hyperlink ref="T401" r:id="rId396" display="Ouvrir"/>
    <hyperlink ref="T402" r:id="rId397" display="Ouvrir"/>
    <hyperlink ref="T403" r:id="rId398" display="Ouvrir"/>
    <hyperlink ref="T404" r:id="rId399" display="Ouvrir"/>
    <hyperlink ref="T405" r:id="rId400" display="Ouvrir"/>
    <hyperlink ref="T406" r:id="rId401" display="Ouvrir"/>
    <hyperlink ref="T407" r:id="rId402" display="Ouvrir"/>
    <hyperlink ref="T408" r:id="rId403" display="Ouvrir"/>
    <hyperlink ref="T409" r:id="rId404" display="Ouvrir"/>
    <hyperlink ref="T410" r:id="rId405" display="Ouvrir"/>
    <hyperlink ref="T411" r:id="rId406" display="Ouvrir"/>
    <hyperlink ref="T412" r:id="rId407" display="Ouvrir"/>
    <hyperlink ref="T413" r:id="rId408" display="Ouvrir"/>
    <hyperlink ref="T414" r:id="rId409" display="Ouvrir"/>
    <hyperlink ref="T415" r:id="rId410" display="Ouvrir"/>
    <hyperlink ref="T416" r:id="rId411" display="Ouvrir"/>
    <hyperlink ref="T417" r:id="rId412" display="Ouvrir"/>
    <hyperlink ref="T418" r:id="rId413" display="Ouvrir"/>
    <hyperlink ref="T419" r:id="rId414" display="Ouvrir"/>
    <hyperlink ref="T420" r:id="rId415" display="Ouvrir"/>
    <hyperlink ref="T421" r:id="rId416" display="Ouvrir"/>
    <hyperlink ref="T422" r:id="rId417" display="Ouvrir"/>
    <hyperlink ref="T423" r:id="rId418" display="Ouvrir"/>
    <hyperlink ref="T424" r:id="rId419" display="Ouvrir"/>
    <hyperlink ref="T425" r:id="rId420" display="Ouvrir"/>
    <hyperlink ref="T426" r:id="rId421" display="Ouvrir"/>
    <hyperlink ref="T427" r:id="rId422" display="Ouvrir"/>
    <hyperlink ref="T428" r:id="rId423" display="Ouvrir"/>
    <hyperlink ref="T429" r:id="rId424" display="Ouvrir"/>
    <hyperlink ref="T430" r:id="rId425" display="Ouvrir"/>
    <hyperlink ref="T431" r:id="rId426" display="Ouvrir"/>
    <hyperlink ref="T432" r:id="rId427" display="Ouvrir"/>
    <hyperlink ref="T433" r:id="rId428" display="Ouvrir"/>
    <hyperlink ref="T434" r:id="rId429" display="Ouvrir"/>
    <hyperlink ref="T435" r:id="rId430" display="Ouvrir"/>
    <hyperlink ref="T436" r:id="rId431" display="Ouvrir"/>
    <hyperlink ref="T437" r:id="rId432" display="Ouvrir"/>
    <hyperlink ref="T438" r:id="rId433" display="Ouvrir"/>
    <hyperlink ref="T439" r:id="rId434" display="Ouvrir"/>
    <hyperlink ref="T440" r:id="rId435" display="Ouvrir"/>
    <hyperlink ref="T441" r:id="rId436" display="Ouvrir"/>
    <hyperlink ref="T442" r:id="rId437" display="Ouvrir"/>
    <hyperlink ref="T443" r:id="rId438" display="Ouvrir"/>
    <hyperlink ref="T444" r:id="rId439" display="Ouvrir"/>
    <hyperlink ref="T445" r:id="rId440" display="Ouvrir"/>
    <hyperlink ref="T446" r:id="rId441" display="Ouvrir"/>
    <hyperlink ref="T447" r:id="rId442" display="Ouvrir"/>
    <hyperlink ref="T448" r:id="rId443" display="Ouvrir"/>
    <hyperlink ref="T449" r:id="rId444" display="Ouvrir"/>
    <hyperlink ref="T450" r:id="rId445" display="Ouvrir"/>
    <hyperlink ref="T451" r:id="rId446" display="Ouvrir"/>
    <hyperlink ref="T452" r:id="rId447" display="Ouvrir"/>
    <hyperlink ref="T453" r:id="rId448" display="Ouvrir"/>
    <hyperlink ref="T454" r:id="rId449" display="Ouvrir"/>
    <hyperlink ref="T455" r:id="rId450" display="Ouvrir"/>
    <hyperlink ref="T456" r:id="rId451" display="Ouvrir"/>
    <hyperlink ref="T457" r:id="rId452" display="Ouvrir"/>
    <hyperlink ref="T458" r:id="rId453" display="Ouvrir"/>
    <hyperlink ref="T459" r:id="rId454" display="Ouvrir"/>
    <hyperlink ref="T460" r:id="rId455" display="Ouvrir"/>
    <hyperlink ref="T461" r:id="rId456" display="Ouvrir"/>
    <hyperlink ref="T462" r:id="rId457" display="Ouvrir"/>
    <hyperlink ref="T463" r:id="rId458" display="Ouvrir"/>
    <hyperlink ref="T464" r:id="rId459" display="Ouvrir"/>
    <hyperlink ref="T465" r:id="rId460" display="Ouvrir"/>
    <hyperlink ref="T466" r:id="rId461" display="Ouvrir"/>
    <hyperlink ref="T467" r:id="rId462" display="Ouvrir"/>
    <hyperlink ref="T468" r:id="rId463" display="Ouvrir"/>
    <hyperlink ref="T469" r:id="rId464" display="Ouvrir"/>
    <hyperlink ref="T470" r:id="rId465" display="Ouvrir"/>
    <hyperlink ref="T471" r:id="rId466" display="Ouvrir"/>
    <hyperlink ref="T472" r:id="rId467" display="Ouvrir"/>
    <hyperlink ref="T473" r:id="rId468" display="Ouvrir"/>
    <hyperlink ref="T474" r:id="rId469" display="Ouvrir"/>
    <hyperlink ref="T475" r:id="rId470" display="Ouvrir"/>
    <hyperlink ref="T476" r:id="rId471" display="Ouvrir"/>
    <hyperlink ref="T477" r:id="rId472" display="Ouvrir"/>
    <hyperlink ref="T478" r:id="rId473" display="Ouvrir"/>
    <hyperlink ref="T479" r:id="rId474" display="Ouvrir"/>
    <hyperlink ref="T480" r:id="rId475" display="Ouvrir"/>
    <hyperlink ref="T481" r:id="rId476" display="Ouvrir"/>
    <hyperlink ref="T482" r:id="rId477" display="Ouvrir"/>
    <hyperlink ref="T483" r:id="rId478" display="Ouvrir"/>
    <hyperlink ref="T484" r:id="rId479" display="Ouvrir"/>
    <hyperlink ref="T485" r:id="rId480" display="Ouvrir"/>
    <hyperlink ref="T486" r:id="rId481" display="Ouvrir"/>
    <hyperlink ref="T487" r:id="rId482" display="Ouvrir"/>
    <hyperlink ref="T488" r:id="rId483" display="Ouvrir"/>
    <hyperlink ref="T489" r:id="rId484" display="Ouvrir"/>
    <hyperlink ref="T490" r:id="rId485" display="Ouvrir"/>
    <hyperlink ref="T491" r:id="rId486" display="Ouvrir"/>
    <hyperlink ref="T492" r:id="rId487" display="Ouvrir"/>
    <hyperlink ref="T493" r:id="rId488" display="Ouvrir"/>
    <hyperlink ref="T494" r:id="rId489" display="Ouvrir"/>
    <hyperlink ref="T495" r:id="rId490" display="Ouvrir"/>
    <hyperlink ref="T496" r:id="rId491" display="Ouvrir"/>
    <hyperlink ref="T497" r:id="rId492" display="Ouvrir"/>
    <hyperlink ref="T498" r:id="rId493" display="Ouvrir"/>
    <hyperlink ref="T499" r:id="rId494" display="Ouvrir"/>
    <hyperlink ref="T500" r:id="rId495" display="Ouvrir"/>
    <hyperlink ref="T501" r:id="rId496" display="Ouvrir"/>
    <hyperlink ref="T502" r:id="rId497" display="Ouvrir"/>
    <hyperlink ref="T503" r:id="rId498" display="Ouvrir"/>
    <hyperlink ref="T504" r:id="rId499" display="Ouvrir"/>
    <hyperlink ref="T505" r:id="rId500" display="Ouvrir"/>
    <hyperlink ref="T506" r:id="rId501" display="Ouvrir"/>
    <hyperlink ref="T507" r:id="rId502" display="Ouvrir"/>
    <hyperlink ref="T508" r:id="rId503" display="Ouvrir"/>
    <hyperlink ref="T509" r:id="rId504" display="Ouvrir"/>
    <hyperlink ref="T510" r:id="rId505" display="Ouvrir"/>
    <hyperlink ref="T511" r:id="rId506" display="Ouvrir"/>
    <hyperlink ref="T512" r:id="rId507" display="Ouvrir"/>
    <hyperlink ref="T513" r:id="rId508" display="Ouvrir"/>
    <hyperlink ref="T514" r:id="rId509" display="Ouvrir"/>
    <hyperlink ref="T515" r:id="rId510" display="Ouvrir"/>
    <hyperlink ref="T516" r:id="rId511" display="Ouvrir"/>
    <hyperlink ref="T517" r:id="rId512" display="Ouvrir"/>
    <hyperlink ref="T518" r:id="rId513" display="Ouvrir"/>
    <hyperlink ref="T519" r:id="rId514" display="Ouvrir"/>
    <hyperlink ref="T520" r:id="rId515" display="Ouvrir"/>
    <hyperlink ref="T521" r:id="rId516" display="Ouvrir"/>
    <hyperlink ref="T522" r:id="rId517" display="Ouvrir"/>
    <hyperlink ref="T523" r:id="rId518" display="Ouvrir"/>
    <hyperlink ref="T524" r:id="rId519" display="Ouvrir"/>
    <hyperlink ref="T525" r:id="rId520" display="Ouvrir"/>
    <hyperlink ref="T526" r:id="rId521" display="Ouvrir"/>
    <hyperlink ref="T527" r:id="rId522" display="Ouvrir"/>
    <hyperlink ref="T528" r:id="rId523" display="Ouvrir"/>
    <hyperlink ref="T529" r:id="rId524" display="Ouvrir"/>
    <hyperlink ref="T530" r:id="rId525" display="Ouvrir"/>
    <hyperlink ref="T531" r:id="rId526" display="Ouvrir"/>
    <hyperlink ref="T532" r:id="rId527" display="Ouvrir"/>
    <hyperlink ref="T533" r:id="rId528" display="Ouvrir"/>
    <hyperlink ref="T534" r:id="rId529" display="Ouvrir"/>
    <hyperlink ref="T535" r:id="rId530" display="Ouvrir"/>
    <hyperlink ref="T536" r:id="rId531" display="Ouvrir"/>
    <hyperlink ref="T537" r:id="rId532" display="Ouvrir"/>
    <hyperlink ref="T538" r:id="rId533" display="Ouvrir"/>
    <hyperlink ref="T539" r:id="rId534" display="Ouvrir"/>
    <hyperlink ref="T540" r:id="rId535" display="Ouvrir"/>
    <hyperlink ref="T541" r:id="rId536" display="Ouvrir"/>
    <hyperlink ref="T542" r:id="rId537" display="Ouvrir"/>
    <hyperlink ref="T543" r:id="rId538" display="Ouvrir"/>
    <hyperlink ref="T544" r:id="rId539" display="Ouvrir"/>
    <hyperlink ref="T545" r:id="rId540" display="Ouvrir"/>
    <hyperlink ref="T546" r:id="rId541" display="Ouvrir"/>
    <hyperlink ref="T547" r:id="rId542" display="Ouvrir"/>
    <hyperlink ref="T548" r:id="rId543" display="Ouvrir"/>
    <hyperlink ref="T549" r:id="rId544" display="Ouvrir"/>
    <hyperlink ref="T550" r:id="rId545" display="Ouvrir"/>
    <hyperlink ref="T551" r:id="rId546" display="Ouvrir"/>
    <hyperlink ref="T552" r:id="rId547" display="Ouvrir"/>
    <hyperlink ref="T553" r:id="rId548" display="Ouvrir"/>
    <hyperlink ref="T554" r:id="rId549" display="Ouvrir"/>
    <hyperlink ref="T555" r:id="rId550" display="Ouvrir"/>
    <hyperlink ref="T556" r:id="rId551" display="Ouvrir"/>
    <hyperlink ref="T557" r:id="rId552" display="Ouvrir"/>
    <hyperlink ref="T558" r:id="rId553" display="Ouvrir"/>
    <hyperlink ref="T559" r:id="rId554" display="Ouvrir"/>
    <hyperlink ref="T560" r:id="rId555" display="Ouvrir"/>
    <hyperlink ref="T561" r:id="rId556" display="Ouvrir"/>
    <hyperlink ref="T562" r:id="rId557" display="Ouvrir"/>
    <hyperlink ref="T563" r:id="rId558" display="Ouvrir"/>
    <hyperlink ref="T564" r:id="rId559" display="Ouvrir"/>
    <hyperlink ref="T565" r:id="rId560" display="Ouvrir"/>
    <hyperlink ref="T566" r:id="rId561" display="Ouvrir"/>
    <hyperlink ref="T567" r:id="rId562" display="Ouvrir"/>
    <hyperlink ref="T568" r:id="rId563" display="Ouvrir"/>
    <hyperlink ref="T569" r:id="rId564" display="Ouvrir"/>
    <hyperlink ref="T570" r:id="rId565" display="Ouvrir"/>
    <hyperlink ref="T571" r:id="rId566" display="Ouvrir"/>
    <hyperlink ref="T572" r:id="rId567" display="Ouvrir"/>
    <hyperlink ref="T573" r:id="rId568" display="Ouvrir"/>
    <hyperlink ref="T574" r:id="rId569" display="Ouvrir"/>
    <hyperlink ref="T575" r:id="rId570" display="Ouvrir"/>
    <hyperlink ref="T576" r:id="rId571" display="Ouvrir"/>
    <hyperlink ref="T577" r:id="rId572" display="Ouvrir"/>
    <hyperlink ref="T578" r:id="rId573" display="Ouvrir"/>
    <hyperlink ref="T579" r:id="rId574" display="Ouvrir"/>
    <hyperlink ref="T580" r:id="rId575" display="Ouvrir"/>
    <hyperlink ref="T581" r:id="rId576" display="Ouvrir"/>
    <hyperlink ref="T582" r:id="rId577" display="Ouvrir"/>
    <hyperlink ref="T583" r:id="rId578" display="Ouvrir"/>
    <hyperlink ref="T584" r:id="rId579" display="Ouvrir"/>
    <hyperlink ref="T585" r:id="rId580" display="Ouvrir"/>
    <hyperlink ref="T586" r:id="rId581" display="Ouvrir"/>
    <hyperlink ref="T587" r:id="rId582" display="Ouvrir"/>
    <hyperlink ref="T588" r:id="rId583" display="Ouvrir"/>
    <hyperlink ref="T589" r:id="rId584" display="Ouvrir"/>
    <hyperlink ref="T590" r:id="rId585" display="Ouvrir"/>
    <hyperlink ref="T591" r:id="rId586" display="Ouvrir"/>
    <hyperlink ref="T592" r:id="rId587" display="Ouvrir"/>
    <hyperlink ref="T593" r:id="rId588" display="Ouvrir"/>
    <hyperlink ref="T594" r:id="rId589" display="Ouvrir"/>
    <hyperlink ref="T595" r:id="rId590" display="Ouvrir"/>
    <hyperlink ref="T596" r:id="rId591" display="Ouvrir"/>
    <hyperlink ref="T597" r:id="rId592" display="Ouvrir"/>
    <hyperlink ref="T598" r:id="rId593" display="Ouvrir"/>
    <hyperlink ref="T599" r:id="rId594" display="Ouvrir"/>
    <hyperlink ref="T600" r:id="rId595" display="Ouvrir"/>
    <hyperlink ref="T601" r:id="rId596" display="Ouvrir"/>
    <hyperlink ref="T602" r:id="rId597" display="Ouvrir"/>
    <hyperlink ref="T603" r:id="rId598" display="Ouvrir"/>
    <hyperlink ref="T604" r:id="rId599" display="Ouvrir"/>
    <hyperlink ref="T605" r:id="rId600" display="Ouvrir"/>
    <hyperlink ref="T606" r:id="rId601" display="Ouvrir"/>
    <hyperlink ref="T607" r:id="rId602" display="Ouvrir"/>
    <hyperlink ref="T608" r:id="rId603" display="Ouvrir"/>
    <hyperlink ref="T609" r:id="rId604" display="Ouvrir"/>
    <hyperlink ref="T610" r:id="rId605" display="Ouvrir"/>
    <hyperlink ref="T611" r:id="rId606" display="Ouvrir"/>
    <hyperlink ref="T612" r:id="rId607" display="Ouvrir"/>
    <hyperlink ref="T613" r:id="rId608" display="Ouvrir"/>
    <hyperlink ref="T614" r:id="rId609" display="Ouvrir"/>
    <hyperlink ref="T615" r:id="rId610" display="Ouvrir"/>
    <hyperlink ref="T616" r:id="rId611" display="Ouvrir"/>
    <hyperlink ref="T617" r:id="rId612" display="Ouvrir"/>
    <hyperlink ref="T618" r:id="rId613" display="Ouvrir"/>
    <hyperlink ref="T619" r:id="rId614" display="Ouvrir"/>
    <hyperlink ref="T620" r:id="rId615" display="Ouvrir"/>
    <hyperlink ref="T621" r:id="rId616" display="Ouvrir"/>
    <hyperlink ref="T622" r:id="rId617" display="Ouvrir"/>
    <hyperlink ref="T623" r:id="rId618" display="Ouvrir"/>
    <hyperlink ref="T624" r:id="rId619" display="Ouvrir"/>
    <hyperlink ref="T625" r:id="rId620" display="Ouvrir"/>
    <hyperlink ref="T626" r:id="rId621" display="Ouvrir"/>
    <hyperlink ref="T627" r:id="rId622" display="Ouvrir"/>
    <hyperlink ref="T628" r:id="rId623" display="Ouvrir"/>
    <hyperlink ref="T629" r:id="rId624" display="Ouvrir"/>
    <hyperlink ref="T630" r:id="rId625" display="Ouvrir"/>
    <hyperlink ref="T631" r:id="rId626" display="Ouvrir"/>
    <hyperlink ref="T632" r:id="rId627" display="Ouvrir"/>
    <hyperlink ref="T633" r:id="rId628" display="Ouvrir"/>
    <hyperlink ref="T634" r:id="rId629" display="Ouvrir"/>
    <hyperlink ref="T635" r:id="rId630" display="Ouvrir"/>
    <hyperlink ref="T636" r:id="rId631" display="Ouvrir"/>
    <hyperlink ref="T637" r:id="rId632" display="Ouvrir"/>
    <hyperlink ref="T638" r:id="rId633" display="Ouvrir"/>
    <hyperlink ref="T639" r:id="rId634" display="Ouvrir"/>
    <hyperlink ref="T640" r:id="rId635" display="Ouvrir"/>
    <hyperlink ref="T641" r:id="rId636" display="Ouvrir"/>
    <hyperlink ref="T642" r:id="rId637" display="Ouvrir"/>
    <hyperlink ref="T643" r:id="rId638" display="Ouvrir"/>
    <hyperlink ref="T644" r:id="rId639" display="Ouvrir"/>
    <hyperlink ref="T645" r:id="rId640" display="Ouvrir"/>
    <hyperlink ref="T646" r:id="rId641" display="Ouvrir"/>
    <hyperlink ref="T647" r:id="rId642" display="Ouvrir"/>
    <hyperlink ref="T648" r:id="rId643" display="Ouvrir"/>
    <hyperlink ref="T649" r:id="rId644" display="Ouvrir"/>
    <hyperlink ref="T650" r:id="rId645" display="Ouvrir"/>
    <hyperlink ref="T651" r:id="rId646" display="Ouvrir"/>
    <hyperlink ref="T652" r:id="rId647" display="Ouvrir"/>
    <hyperlink ref="T653" r:id="rId648" display="Ouvrir"/>
    <hyperlink ref="T654" r:id="rId649" display="Ouvrir"/>
    <hyperlink ref="T655" r:id="rId650" display="Ouvrir"/>
    <hyperlink ref="T656" r:id="rId651" display="Ouvrir"/>
    <hyperlink ref="T657" r:id="rId652" display="Ouvrir"/>
    <hyperlink ref="T658" r:id="rId653" display="Ouvrir"/>
    <hyperlink ref="T659" r:id="rId654" display="Ouvrir"/>
    <hyperlink ref="T660" r:id="rId655" display="Ouvrir"/>
    <hyperlink ref="T661" r:id="rId656" display="Ouvrir"/>
    <hyperlink ref="T662" r:id="rId657" display="Ouvrir"/>
    <hyperlink ref="T663" r:id="rId658" display="Ouvrir"/>
    <hyperlink ref="T664" r:id="rId659" display="Ouvrir"/>
    <hyperlink ref="T665" r:id="rId660" display="Ouvrir"/>
    <hyperlink ref="T666" r:id="rId661" display="Ouvrir"/>
    <hyperlink ref="T667" r:id="rId662" display="Ouvrir"/>
    <hyperlink ref="T668" r:id="rId663" display="Ouvrir"/>
    <hyperlink ref="T669" r:id="rId664" display="Ouvrir"/>
    <hyperlink ref="T670" r:id="rId665" display="Ouvrir"/>
    <hyperlink ref="T671" r:id="rId666" display="Ouvrir"/>
    <hyperlink ref="T672" r:id="rId667" display="Ouvrir"/>
    <hyperlink ref="T673" r:id="rId668" display="Ouvrir"/>
    <hyperlink ref="T674" r:id="rId669" display="Ouvrir"/>
    <hyperlink ref="T675" r:id="rId670" display="Ouvrir"/>
    <hyperlink ref="T676" r:id="rId671" display="Ouvrir"/>
    <hyperlink ref="T677" r:id="rId672" display="Ouvrir"/>
    <hyperlink ref="T678" r:id="rId673" display="Ouvrir"/>
    <hyperlink ref="T679" r:id="rId674" display="Ouvrir"/>
    <hyperlink ref="T680" r:id="rId675" display="Ouvrir"/>
    <hyperlink ref="T681" r:id="rId676" display="Ouvrir"/>
    <hyperlink ref="T682" r:id="rId677" display="Ouvrir"/>
    <hyperlink ref="T683" r:id="rId678" display="Ouvrir"/>
    <hyperlink ref="T684" r:id="rId679" display="Ouvrir"/>
    <hyperlink ref="T685" r:id="rId680" display="Ouvrir"/>
    <hyperlink ref="T686" r:id="rId681" display="Ouvrir"/>
    <hyperlink ref="T687" r:id="rId682" display="Ouvrir"/>
    <hyperlink ref="T688" r:id="rId683" display="Ouvrir"/>
    <hyperlink ref="T689" r:id="rId684" display="Ouvrir"/>
    <hyperlink ref="T690" r:id="rId685" display="Ouvrir"/>
    <hyperlink ref="T691" r:id="rId686" display="Ouvrir"/>
    <hyperlink ref="T692" r:id="rId687" display="Ouvrir"/>
    <hyperlink ref="T693" r:id="rId688" display="Ouvrir"/>
    <hyperlink ref="T694" r:id="rId689" display="Ouvrir"/>
    <hyperlink ref="T695" r:id="rId690" display="Ouvrir"/>
    <hyperlink ref="T696" r:id="rId691" display="Ouvrir"/>
    <hyperlink ref="T697" r:id="rId692" display="Ouvrir"/>
    <hyperlink ref="T698" r:id="rId693" display="Ouvrir"/>
    <hyperlink ref="T699" r:id="rId694" display="Ouvrir"/>
    <hyperlink ref="T700" r:id="rId695" display="Ouvrir"/>
    <hyperlink ref="T701" r:id="rId696" display="Ouvrir"/>
    <hyperlink ref="T702" r:id="rId697" display="Ouvrir"/>
    <hyperlink ref="T703" r:id="rId698" display="Ouvrir"/>
    <hyperlink ref="T704" r:id="rId699" display="Ouvrir"/>
    <hyperlink ref="T705" r:id="rId700" display="Ouvrir"/>
    <hyperlink ref="T706" r:id="rId701" display="Ouvrir"/>
    <hyperlink ref="T707" r:id="rId702" display="Ouvrir"/>
    <hyperlink ref="T708" r:id="rId703" display="Ouvrir"/>
    <hyperlink ref="T709" r:id="rId704" display="Ouvrir"/>
    <hyperlink ref="T710" r:id="rId705" display="Ouvrir"/>
    <hyperlink ref="T711" r:id="rId706" display="Ouvrir"/>
    <hyperlink ref="T712" r:id="rId707" display="Ouvrir"/>
    <hyperlink ref="T713" r:id="rId708" display="Ouvrir"/>
    <hyperlink ref="T714" r:id="rId709" display="Ouvrir"/>
    <hyperlink ref="T715" r:id="rId710" display="Ouvrir"/>
    <hyperlink ref="T716" r:id="rId711" display="Ouvrir"/>
    <hyperlink ref="T717" r:id="rId712" display="Ouvrir"/>
    <hyperlink ref="T718" r:id="rId713" display="Ouvrir"/>
    <hyperlink ref="T719" r:id="rId714" display="Ouvrir"/>
    <hyperlink ref="T720" r:id="rId715" display="Ouvrir"/>
    <hyperlink ref="T721" r:id="rId716" display="Ouvrir"/>
    <hyperlink ref="T722" r:id="rId717" display="Ouvrir"/>
    <hyperlink ref="T723" r:id="rId718" display="Ouvrir"/>
    <hyperlink ref="T724" r:id="rId719" display="Ouvrir"/>
    <hyperlink ref="T725" r:id="rId720" display="Ouvrir"/>
    <hyperlink ref="T726" r:id="rId721" display="Ouvrir"/>
    <hyperlink ref="T727" r:id="rId722" display="Ouvrir"/>
    <hyperlink ref="T728" r:id="rId723" display="Ouvrir"/>
    <hyperlink ref="T729" r:id="rId724" display="Ouvrir"/>
    <hyperlink ref="T730" r:id="rId725" display="Ouvrir"/>
    <hyperlink ref="T731" r:id="rId726" display="Ouvrir"/>
    <hyperlink ref="T732" r:id="rId727" display="Ouvrir"/>
    <hyperlink ref="T733" r:id="rId728" display="Ouvrir"/>
    <hyperlink ref="T734" r:id="rId729" display="Ouvrir"/>
    <hyperlink ref="T735" r:id="rId730" display="Ouvrir"/>
    <hyperlink ref="T736" r:id="rId731" display="Ouvrir"/>
    <hyperlink ref="T737" r:id="rId732" display="Ouvrir"/>
    <hyperlink ref="T738" r:id="rId733" display="Ouvrir"/>
    <hyperlink ref="T739" r:id="rId734" display="Ouvrir"/>
    <hyperlink ref="T740" r:id="rId735" display="Ouvrir"/>
    <hyperlink ref="T741" r:id="rId736" display="Ouvrir"/>
    <hyperlink ref="T742" r:id="rId737" display="Ouvrir"/>
    <hyperlink ref="T743" r:id="rId738" display="Ouvrir"/>
    <hyperlink ref="T744" r:id="rId739" display="Ouvrir"/>
    <hyperlink ref="T745" r:id="rId740" display="Ouvrir"/>
    <hyperlink ref="T746" r:id="rId741" display="Ouvrir"/>
    <hyperlink ref="T747" r:id="rId742" display="Ouvrir"/>
    <hyperlink ref="T748" r:id="rId743" display="Ouvrir"/>
    <hyperlink ref="T749" r:id="rId744" display="Ouvrir"/>
    <hyperlink ref="T750" r:id="rId745" display="Ouvrir"/>
    <hyperlink ref="T751" r:id="rId746" display="Ouvrir"/>
    <hyperlink ref="T752" r:id="rId747" display="Ouvrir"/>
    <hyperlink ref="T753" r:id="rId748" display="Ouvrir"/>
    <hyperlink ref="T754" r:id="rId749" display="Ouvrir"/>
    <hyperlink ref="T755" r:id="rId750" display="Ouvrir"/>
    <hyperlink ref="T756" r:id="rId751" display="Ouvrir"/>
    <hyperlink ref="T757" r:id="rId752" display="Ouvrir"/>
    <hyperlink ref="T758" r:id="rId753" display="Ouvrir"/>
    <hyperlink ref="T759" r:id="rId754" display="Ouvrir"/>
    <hyperlink ref="T760" r:id="rId755" display="Ouvrir"/>
    <hyperlink ref="T761" r:id="rId756" display="Ouvrir"/>
    <hyperlink ref="T762" r:id="rId757" display="Ouvrir"/>
    <hyperlink ref="T763" r:id="rId758" display="Ouvrir"/>
    <hyperlink ref="T764" r:id="rId759" display="Ouvrir"/>
    <hyperlink ref="T765" r:id="rId760" display="Ouvrir"/>
    <hyperlink ref="T766" r:id="rId761" display="Ouvrir"/>
    <hyperlink ref="T767" r:id="rId762" display="Ouvrir"/>
    <hyperlink ref="T768" r:id="rId763" display="Ouvrir"/>
    <hyperlink ref="T769" r:id="rId764" display="Ouvrir"/>
    <hyperlink ref="T770" r:id="rId765" display="Ouvrir"/>
    <hyperlink ref="T771" r:id="rId766" display="Ouvrir"/>
    <hyperlink ref="T772" r:id="rId767" display="Ouvrir"/>
    <hyperlink ref="T773" r:id="rId768" display="Ouvrir"/>
    <hyperlink ref="T774" r:id="rId769" display="Ouvrir"/>
    <hyperlink ref="T775" r:id="rId770" display="Ouvrir"/>
    <hyperlink ref="T776" r:id="rId771" display="Ouvrir"/>
    <hyperlink ref="T777" r:id="rId772" display="Ouvrir"/>
    <hyperlink ref="T778" r:id="rId773" display="Ouvrir"/>
    <hyperlink ref="T779" r:id="rId774" display="Ouvrir"/>
    <hyperlink ref="T780" r:id="rId775" display="Ouvrir"/>
    <hyperlink ref="T781" r:id="rId776" display="Ouvrir"/>
    <hyperlink ref="T782" r:id="rId777" display="Ouvrir"/>
    <hyperlink ref="T783" r:id="rId778" display="Ouvrir"/>
    <hyperlink ref="T784" r:id="rId779" display="Ouvrir"/>
    <hyperlink ref="T785" r:id="rId780" display="Ouvrir"/>
    <hyperlink ref="T786" r:id="rId781" display="Ouvrir"/>
    <hyperlink ref="T787" r:id="rId782" display="Ouvrir"/>
    <hyperlink ref="T788" r:id="rId783" display="Ouvrir"/>
    <hyperlink ref="T789" r:id="rId784" display="Ouvrir"/>
    <hyperlink ref="T790" r:id="rId785" display="Ouvrir"/>
    <hyperlink ref="T791" r:id="rId786" display="Ouvrir"/>
    <hyperlink ref="T792" r:id="rId787" display="Ouvrir"/>
    <hyperlink ref="T793" r:id="rId788" display="Ouvrir"/>
    <hyperlink ref="T794" r:id="rId789" display="Ouvrir"/>
    <hyperlink ref="T795" r:id="rId790" display="Ouvrir"/>
    <hyperlink ref="T796" r:id="rId791" display="Ouvrir"/>
    <hyperlink ref="T797" r:id="rId792" display="Ouvrir"/>
    <hyperlink ref="T798" r:id="rId793" display="Ouvrir"/>
    <hyperlink ref="T799" r:id="rId794" display="Ouvrir"/>
    <hyperlink ref="T800" r:id="rId795" display="Ouvrir"/>
    <hyperlink ref="T801" r:id="rId796" display="Ouvrir"/>
    <hyperlink ref="T802" r:id="rId797" display="Ouvrir"/>
    <hyperlink ref="T803" r:id="rId798" display="Ouvrir"/>
    <hyperlink ref="T804" r:id="rId799" display="Ouvrir"/>
    <hyperlink ref="T805" r:id="rId800" display="Ouvrir"/>
    <hyperlink ref="T806" r:id="rId801" display="Ouvrir"/>
    <hyperlink ref="T807" r:id="rId802" display="Ouvrir"/>
    <hyperlink ref="T808" r:id="rId803" display="Ouvrir"/>
    <hyperlink ref="T809" r:id="rId804" display="Ouvrir"/>
    <hyperlink ref="T810" r:id="rId805" display="Ouvrir"/>
    <hyperlink ref="T811" r:id="rId806" display="Ouvrir"/>
    <hyperlink ref="T812" r:id="rId807" display="Ouvrir"/>
    <hyperlink ref="T813" r:id="rId808" display="Ouvrir"/>
    <hyperlink ref="T814" r:id="rId809" display="Ouvrir"/>
    <hyperlink ref="T815" r:id="rId810" display="Ouvrir"/>
    <hyperlink ref="T816" r:id="rId811" display="Ouvrir"/>
    <hyperlink ref="T817" r:id="rId812" display="Ouvrir"/>
    <hyperlink ref="T818" r:id="rId813" display="Ouvrir"/>
    <hyperlink ref="T819" r:id="rId814" display="Ouvrir"/>
    <hyperlink ref="T820" r:id="rId815" display="Ouvrir"/>
    <hyperlink ref="T821" r:id="rId816" display="Ouvrir"/>
    <hyperlink ref="T822" r:id="rId817" display="Ouvrir"/>
    <hyperlink ref="T823" r:id="rId818" display="Ouvrir"/>
    <hyperlink ref="T824" r:id="rId819" display="Ouvrir"/>
    <hyperlink ref="T825" r:id="rId820" display="Ouvrir"/>
    <hyperlink ref="T826" r:id="rId821" display="Ouvrir"/>
    <hyperlink ref="T827" r:id="rId822" display="Ouvrir"/>
    <hyperlink ref="T828" r:id="rId823" display="Ouvrir"/>
    <hyperlink ref="T829" r:id="rId824" display="Ouvrir"/>
    <hyperlink ref="T830" r:id="rId825" display="Ouvrir"/>
    <hyperlink ref="T831" r:id="rId826" display="Ouvrir"/>
    <hyperlink ref="T832" r:id="rId827" display="Ouvrir"/>
    <hyperlink ref="T833" r:id="rId828" display="Ouvrir"/>
    <hyperlink ref="T834" r:id="rId829" display="Ouvrir"/>
    <hyperlink ref="T835" r:id="rId830" display="Ouvrir"/>
    <hyperlink ref="T836" r:id="rId831" display="Ouvrir"/>
    <hyperlink ref="T837" r:id="rId832" display="Ouvrir"/>
    <hyperlink ref="T838" r:id="rId833" display="Ouvrir"/>
    <hyperlink ref="T839" r:id="rId834" display="Ouvrir"/>
    <hyperlink ref="T840" r:id="rId835" display="Ouvrir"/>
    <hyperlink ref="T841" r:id="rId836" display="Ouvrir"/>
    <hyperlink ref="T842" r:id="rId837" display="Ouvrir"/>
    <hyperlink ref="T843" r:id="rId838" display="Ouvrir"/>
    <hyperlink ref="T844" r:id="rId839" display="Ouvrir"/>
    <hyperlink ref="T845" r:id="rId840" display="Ouvrir"/>
    <hyperlink ref="T846" r:id="rId841" display="Ouvrir"/>
    <hyperlink ref="T847" r:id="rId842" display="Ouvrir"/>
    <hyperlink ref="T848" r:id="rId843" display="Ouvrir"/>
    <hyperlink ref="T849" r:id="rId844" display="Ouvrir"/>
    <hyperlink ref="T850" r:id="rId845" display="Ouvrir"/>
    <hyperlink ref="T851" r:id="rId846" display="Ouvrir"/>
    <hyperlink ref="T852" r:id="rId847" display="Ouvrir"/>
    <hyperlink ref="T853" r:id="rId848" display="Ouvrir"/>
    <hyperlink ref="T854" r:id="rId849" display="Ouvrir"/>
    <hyperlink ref="T855" r:id="rId850" display="Ouvrir"/>
    <hyperlink ref="T856" r:id="rId851" display="Ouvrir"/>
    <hyperlink ref="T857" r:id="rId852" display="Ouvrir"/>
    <hyperlink ref="T858" r:id="rId853" display="Ouvrir"/>
    <hyperlink ref="T859" r:id="rId854" display="Ouvrir"/>
    <hyperlink ref="T860" r:id="rId855" display="Ouvrir"/>
    <hyperlink ref="T861" r:id="rId856" display="Ouvrir"/>
    <hyperlink ref="T862" r:id="rId857" display="Ouvrir"/>
    <hyperlink ref="T863" r:id="rId858" display="Ouvrir"/>
    <hyperlink ref="T864" r:id="rId859" display="Ouvrir"/>
    <hyperlink ref="T865" r:id="rId860" display="Ouvrir"/>
    <hyperlink ref="T866" r:id="rId861" display="Ouvrir"/>
    <hyperlink ref="T867" r:id="rId862" display="Ouvrir"/>
    <hyperlink ref="T868" r:id="rId863" display="Ouvrir"/>
    <hyperlink ref="T869" r:id="rId864" display="Ouvrir"/>
    <hyperlink ref="T870" r:id="rId865" display="Ouvrir"/>
    <hyperlink ref="T871" r:id="rId866" display="Ouvrir"/>
    <hyperlink ref="T872" r:id="rId867" display="Ouvrir"/>
    <hyperlink ref="T873" r:id="rId868" display="Ouvrir"/>
    <hyperlink ref="T874" r:id="rId869" display="Ouvrir"/>
    <hyperlink ref="T875" r:id="rId870" display="Ouvrir"/>
    <hyperlink ref="T876" r:id="rId871" display="Ouvrir"/>
    <hyperlink ref="T877" r:id="rId872" display="Ouvrir"/>
    <hyperlink ref="T878" r:id="rId873" display="Ouvrir"/>
    <hyperlink ref="T879" r:id="rId874" display="Ouvrir"/>
    <hyperlink ref="T880" r:id="rId875" display="Ouvrir"/>
    <hyperlink ref="T881" r:id="rId876" display="Ouvrir"/>
    <hyperlink ref="T882" r:id="rId877" display="Ouvrir"/>
    <hyperlink ref="T883" r:id="rId878" display="Ouvrir"/>
    <hyperlink ref="T884" r:id="rId879" display="Ouvrir"/>
    <hyperlink ref="T885" r:id="rId880" display="Ouvrir"/>
    <hyperlink ref="T886" r:id="rId881" display="Ouvrir"/>
    <hyperlink ref="T887" r:id="rId882" display="Ouvrir"/>
    <hyperlink ref="T888" r:id="rId883" display="Ouvrir"/>
    <hyperlink ref="T889" r:id="rId884" display="Ouvrir"/>
    <hyperlink ref="T890" r:id="rId885" display="Ouvrir"/>
    <hyperlink ref="T891" r:id="rId886" display="Ouvrir"/>
    <hyperlink ref="T892" r:id="rId887" display="Ouvrir"/>
    <hyperlink ref="T893" r:id="rId888" display="Ouvrir"/>
    <hyperlink ref="T894" r:id="rId889" display="Ouvrir"/>
    <hyperlink ref="T895" r:id="rId890" display="Ouvrir"/>
    <hyperlink ref="T896" r:id="rId891" display="Ouvrir"/>
    <hyperlink ref="T897" r:id="rId892" display="Ouvrir"/>
    <hyperlink ref="T898" r:id="rId893" display="Ouvrir"/>
    <hyperlink ref="T899" r:id="rId894" display="Ouvrir"/>
    <hyperlink ref="T900" r:id="rId895" display="Ouvrir"/>
    <hyperlink ref="T901" r:id="rId896" display="Ouvrir"/>
    <hyperlink ref="T902" r:id="rId897" display="Ouvrir"/>
    <hyperlink ref="T903" r:id="rId898" display="Ouvrir"/>
    <hyperlink ref="T904" r:id="rId899" display="Ouvrir"/>
    <hyperlink ref="T905" r:id="rId900" display="Ouvrir"/>
    <hyperlink ref="T906" r:id="rId901" display="Ouvrir"/>
    <hyperlink ref="T907" r:id="rId902" display="Ouvrir"/>
    <hyperlink ref="T908" r:id="rId903" display="Ouvrir"/>
    <hyperlink ref="T909" r:id="rId904" display="Ouvrir"/>
    <hyperlink ref="T910" r:id="rId905" display="Ouvrir"/>
    <hyperlink ref="T911" r:id="rId906" display="Ouvrir"/>
    <hyperlink ref="T912" r:id="rId907" display="Ouvrir"/>
    <hyperlink ref="T913" r:id="rId908" display="Ouvrir"/>
    <hyperlink ref="T914" r:id="rId909" display="Ouvrir"/>
    <hyperlink ref="T915" r:id="rId910" display="Ouvrir"/>
    <hyperlink ref="T916" r:id="rId911" display="Ouvrir"/>
    <hyperlink ref="T917" r:id="rId912" display="Ouvrir"/>
    <hyperlink ref="T918" r:id="rId913" display="Ouvrir"/>
    <hyperlink ref="T919" r:id="rId914" display="Ouvrir"/>
    <hyperlink ref="T920" r:id="rId915" display="Ouvrir"/>
    <hyperlink ref="T921" r:id="rId916" display="Ouvrir"/>
    <hyperlink ref="T922" r:id="rId917" display="Ouvrir"/>
    <hyperlink ref="T923" r:id="rId918" display="Ouvrir"/>
    <hyperlink ref="T924" r:id="rId919" display="Ouvrir"/>
    <hyperlink ref="T925" r:id="rId920" display="Ouvrir"/>
    <hyperlink ref="T926" r:id="rId921" display="Ouvrir"/>
    <hyperlink ref="T927" r:id="rId922" display="Ouvrir"/>
    <hyperlink ref="T928" r:id="rId923" display="Ouvrir"/>
    <hyperlink ref="T929" r:id="rId924" display="Ouvrir"/>
    <hyperlink ref="T930" r:id="rId925" display="Ouvrir"/>
    <hyperlink ref="T931" r:id="rId926" display="Ouvrir"/>
    <hyperlink ref="T932" r:id="rId927" display="Ouvrir"/>
    <hyperlink ref="T933" r:id="rId928" display="Ouvrir"/>
    <hyperlink ref="T934" r:id="rId929" display="Ouvrir"/>
    <hyperlink ref="T935" r:id="rId930" display="Ouvrir"/>
    <hyperlink ref="T936" r:id="rId931" display="Ouvrir"/>
    <hyperlink ref="T937" r:id="rId932" display="Ouvrir"/>
    <hyperlink ref="T938" r:id="rId933" display="Ouvrir"/>
    <hyperlink ref="T939" r:id="rId934" display="Ouvrir"/>
    <hyperlink ref="T940" r:id="rId935" display="Ouvrir"/>
    <hyperlink ref="T941" r:id="rId936" display="Ouvrir"/>
    <hyperlink ref="T942" r:id="rId937" display="Ouvrir"/>
    <hyperlink ref="T943" r:id="rId938" display="Ouvrir"/>
    <hyperlink ref="T944" r:id="rId939" display="Ouvrir"/>
    <hyperlink ref="T945" r:id="rId940" display="Ouvrir"/>
    <hyperlink ref="T946" r:id="rId941" display="Ouvrir"/>
    <hyperlink ref="T947" r:id="rId942" display="Ouvrir"/>
    <hyperlink ref="T948" r:id="rId943" display="Ouvrir"/>
    <hyperlink ref="T949" r:id="rId944" display="Ouvrir"/>
    <hyperlink ref="T950" r:id="rId945" display="Ouvrir"/>
    <hyperlink ref="T951" r:id="rId946" display="Ouvrir"/>
    <hyperlink ref="T952" r:id="rId947" display="Ouvrir"/>
    <hyperlink ref="T953" r:id="rId948" display="Ouvrir"/>
    <hyperlink ref="T954" r:id="rId949" display="Ouvrir"/>
    <hyperlink ref="T955" r:id="rId950" display="Ouvrir"/>
    <hyperlink ref="T956" r:id="rId951" display="Ouvrir"/>
    <hyperlink ref="T957" r:id="rId952" display="Ouvrir"/>
    <hyperlink ref="T958" r:id="rId953" display="Ouvrir"/>
    <hyperlink ref="T959" r:id="rId954" display="Ouvrir"/>
    <hyperlink ref="T960" r:id="rId955" display="Ouvrir"/>
    <hyperlink ref="T961" r:id="rId956" display="Ouvrir"/>
    <hyperlink ref="T962" r:id="rId957" display="Ouvrir"/>
    <hyperlink ref="T963" r:id="rId958" display="Ouvrir"/>
    <hyperlink ref="T964" r:id="rId959" display="Ouvrir"/>
    <hyperlink ref="T965" r:id="rId960" display="Ouvrir"/>
    <hyperlink ref="T966" r:id="rId961" display="Ouvrir"/>
    <hyperlink ref="T967" r:id="rId962" display="Ouvrir"/>
    <hyperlink ref="T968" r:id="rId963" display="Ouvrir"/>
    <hyperlink ref="T969" r:id="rId964" display="Ouvrir"/>
    <hyperlink ref="T970" r:id="rId965" display="Ouvrir"/>
    <hyperlink ref="T971" r:id="rId966" display="Ouvrir"/>
    <hyperlink ref="T972" r:id="rId967" display="Ouvrir"/>
    <hyperlink ref="T973" r:id="rId968" display="Ouvrir"/>
    <hyperlink ref="T974" r:id="rId969" display="Ouvrir"/>
    <hyperlink ref="T975" r:id="rId970" display="Ouvrir"/>
    <hyperlink ref="T976" r:id="rId971" display="Ouvrir"/>
    <hyperlink ref="T977" r:id="rId972" display="Ouvrir"/>
    <hyperlink ref="T978" r:id="rId973" display="Ouvrir"/>
    <hyperlink ref="T979" r:id="rId974" display="Ouvrir"/>
    <hyperlink ref="T980" r:id="rId975" display="Ouvrir"/>
    <hyperlink ref="T981" r:id="rId976" display="Ouvrir"/>
    <hyperlink ref="T982" r:id="rId977" display="Ouvrir"/>
    <hyperlink ref="T983" r:id="rId978" display="Ouvrir"/>
    <hyperlink ref="T984" r:id="rId979" display="Ouvrir"/>
    <hyperlink ref="T985" r:id="rId980" display="Ouvrir"/>
    <hyperlink ref="T986" r:id="rId981" display="Ouvrir"/>
    <hyperlink ref="T987" r:id="rId982" display="Ouvrir"/>
    <hyperlink ref="T988" r:id="rId983" display="Ouvrir"/>
    <hyperlink ref="T989" r:id="rId984" display="Ouvrir"/>
    <hyperlink ref="T990" r:id="rId985" display="Ouvrir"/>
    <hyperlink ref="T991" r:id="rId986" display="Ouvrir"/>
    <hyperlink ref="T992" r:id="rId987" display="Ouvrir"/>
    <hyperlink ref="T993" r:id="rId988" display="Ouvrir"/>
    <hyperlink ref="T994" r:id="rId989" display="Ouvrir"/>
    <hyperlink ref="T995" r:id="rId990" display="Ouvrir"/>
    <hyperlink ref="T996" r:id="rId991" display="Ouvrir"/>
    <hyperlink ref="T997" r:id="rId992" display="Ouvrir"/>
    <hyperlink ref="T998" r:id="rId993" display="Ouvrir"/>
    <hyperlink ref="T999" r:id="rId994" display="Ouvrir"/>
    <hyperlink ref="T1000" r:id="rId995" display="Ouvrir"/>
    <hyperlink ref="T1001" r:id="rId996" display="Ouvrir"/>
    <hyperlink ref="T1002" r:id="rId997" display="Ouvrir"/>
    <hyperlink ref="T1003" r:id="rId998" display="Ouvrir"/>
    <hyperlink ref="T1004" r:id="rId999" display="Ouvrir"/>
    <hyperlink ref="T1005" r:id="rId1000" display="Ouvrir"/>
    <hyperlink ref="T1006" r:id="rId1001" display="Ouvrir"/>
    <hyperlink ref="T1007" r:id="rId1002" display="Ouvrir"/>
    <hyperlink ref="T1008" r:id="rId1003" display="Ouvrir"/>
    <hyperlink ref="T1009" r:id="rId1004" display="Ouvrir"/>
    <hyperlink ref="T1010" r:id="rId1005" display="Ouvrir"/>
    <hyperlink ref="T1011" r:id="rId1006" display="Ouvrir"/>
    <hyperlink ref="T1012" r:id="rId1007" display="Ouvrir"/>
    <hyperlink ref="T1013" r:id="rId1008" display="Ouvrir"/>
    <hyperlink ref="T1014" r:id="rId1009" display="Ouvrir"/>
    <hyperlink ref="T1015" r:id="rId1010" display="Ouvrir"/>
    <hyperlink ref="T1016" r:id="rId1011" display="Ouvrir"/>
    <hyperlink ref="T1017" r:id="rId1012" display="Ouvrir"/>
    <hyperlink ref="T1018" r:id="rId1013" display="Ouvrir"/>
    <hyperlink ref="T1019" r:id="rId1014" display="Ouvrir"/>
    <hyperlink ref="T1020" r:id="rId1015" display="Ouvrir"/>
    <hyperlink ref="T1021" r:id="rId1016" display="Ouvrir"/>
    <hyperlink ref="T1022" r:id="rId1017" display="Ouvrir"/>
    <hyperlink ref="T1023" r:id="rId1018" display="Ouvrir"/>
    <hyperlink ref="T1024" r:id="rId1019" display="Ouvrir"/>
    <hyperlink ref="T1025" r:id="rId1020" display="Ouvrir"/>
    <hyperlink ref="T1026" r:id="rId1021" display="Ouvrir"/>
    <hyperlink ref="T1027" r:id="rId1022" display="Ouvrir"/>
    <hyperlink ref="T1028" r:id="rId1023" display="Ouvrir"/>
    <hyperlink ref="T1029" r:id="rId1024" display="Ouvrir"/>
    <hyperlink ref="T1030" r:id="rId1025" display="Ouvrir"/>
    <hyperlink ref="T1031" r:id="rId1026" display="Ouvrir"/>
    <hyperlink ref="T1032" r:id="rId1027" display="Ouvrir"/>
    <hyperlink ref="T1033" r:id="rId1028" display="Ouvrir"/>
    <hyperlink ref="T1034" r:id="rId1029" display="Ouvrir"/>
    <hyperlink ref="T1035" r:id="rId1030" display="Ouvrir"/>
    <hyperlink ref="T1036" r:id="rId1031" display="Ouvrir"/>
    <hyperlink ref="T1037" r:id="rId1032" display="Ouvrir"/>
    <hyperlink ref="T1038" r:id="rId1033" display="Ouvrir"/>
    <hyperlink ref="T1039" r:id="rId1034" display="Ouvrir"/>
    <hyperlink ref="T1040" r:id="rId1035" display="Ouvrir"/>
    <hyperlink ref="T1041" r:id="rId1036" display="Ouvrir"/>
    <hyperlink ref="T1042" r:id="rId1037" display="Ouvrir"/>
    <hyperlink ref="T1043" r:id="rId1038" display="Ouvrir"/>
    <hyperlink ref="T1044" r:id="rId1039" display="Ouvrir"/>
    <hyperlink ref="T1045" r:id="rId1040" display="Ouvrir"/>
    <hyperlink ref="T1046" r:id="rId1041" display="Ouvrir"/>
    <hyperlink ref="T1047" r:id="rId1042" display="Ouvrir"/>
    <hyperlink ref="T1048" r:id="rId1043" display="Ouvrir"/>
    <hyperlink ref="T1049" r:id="rId1044" display="Ouvrir"/>
    <hyperlink ref="T1050" r:id="rId1045" display="Ouvrir"/>
    <hyperlink ref="T1051" r:id="rId1046" display="Ouvrir"/>
    <hyperlink ref="T1052" r:id="rId1047" display="Ouvrir"/>
    <hyperlink ref="T1053" r:id="rId1048" display="Ouvrir"/>
    <hyperlink ref="T1054" r:id="rId1049" display="Ouvrir"/>
    <hyperlink ref="T1055" r:id="rId1050" display="Ouvrir"/>
    <hyperlink ref="T1056" r:id="rId1051" display="Ouvrir"/>
    <hyperlink ref="T1057" r:id="rId1052" display="Ouvrir"/>
    <hyperlink ref="T1058" r:id="rId1053" display="Ouvrir"/>
    <hyperlink ref="T1059" r:id="rId1054" display="Ouvrir"/>
    <hyperlink ref="T1060" r:id="rId1055" display="Ouvrir"/>
    <hyperlink ref="T1061" r:id="rId1056" display="Ouvrir"/>
    <hyperlink ref="T1062" r:id="rId1057" display="Ouvrir"/>
    <hyperlink ref="T1063" r:id="rId1058" display="Ouvrir"/>
    <hyperlink ref="T1064" r:id="rId1059" display="Ouvrir"/>
    <hyperlink ref="T1065" r:id="rId1060" display="Ouvrir"/>
    <hyperlink ref="T1066" r:id="rId1061" display="Ouvrir"/>
    <hyperlink ref="T1067" r:id="rId1062" display="Ouvrir"/>
    <hyperlink ref="T1068" r:id="rId1063" display="Ouvrir"/>
    <hyperlink ref="T1069" r:id="rId1064" display="Ouvrir"/>
    <hyperlink ref="T1070" r:id="rId1065" display="Ouvrir"/>
    <hyperlink ref="T1071" r:id="rId1066" display="Ouvrir"/>
    <hyperlink ref="T1072" r:id="rId1067" display="Ouvrir"/>
    <hyperlink ref="T1073" r:id="rId1068" display="Ouvrir"/>
    <hyperlink ref="T1074" r:id="rId1069" display="Ouvrir"/>
    <hyperlink ref="T1075" r:id="rId1070" display="Ouvrir"/>
    <hyperlink ref="T1076" r:id="rId1071" display="Ouvrir"/>
    <hyperlink ref="T1077" r:id="rId1072" display="Ouvrir"/>
    <hyperlink ref="T1078" r:id="rId1073" display="Ouvrir"/>
    <hyperlink ref="T1079" r:id="rId1074" display="Ouvrir"/>
    <hyperlink ref="T1080" r:id="rId1075" display="Ouvrir"/>
    <hyperlink ref="T1081" r:id="rId1076" display="Ouvrir"/>
    <hyperlink ref="T1082" r:id="rId1077" display="Ouvrir"/>
    <hyperlink ref="T1083" r:id="rId1078" display="Ouvrir"/>
    <hyperlink ref="T1084" r:id="rId1079" display="Ouvrir"/>
    <hyperlink ref="T1085" r:id="rId1080" display="Ouvrir"/>
    <hyperlink ref="T1086" r:id="rId1081" display="Ouvrir"/>
    <hyperlink ref="T1087" r:id="rId1082" display="Ouvrir"/>
    <hyperlink ref="T1088" r:id="rId1083" display="Ouvrir"/>
    <hyperlink ref="T1089" r:id="rId1084" display="Ouvrir"/>
    <hyperlink ref="T1090" r:id="rId1085" display="Ouvrir"/>
    <hyperlink ref="T1091" r:id="rId1086" display="Ouvrir"/>
    <hyperlink ref="T1092" r:id="rId1087" display="Ouvrir"/>
    <hyperlink ref="T1093" r:id="rId1088" display="Ouvrir"/>
    <hyperlink ref="T1094" r:id="rId1089" display="Ouvrir"/>
    <hyperlink ref="T1095" r:id="rId1090" display="Ouvrir"/>
    <hyperlink ref="T1096" r:id="rId1091" display="Ouvrir"/>
    <hyperlink ref="T1097" r:id="rId1092" display="Ouvrir"/>
    <hyperlink ref="T1098" r:id="rId1093" display="Ouvrir"/>
    <hyperlink ref="T1099" r:id="rId1094" display="Ouvrir"/>
    <hyperlink ref="T1100" r:id="rId1095" display="Ouvrir"/>
    <hyperlink ref="T1101" r:id="rId1096" display="Ouvrir"/>
    <hyperlink ref="T1102" r:id="rId1097" display="Ouvrir"/>
    <hyperlink ref="T1103" r:id="rId1098" display="Ouvrir"/>
    <hyperlink ref="T1104" r:id="rId1099" display="Ouvrir"/>
    <hyperlink ref="T1105" r:id="rId1100" display="Ouvrir"/>
    <hyperlink ref="T1106" r:id="rId1101" display="Ouvrir"/>
    <hyperlink ref="T1107" r:id="rId1102" display="Ouvrir"/>
    <hyperlink ref="T1108" r:id="rId1103" display="Ouvrir"/>
    <hyperlink ref="T1109" r:id="rId1104" display="Ouvrir"/>
    <hyperlink ref="T1110" r:id="rId1105" display="Ouvrir"/>
    <hyperlink ref="T1111" r:id="rId1106" display="Ouvrir"/>
    <hyperlink ref="T1112" r:id="rId1107" display="Ouvrir"/>
    <hyperlink ref="T1113" r:id="rId1108" display="Ouvrir"/>
    <hyperlink ref="T1114" r:id="rId1109" display="Ouvrir"/>
    <hyperlink ref="T1115" r:id="rId1110" display="Ouvrir"/>
    <hyperlink ref="T1116" r:id="rId1111" display="Ouvrir"/>
    <hyperlink ref="T1117" r:id="rId1112" display="Ouvrir"/>
    <hyperlink ref="T1118" r:id="rId1113" display="Ouvrir"/>
    <hyperlink ref="T1119" r:id="rId1114" display="Ouvrir"/>
    <hyperlink ref="T1120" r:id="rId1115" display="Ouvrir"/>
    <hyperlink ref="T1121" r:id="rId1116" display="Ouvrir"/>
    <hyperlink ref="T1122" r:id="rId1117" display="Ouvrir"/>
    <hyperlink ref="T1123" r:id="rId1118" display="Ouvrir"/>
    <hyperlink ref="T1124" r:id="rId1119" display="Ouvrir"/>
    <hyperlink ref="T1125" r:id="rId1120" display="Ouvrir"/>
    <hyperlink ref="T1126" r:id="rId1121" display="Ouvrir"/>
    <hyperlink ref="T1127" r:id="rId1122" display="Ouvrir"/>
    <hyperlink ref="T1128" r:id="rId1123" display="Ouvrir"/>
    <hyperlink ref="T1129" r:id="rId1124" display="Ouvrir"/>
    <hyperlink ref="T1130" r:id="rId1125" display="Ouvrir"/>
    <hyperlink ref="T1131" r:id="rId1126" display="Ouvrir"/>
    <hyperlink ref="T1132" r:id="rId1127" display="Ouvrir"/>
    <hyperlink ref="T1133" r:id="rId1128" display="Ouvrir"/>
    <hyperlink ref="T1134" r:id="rId1129" display="Ouvrir"/>
    <hyperlink ref="T1135" r:id="rId1130" display="Ouvrir"/>
    <hyperlink ref="T1136" r:id="rId1131" display="Ouvrir"/>
    <hyperlink ref="T1137" r:id="rId1132" display="Ouvrir"/>
    <hyperlink ref="T1138" r:id="rId1133" display="Ouvrir"/>
    <hyperlink ref="T1139" r:id="rId1134" display="Ouvrir"/>
    <hyperlink ref="T1140" r:id="rId1135" display="Ouvrir"/>
    <hyperlink ref="T1141" r:id="rId1136" display="Ouvrir"/>
    <hyperlink ref="T1142" r:id="rId1137" display="Ouvrir"/>
    <hyperlink ref="T1143" r:id="rId1138" display="Ouvrir"/>
    <hyperlink ref="T1144" r:id="rId1139" display="Ouvrir"/>
    <hyperlink ref="T1145" r:id="rId1140" display="Ouvrir"/>
    <hyperlink ref="T1146" r:id="rId1141" display="Ouvrir"/>
    <hyperlink ref="T1147" r:id="rId1142" display="Ouvrir"/>
    <hyperlink ref="T1148" r:id="rId1143" display="Ouvrir"/>
    <hyperlink ref="T1149" r:id="rId1144" display="Ouvrir"/>
    <hyperlink ref="T1150" r:id="rId1145" display="Ouvrir"/>
    <hyperlink ref="T1151" r:id="rId1146" display="Ouvrir"/>
    <hyperlink ref="T1152" r:id="rId1147" display="Ouvrir"/>
    <hyperlink ref="T1153" r:id="rId1148" display="Ouvrir"/>
    <hyperlink ref="T1154" r:id="rId1149" display="Ouvrir"/>
    <hyperlink ref="T1155" r:id="rId1150" display="Ouvrir"/>
    <hyperlink ref="T1156" r:id="rId1151" display="Ouvrir"/>
    <hyperlink ref="T1157" r:id="rId1152" display="Ouvrir"/>
    <hyperlink ref="T1158" r:id="rId1153" display="Ouvrir"/>
    <hyperlink ref="T1159" r:id="rId1154" display="Ouvrir"/>
    <hyperlink ref="T1160" r:id="rId1155" display="Ouvrir"/>
    <hyperlink ref="T1161" r:id="rId1156" display="Ouvrir"/>
    <hyperlink ref="T1162" r:id="rId1157" display="Ouvrir"/>
    <hyperlink ref="T1163" r:id="rId1158" display="Ouvrir"/>
    <hyperlink ref="T1164" r:id="rId1159" display="Ouvrir"/>
    <hyperlink ref="T1165" r:id="rId1160" display="Ouvrir"/>
    <hyperlink ref="T1166" r:id="rId1161" display="Ouvrir"/>
    <hyperlink ref="T1167" r:id="rId1162" display="Ouvrir"/>
    <hyperlink ref="T1168" r:id="rId1163" display="Ouvrir"/>
    <hyperlink ref="T1169" r:id="rId1164" display="Ouvrir"/>
    <hyperlink ref="T1170" r:id="rId1165" display="Ouvrir"/>
    <hyperlink ref="T1171" r:id="rId1166" display="Ouvrir"/>
    <hyperlink ref="T1172" r:id="rId1167" display="Ouvrir"/>
    <hyperlink ref="T1173" r:id="rId1168" display="Ouvrir"/>
    <hyperlink ref="T1174" r:id="rId1169" display="Ouvrir"/>
    <hyperlink ref="T1175" r:id="rId1170" display="Ouvrir"/>
    <hyperlink ref="T1176" r:id="rId1171" display="Ouvrir"/>
    <hyperlink ref="T1177" r:id="rId1172" display="Ouvrir"/>
    <hyperlink ref="T1178" r:id="rId1173" display="Ouvrir"/>
    <hyperlink ref="T1179" r:id="rId1174" display="Ouvrir"/>
    <hyperlink ref="T1180" r:id="rId1175" display="Ouvrir"/>
    <hyperlink ref="T1181" r:id="rId1176" display="Ouvrir"/>
    <hyperlink ref="T1182" r:id="rId1177" display="Ouvrir"/>
    <hyperlink ref="T1183" r:id="rId1178" display="Ouvrir"/>
    <hyperlink ref="T1184" r:id="rId1179" display="Ouvrir"/>
    <hyperlink ref="T1185" r:id="rId1180" display="Ouvrir"/>
    <hyperlink ref="T1186" r:id="rId1181" display="Ouvrir"/>
    <hyperlink ref="T1187" r:id="rId1182" display="Ouvrir"/>
    <hyperlink ref="T1188" r:id="rId1183" display="Ouvrir"/>
    <hyperlink ref="T1189" r:id="rId1184" display="Ouvrir"/>
    <hyperlink ref="T1190" r:id="rId1185" display="Ouvrir"/>
    <hyperlink ref="T1191" r:id="rId1186" display="Ouvrir"/>
    <hyperlink ref="T1192" r:id="rId1187" display="Ouvrir"/>
    <hyperlink ref="T1193" r:id="rId1188" display="Ouvrir"/>
    <hyperlink ref="T1194" r:id="rId1189" display="Ouvrir"/>
    <hyperlink ref="T1195" r:id="rId1190" display="Ouvrir"/>
    <hyperlink ref="T1196" r:id="rId1191" display="Ouvrir"/>
    <hyperlink ref="T1197" r:id="rId1192" display="Ouvrir"/>
    <hyperlink ref="T1198" r:id="rId1193" display="Ouvrir"/>
    <hyperlink ref="T1199" r:id="rId1194" display="Ouvrir"/>
    <hyperlink ref="T1200" r:id="rId1195" display="Ouvrir"/>
    <hyperlink ref="T1201" r:id="rId1196" display="Ouvrir"/>
    <hyperlink ref="T1202" r:id="rId1197" display="Ouvrir"/>
    <hyperlink ref="T1203" r:id="rId1198" display="Ouvrir"/>
    <hyperlink ref="T1204" r:id="rId1199" display="Ouvrir"/>
    <hyperlink ref="T1205" r:id="rId1200" display="Ouvrir"/>
    <hyperlink ref="T1206" r:id="rId1201" display="Ouvrir"/>
    <hyperlink ref="T1207" r:id="rId1202" display="Ouvrir"/>
    <hyperlink ref="T1208" r:id="rId1203" display="Ouvrir"/>
    <hyperlink ref="T1209" r:id="rId1204" display="Ouvrir"/>
    <hyperlink ref="T1210" r:id="rId1205" display="Ouvrir"/>
    <hyperlink ref="T1211" r:id="rId1206" display="Ouvrir"/>
    <hyperlink ref="T1212" r:id="rId1207" display="Ouvrir"/>
    <hyperlink ref="T1213" r:id="rId1208" display="Ouvrir"/>
    <hyperlink ref="T1214" r:id="rId1209" display="Ouvrir"/>
    <hyperlink ref="T1215" r:id="rId1210" display="Ouvrir"/>
    <hyperlink ref="T1216" r:id="rId1211" display="Ouvrir"/>
    <hyperlink ref="T1217" r:id="rId1212" display="Ouvrir"/>
    <hyperlink ref="T1218" r:id="rId1213" display="Ouvrir"/>
    <hyperlink ref="T1219" r:id="rId1214" display="Ouvrir"/>
    <hyperlink ref="T1220" r:id="rId1215" display="Ouvrir"/>
    <hyperlink ref="T1221" r:id="rId1216" display="Ouvrir"/>
    <hyperlink ref="T1222" r:id="rId1217" display="Ouvrir"/>
    <hyperlink ref="T1223" r:id="rId1218" display="Ouvrir"/>
    <hyperlink ref="T1224" r:id="rId1219" display="Ouvrir"/>
    <hyperlink ref="T1225" r:id="rId1220" display="Ouvrir"/>
    <hyperlink ref="T1226" r:id="rId1221" display="Ouvrir"/>
    <hyperlink ref="T1227" r:id="rId1222" display="Ouvrir"/>
    <hyperlink ref="T1228" r:id="rId1223" display="Ouvrir"/>
    <hyperlink ref="T1229" r:id="rId1224" display="Ouvrir"/>
    <hyperlink ref="T1230" r:id="rId1225" display="Ouvrir"/>
    <hyperlink ref="T1231" r:id="rId1226" display="Ouvrir"/>
    <hyperlink ref="T1232" r:id="rId1227" display="Ouvrir"/>
    <hyperlink ref="T1233" r:id="rId1228" display="Ouvrir"/>
    <hyperlink ref="T1234" r:id="rId1229" display="Ouvrir"/>
    <hyperlink ref="T1235" r:id="rId1230" display="Ouvrir"/>
    <hyperlink ref="T1236" r:id="rId1231" display="Ouvrir"/>
    <hyperlink ref="T1237" r:id="rId1232" display="Ouvrir"/>
    <hyperlink ref="T1238" r:id="rId1233" display="Ouvrir"/>
    <hyperlink ref="T1239" r:id="rId1234" display="Ouvrir"/>
    <hyperlink ref="T1240" r:id="rId1235" display="Ouvrir"/>
    <hyperlink ref="T1241" r:id="rId1236" display="Ouvrir"/>
    <hyperlink ref="T1242" r:id="rId1237" display="Ouvrir"/>
    <hyperlink ref="T1243" r:id="rId1238" display="Ouvrir"/>
    <hyperlink ref="T1244" r:id="rId1239" display="Ouvrir"/>
    <hyperlink ref="T1245" r:id="rId1240" display="Ouvrir"/>
    <hyperlink ref="T1246" r:id="rId1241" display="Ouvrir"/>
    <hyperlink ref="T1247" r:id="rId1242" display="Ouvrir"/>
    <hyperlink ref="T1248" r:id="rId1243" display="Ouvrir"/>
    <hyperlink ref="T1249" r:id="rId1244" display="Ouvrir"/>
    <hyperlink ref="T1250" r:id="rId1245" display="Ouvrir"/>
    <hyperlink ref="T1251" r:id="rId1246" display="Ouvrir"/>
    <hyperlink ref="T1252" r:id="rId1247" display="Ouvrir"/>
    <hyperlink ref="T1253" r:id="rId1248" display="Ouvrir"/>
    <hyperlink ref="T1254" r:id="rId1249" display="Ouvrir"/>
    <hyperlink ref="T1255" r:id="rId1250" display="Ouvrir"/>
    <hyperlink ref="T1256" r:id="rId1251" display="Ouvrir"/>
    <hyperlink ref="T1257" r:id="rId1252" display="Ouvrir"/>
    <hyperlink ref="T1258" r:id="rId1253" display="Ouvrir"/>
    <hyperlink ref="T1259" r:id="rId1254" display="Ouvrir"/>
    <hyperlink ref="T1260" r:id="rId1255" display="Ouvrir"/>
    <hyperlink ref="T1261" r:id="rId1256" display="Ouvrir"/>
    <hyperlink ref="T1262" r:id="rId1257" display="Ouvrir"/>
    <hyperlink ref="T1263" r:id="rId1258" display="Ouvrir"/>
    <hyperlink ref="T1264" r:id="rId1259" display="Ouvrir"/>
    <hyperlink ref="T1265" r:id="rId1260" display="Ouvrir"/>
    <hyperlink ref="T1266" r:id="rId1261" display="Ouvrir"/>
    <hyperlink ref="T1267" r:id="rId1262" display="Ouvrir"/>
    <hyperlink ref="T1268" r:id="rId1263" display="Ouvrir"/>
    <hyperlink ref="T1269" r:id="rId1264" display="Ouvrir"/>
    <hyperlink ref="T1270" r:id="rId1265" display="Ouvrir"/>
    <hyperlink ref="T1271" r:id="rId1266" display="Ouvrir"/>
    <hyperlink ref="T1272" r:id="rId1267" display="Ouvrir"/>
    <hyperlink ref="T1273" r:id="rId1268" display="Ouvrir"/>
    <hyperlink ref="T1274" r:id="rId1269" display="Ouvrir"/>
    <hyperlink ref="T1275" r:id="rId1270" display="Ouvrir"/>
    <hyperlink ref="T1276" r:id="rId1271" display="Ouvrir"/>
    <hyperlink ref="T1277" r:id="rId1272" display="Ouvrir"/>
    <hyperlink ref="T1278" r:id="rId1273" display="Ouvrir"/>
    <hyperlink ref="T1279" r:id="rId1274" display="Ouvrir"/>
    <hyperlink ref="T1280" r:id="rId1275" display="Ouvrir"/>
    <hyperlink ref="T1281" r:id="rId1276" display="Ouvrir"/>
    <hyperlink ref="T1282" r:id="rId1277" display="Ouvrir"/>
    <hyperlink ref="T1283" r:id="rId1278" display="Ouvrir"/>
    <hyperlink ref="T1284" r:id="rId1279" display="Ouvrir"/>
    <hyperlink ref="T1285" r:id="rId1280" display="Ouvrir"/>
    <hyperlink ref="T1286" r:id="rId1281" display="Ouvrir"/>
    <hyperlink ref="T1287" r:id="rId1282" display="Ouvrir"/>
    <hyperlink ref="T1288" r:id="rId1283" display="Ouvrir"/>
    <hyperlink ref="T1289" r:id="rId1284" display="Ouvrir"/>
    <hyperlink ref="T1290" r:id="rId1285" display="Ouvrir"/>
    <hyperlink ref="T1291" r:id="rId1286" display="Ouvrir"/>
    <hyperlink ref="T1292" r:id="rId1287" display="Ouvrir"/>
    <hyperlink ref="T1293" r:id="rId1288" display="Ouvrir"/>
    <hyperlink ref="T1294" r:id="rId1289" display="Ouvrir"/>
    <hyperlink ref="T1295" r:id="rId1290" display="Ouvrir"/>
    <hyperlink ref="T1296" r:id="rId1291" display="Ouvrir"/>
    <hyperlink ref="T1297" r:id="rId1292" display="Ouvrir"/>
    <hyperlink ref="T1298" r:id="rId1293" display="Ouvrir"/>
    <hyperlink ref="T1299" r:id="rId1294" display="Ouvrir"/>
    <hyperlink ref="T1300" r:id="rId1295" display="Ouvrir"/>
    <hyperlink ref="T1301" r:id="rId1296" display="Ouvrir"/>
    <hyperlink ref="T1302" r:id="rId1297" display="Ouvrir"/>
    <hyperlink ref="T1303" r:id="rId1298" display="Ouvrir"/>
    <hyperlink ref="T1304" r:id="rId1299" display="Ouvrir"/>
    <hyperlink ref="T1305" r:id="rId1300" display="Ouvrir"/>
    <hyperlink ref="T1306" r:id="rId1301" display="Ouvrir"/>
    <hyperlink ref="T1307" r:id="rId1302" display="Ouvrir"/>
    <hyperlink ref="T1308" r:id="rId1303" display="Ouvrir"/>
    <hyperlink ref="T1309" r:id="rId1304" display="Ouvrir"/>
    <hyperlink ref="T1310" r:id="rId1305" display="Ouvrir"/>
    <hyperlink ref="T1311" r:id="rId1306" display="Ouvrir"/>
    <hyperlink ref="T1312" r:id="rId1307" display="Ouvrir"/>
    <hyperlink ref="T1313" r:id="rId1308" display="Ouvrir"/>
    <hyperlink ref="T1314" r:id="rId1309" display="Ouvrir"/>
    <hyperlink ref="T1315" r:id="rId1310" display="Ouvrir"/>
    <hyperlink ref="T1316" r:id="rId1311" display="Ouvrir"/>
    <hyperlink ref="T1317" r:id="rId1312" display="Ouvrir"/>
    <hyperlink ref="T1318" r:id="rId1313" display="Ouvrir"/>
    <hyperlink ref="T1319" r:id="rId1314" display="Ouvrir"/>
    <hyperlink ref="T1320" r:id="rId1315" display="Ouvrir"/>
    <hyperlink ref="T1321" r:id="rId1316" display="Ouvrir"/>
    <hyperlink ref="T1322" r:id="rId1317" display="Ouvrir"/>
    <hyperlink ref="T1323" r:id="rId1318" display="Ouvrir"/>
    <hyperlink ref="T1324" r:id="rId1319" display="Ouvrir"/>
    <hyperlink ref="T1325" r:id="rId1320" display="Ouvrir"/>
    <hyperlink ref="T1326" r:id="rId1321" display="Ouvrir"/>
    <hyperlink ref="T1327" r:id="rId1322" display="Ouvrir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32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6070"/>
    <pageSetUpPr fitToPage="false"/>
  </sheetPr>
  <dimension ref="A1:K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"/>
    <col collapsed="false" customWidth="true" hidden="false" outlineLevel="0" max="4" min="4" style="0" width="38"/>
    <col collapsed="false" customWidth="true" hidden="false" outlineLevel="0" max="11" min="5" style="0" width="13"/>
  </cols>
  <sheetData>
    <row r="1" customFormat="false" ht="19.7" hidden="false" customHeight="false" outlineLevel="0" collapsed="false">
      <c r="A1" s="1" t="s">
        <v>3539</v>
      </c>
    </row>
    <row r="2" customFormat="false" ht="15" hidden="false" customHeight="false" outlineLevel="0" collapsed="false">
      <c r="A2" s="2" t="s">
        <v>3540</v>
      </c>
    </row>
    <row r="3" customFormat="false" ht="15" hidden="false" customHeight="false" outlineLevel="0" collapsed="false">
      <c r="D3" s="11" t="s">
        <v>3541</v>
      </c>
    </row>
    <row r="4" customFormat="false" ht="15" hidden="false" customHeight="false" outlineLevel="0" collapsed="false">
      <c r="A4" s="54" t="s">
        <v>3542</v>
      </c>
      <c r="B4" s="55" t="n">
        <f aca="false">COUNTA(Backlog!$A$6:$A$1327)</f>
        <v>1322</v>
      </c>
      <c r="D4" s="12" t="s">
        <v>48</v>
      </c>
      <c r="E4" s="12" t="s">
        <v>3543</v>
      </c>
      <c r="F4" s="12" t="s">
        <v>298</v>
      </c>
      <c r="G4" s="12" t="s">
        <v>3544</v>
      </c>
      <c r="H4" s="12" t="s">
        <v>35</v>
      </c>
      <c r="I4" s="12" t="s">
        <v>3545</v>
      </c>
      <c r="J4" s="12" t="s">
        <v>3546</v>
      </c>
      <c r="K4" s="12" t="s">
        <v>3547</v>
      </c>
    </row>
    <row r="5" customFormat="false" ht="15" hidden="false" customHeight="false" outlineLevel="0" collapsed="false">
      <c r="A5" s="54" t="s">
        <v>298</v>
      </c>
      <c r="B5" s="55" t="n">
        <f aca="false">COUNTIFS(Backlog!$O$6:$O$1327,"Terminé")</f>
        <v>0</v>
      </c>
      <c r="D5" s="56" t="s">
        <v>51</v>
      </c>
      <c r="E5" s="31" t="n">
        <f aca="false">COUNTIFS(Backlog!$J$6:$J$1327,0)</f>
        <v>223</v>
      </c>
      <c r="F5" s="31" t="n">
        <f aca="false">COUNTIFS(Backlog!$J$6:$J$1327,0,Backlog!$O$6:$O$1327,"Terminé")</f>
        <v>0</v>
      </c>
      <c r="G5" s="47" t="n">
        <f aca="false">IF(E5=0,0,F5/E5)</f>
        <v>0</v>
      </c>
      <c r="H5" s="57" t="n">
        <f aca="false">SUMIFS(Backlog!$I$6:$I$1327,Backlog!$J$6:$J$1327,0)</f>
        <v>224.5</v>
      </c>
      <c r="I5" s="57" t="n">
        <f aca="false">SUMIFS(Backlog!$I$6:$I$1327,Backlog!$J$6:$J$1327,0,Backlog!$O$6:$O$1327,"Terminé")</f>
        <v>0</v>
      </c>
      <c r="J5" s="47" t="n">
        <f aca="false">IF(H5=0,0,I5/H5)</f>
        <v>0</v>
      </c>
      <c r="K5" s="33" t="n">
        <f aca="false">_xlfn.MAXIFS(Épopées!$M$6:$M$59,Épopées!$E$6:$E$59,0)</f>
        <v>46435</v>
      </c>
    </row>
    <row r="6" customFormat="false" ht="15" hidden="false" customHeight="false" outlineLevel="0" collapsed="false">
      <c r="A6" s="54" t="s">
        <v>3548</v>
      </c>
      <c r="B6" s="55" t="n">
        <f aca="false">COUNTIFS(Backlog!$O$6:$O$1327,"En cours")+COUNTIFS(Backlog!$O$6:$O$1327,"En revue")</f>
        <v>0</v>
      </c>
      <c r="D6" s="58" t="s">
        <v>53</v>
      </c>
      <c r="E6" s="31" t="n">
        <f aca="false">COUNTIFS(Backlog!$J$6:$J$1327,1)</f>
        <v>688</v>
      </c>
      <c r="F6" s="31" t="n">
        <f aca="false">COUNTIFS(Backlog!$J$6:$J$1327,1,Backlog!$O$6:$O$1327,"Terminé")</f>
        <v>0</v>
      </c>
      <c r="G6" s="47" t="n">
        <f aca="false">IF(E6=0,0,F6/E6)</f>
        <v>0</v>
      </c>
      <c r="H6" s="57" t="n">
        <f aca="false">SUMIFS(Backlog!$I$6:$I$1327,Backlog!$J$6:$J$1327,1)</f>
        <v>714.5</v>
      </c>
      <c r="I6" s="57" t="n">
        <f aca="false">SUMIFS(Backlog!$I$6:$I$1327,Backlog!$J$6:$J$1327,1,Backlog!$O$6:$O$1327,"Terminé")</f>
        <v>0</v>
      </c>
      <c r="J6" s="47" t="n">
        <f aca="false">IF(H6=0,0,I6/H6)</f>
        <v>0</v>
      </c>
      <c r="K6" s="33" t="n">
        <f aca="false">_xlfn.MAXIFS(Épopées!$M$6:$M$59,Épopées!$E$6:$E$59,1)</f>
        <v>46615</v>
      </c>
    </row>
    <row r="7" customFormat="false" ht="15" hidden="false" customHeight="false" outlineLevel="0" collapsed="false">
      <c r="A7" s="54" t="s">
        <v>3549</v>
      </c>
      <c r="B7" s="55" t="n">
        <f aca="false">COUNTIFS(Backlog!$O$6:$O$1327,"Bloqué")</f>
        <v>0</v>
      </c>
      <c r="D7" s="59" t="s">
        <v>55</v>
      </c>
      <c r="E7" s="31" t="n">
        <f aca="false">COUNTIFS(Backlog!$J$6:$J$1327,2)</f>
        <v>313</v>
      </c>
      <c r="F7" s="31" t="n">
        <f aca="false">COUNTIFS(Backlog!$J$6:$J$1327,2,Backlog!$O$6:$O$1327,"Terminé")</f>
        <v>0</v>
      </c>
      <c r="G7" s="47" t="n">
        <f aca="false">IF(E7=0,0,F7/E7)</f>
        <v>0</v>
      </c>
      <c r="H7" s="57" t="n">
        <f aca="false">SUMIFS(Backlog!$I$6:$I$1327,Backlog!$J$6:$J$1327,2)</f>
        <v>340.5</v>
      </c>
      <c r="I7" s="57" t="n">
        <f aca="false">SUMIFS(Backlog!$I$6:$I$1327,Backlog!$J$6:$J$1327,2,Backlog!$O$6:$O$1327,"Terminé")</f>
        <v>0</v>
      </c>
      <c r="J7" s="47" t="n">
        <f aca="false">IF(H7=0,0,I7/H7)</f>
        <v>0</v>
      </c>
      <c r="K7" s="33" t="n">
        <f aca="false">_xlfn.MAXIFS(Épopées!$M$6:$M$59,Épopées!$E$6:$E$59,2)</f>
        <v>46710</v>
      </c>
    </row>
    <row r="8" customFormat="false" ht="15" hidden="false" customHeight="false" outlineLevel="0" collapsed="false">
      <c r="A8" s="54" t="s">
        <v>3550</v>
      </c>
      <c r="B8" s="60" t="n">
        <f aca="false">IF(B4=0,0,B5/B4)</f>
        <v>0</v>
      </c>
      <c r="D8" s="61" t="s">
        <v>57</v>
      </c>
      <c r="E8" s="31" t="n">
        <f aca="false">COUNTIFS(Backlog!$J$6:$J$1327,3)</f>
        <v>98</v>
      </c>
      <c r="F8" s="31" t="n">
        <f aca="false">COUNTIFS(Backlog!$J$6:$J$1327,3,Backlog!$O$6:$O$1327,"Terminé")</f>
        <v>0</v>
      </c>
      <c r="G8" s="47" t="n">
        <f aca="false">IF(E8=0,0,F8/E8)</f>
        <v>0</v>
      </c>
      <c r="H8" s="57" t="n">
        <f aca="false">SUMIFS(Backlog!$I$6:$I$1327,Backlog!$J$6:$J$1327,3)</f>
        <v>92.25</v>
      </c>
      <c r="I8" s="57" t="n">
        <f aca="false">SUMIFS(Backlog!$I$6:$I$1327,Backlog!$J$6:$J$1327,3,Backlog!$O$6:$O$1327,"Terminé")</f>
        <v>0</v>
      </c>
      <c r="J8" s="47" t="n">
        <f aca="false">IF(H8=0,0,I8/H8)</f>
        <v>0</v>
      </c>
      <c r="K8" s="33" t="n">
        <f aca="false">_xlfn.MAXIFS(Épopées!$M$6:$M$59,Épopées!$E$6:$E$59,3)</f>
        <v>46748</v>
      </c>
    </row>
    <row r="9" customFormat="false" ht="15" hidden="false" customHeight="false" outlineLevel="0" collapsed="false">
      <c r="A9" s="54" t="s">
        <v>3551</v>
      </c>
      <c r="B9" s="62" t="n">
        <f aca="false">SUM(Backlog!$I$6:$I$1327)</f>
        <v>1371.75</v>
      </c>
    </row>
    <row r="10" customFormat="false" ht="15" hidden="false" customHeight="false" outlineLevel="0" collapsed="false">
      <c r="A10" s="54" t="s">
        <v>3552</v>
      </c>
      <c r="B10" s="62" t="n">
        <f aca="false">SUMIFS(Backlog!$I$6:$I$1327,Backlog!$O$6:$O$1327,"Terminé")</f>
        <v>0</v>
      </c>
    </row>
    <row r="11" customFormat="false" ht="15" hidden="false" customHeight="false" outlineLevel="0" collapsed="false">
      <c r="A11" s="54" t="s">
        <v>3553</v>
      </c>
      <c r="B11" s="60" t="n">
        <f aca="false">IF(B9=0,0,B10/B9)</f>
        <v>0</v>
      </c>
      <c r="D11" s="11" t="s">
        <v>3554</v>
      </c>
    </row>
    <row r="12" customFormat="false" ht="15" hidden="false" customHeight="false" outlineLevel="0" collapsed="false">
      <c r="A12" s="54" t="s">
        <v>3555</v>
      </c>
      <c r="B12" s="63" t="n">
        <f aca="false">Épopées!L60</f>
        <v>46328</v>
      </c>
      <c r="D12" s="30" t="s">
        <v>287</v>
      </c>
      <c r="E12" s="30" t="s">
        <v>3543</v>
      </c>
      <c r="F12" s="30" t="s">
        <v>298</v>
      </c>
      <c r="G12" s="30" t="s">
        <v>3544</v>
      </c>
      <c r="H12" s="30" t="s">
        <v>35</v>
      </c>
      <c r="I12" s="30" t="s">
        <v>3545</v>
      </c>
      <c r="J12" s="30" t="s">
        <v>3546</v>
      </c>
      <c r="K12" s="30" t="s">
        <v>3547</v>
      </c>
    </row>
    <row r="13" customFormat="false" ht="15" hidden="false" customHeight="false" outlineLevel="0" collapsed="false">
      <c r="A13" s="54" t="s">
        <v>3547</v>
      </c>
      <c r="B13" s="63" t="n">
        <f aca="false">Épopées!M60</f>
        <v>46748</v>
      </c>
      <c r="D13" s="31" t="s">
        <v>301</v>
      </c>
      <c r="E13" s="31" t="n">
        <f aca="false">COUNTIFS(Backlog!$B$6:$B$1327,D13)</f>
        <v>471</v>
      </c>
      <c r="F13" s="31" t="n">
        <f aca="false">COUNTIFS(Backlog!$B$6:$B$1327,D13,Backlog!$O$6:$O$1327,"Terminé")</f>
        <v>0</v>
      </c>
      <c r="G13" s="47" t="n">
        <f aca="false">IF(E13=0,0,F13/E13)</f>
        <v>0</v>
      </c>
      <c r="H13" s="57" t="n">
        <f aca="false">SUMIFS(Backlog!$I$6:$I$1327,Backlog!$B$6:$B$1327,D13)</f>
        <v>493.5</v>
      </c>
      <c r="I13" s="57" t="n">
        <f aca="false">SUMIFS(Backlog!$I$6:$I$1327,Backlog!$B$6:$B$1327,D13,Backlog!$O$6:$O$1327,"Terminé")</f>
        <v>0</v>
      </c>
      <c r="J13" s="47" t="n">
        <f aca="false">IF(H13=0,0,I13/H13)</f>
        <v>0</v>
      </c>
      <c r="K13" s="33" t="n">
        <f aca="false">_xlfn.MAXIFS(Épopées!$M$6:$M$59,Épopées!$B$6:$B$59,D13)</f>
        <v>46667</v>
      </c>
    </row>
    <row r="14" customFormat="false" ht="15" hidden="false" customHeight="false" outlineLevel="0" collapsed="false">
      <c r="A14" s="54" t="s">
        <v>3556</v>
      </c>
      <c r="B14" s="63" t="n">
        <f aca="true">TODAY()</f>
        <v>46311</v>
      </c>
      <c r="D14" s="31" t="s">
        <v>342</v>
      </c>
      <c r="E14" s="31" t="n">
        <f aca="false">COUNTIFS(Backlog!$B$6:$B$1327,D14)</f>
        <v>599</v>
      </c>
      <c r="F14" s="31" t="n">
        <f aca="false">COUNTIFS(Backlog!$B$6:$B$1327,D14,Backlog!$O$6:$O$1327,"Terminé")</f>
        <v>0</v>
      </c>
      <c r="G14" s="47" t="n">
        <f aca="false">IF(E14=0,0,F14/E14)</f>
        <v>0</v>
      </c>
      <c r="H14" s="57" t="n">
        <f aca="false">SUMIFS(Backlog!$I$6:$I$1327,Backlog!$B$6:$B$1327,D14)</f>
        <v>599.75</v>
      </c>
      <c r="I14" s="57" t="n">
        <f aca="false">SUMIFS(Backlog!$I$6:$I$1327,Backlog!$B$6:$B$1327,D14,Backlog!$O$6:$O$1327,"Terminé")</f>
        <v>0</v>
      </c>
      <c r="J14" s="47" t="n">
        <f aca="false">IF(H14=0,0,I14/H14)</f>
        <v>0</v>
      </c>
      <c r="K14" s="33" t="n">
        <f aca="false">_xlfn.MAXIFS(Épopées!$M$6:$M$59,Épopées!$B$6:$B$59,D14)</f>
        <v>46748</v>
      </c>
    </row>
    <row r="15" customFormat="false" ht="15" hidden="false" customHeight="false" outlineLevel="0" collapsed="false">
      <c r="D15" s="31" t="s">
        <v>404</v>
      </c>
      <c r="E15" s="31" t="n">
        <f aca="false">COUNTIFS(Backlog!$B$6:$B$1327,D15)</f>
        <v>252</v>
      </c>
      <c r="F15" s="31" t="n">
        <f aca="false">COUNTIFS(Backlog!$B$6:$B$1327,D15,Backlog!$O$6:$O$1327,"Terminé")</f>
        <v>0</v>
      </c>
      <c r="G15" s="47" t="n">
        <f aca="false">IF(E15=0,0,F15/E15)</f>
        <v>0</v>
      </c>
      <c r="H15" s="57" t="n">
        <f aca="false">SUMIFS(Backlog!$I$6:$I$1327,Backlog!$B$6:$B$1327,D15)</f>
        <v>278.5</v>
      </c>
      <c r="I15" s="57" t="n">
        <f aca="false">SUMIFS(Backlog!$I$6:$I$1327,Backlog!$B$6:$B$1327,D15,Backlog!$O$6:$O$1327,"Terminé")</f>
        <v>0</v>
      </c>
      <c r="J15" s="47" t="n">
        <f aca="false">IF(H15=0,0,I15/H15)</f>
        <v>0</v>
      </c>
      <c r="K15" s="33" t="n">
        <f aca="false">_xlfn.MAXIFS(Épopées!$M$6:$M$59,Épopées!$B$6:$B$59,D15)</f>
        <v>46679</v>
      </c>
    </row>
    <row r="17" customFormat="false" ht="15" hidden="false" customHeight="false" outlineLevel="0" collapsed="false">
      <c r="D17" s="11" t="s">
        <v>3557</v>
      </c>
    </row>
    <row r="18" customFormat="false" ht="15" hidden="false" customHeight="false" outlineLevel="0" collapsed="false">
      <c r="D18" s="64" t="s">
        <v>70</v>
      </c>
      <c r="E18" s="64" t="s">
        <v>3543</v>
      </c>
    </row>
    <row r="19" customFormat="false" ht="15" hidden="false" customHeight="false" outlineLevel="0" collapsed="false">
      <c r="D19" s="31" t="s">
        <v>78</v>
      </c>
      <c r="E19" s="31" t="n">
        <f aca="false">COUNTIFS(Backlog!$O$6:$O$1327,D19)</f>
        <v>1322</v>
      </c>
    </row>
    <row r="20" customFormat="false" ht="15" hidden="false" customHeight="false" outlineLevel="0" collapsed="false">
      <c r="D20" s="31" t="s">
        <v>3548</v>
      </c>
      <c r="E20" s="31" t="n">
        <f aca="false">COUNTIFS(Backlog!$O$6:$O$1327,D20)</f>
        <v>0</v>
      </c>
    </row>
    <row r="21" customFormat="false" ht="15" hidden="false" customHeight="false" outlineLevel="0" collapsed="false">
      <c r="D21" s="31" t="s">
        <v>3558</v>
      </c>
      <c r="E21" s="31" t="n">
        <f aca="false">COUNTIFS(Backlog!$O$6:$O$1327,D21)</f>
        <v>0</v>
      </c>
    </row>
    <row r="22" customFormat="false" ht="15" hidden="false" customHeight="false" outlineLevel="0" collapsed="false">
      <c r="D22" s="31" t="s">
        <v>234</v>
      </c>
      <c r="E22" s="31" t="n">
        <f aca="false">COUNTIFS(Backlog!$O$6:$O$1327,D22)</f>
        <v>0</v>
      </c>
    </row>
    <row r="23" customFormat="false" ht="15" hidden="false" customHeight="false" outlineLevel="0" collapsed="false">
      <c r="D23" s="31" t="s">
        <v>3559</v>
      </c>
      <c r="E23" s="31" t="n">
        <f aca="false">COUNTIFS(Backlog!$O$6:$O$1327,D23)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6070"/>
    <pageSetUpPr fitToPage="false"/>
  </sheetPr>
  <dimension ref="A1:F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6" min="2" style="0" width="22"/>
  </cols>
  <sheetData>
    <row r="1" customFormat="false" ht="19.7" hidden="false" customHeight="false" outlineLevel="0" collapsed="false">
      <c r="A1" s="1" t="s">
        <v>3560</v>
      </c>
    </row>
    <row r="2" customFormat="false" ht="15" hidden="false" customHeight="false" outlineLevel="0" collapsed="false">
      <c r="A2" s="2" t="s">
        <v>3561</v>
      </c>
    </row>
    <row r="4" customFormat="false" ht="23.85" hidden="false" customHeight="false" outlineLevel="0" collapsed="false">
      <c r="A4" s="12" t="s">
        <v>287</v>
      </c>
      <c r="B4" s="12" t="s">
        <v>35</v>
      </c>
      <c r="C4" s="12" t="s">
        <v>3562</v>
      </c>
      <c r="D4" s="12" t="s">
        <v>3563</v>
      </c>
      <c r="E4" s="12" t="s">
        <v>3564</v>
      </c>
      <c r="F4" s="12" t="s">
        <v>3565</v>
      </c>
    </row>
    <row r="5" customFormat="false" ht="15" hidden="false" customHeight="false" outlineLevel="0" collapsed="false">
      <c r="A5" s="54" t="s">
        <v>3566</v>
      </c>
      <c r="B5" s="65"/>
      <c r="C5" s="13" t="n">
        <v>1</v>
      </c>
      <c r="D5" s="13" t="n">
        <v>3</v>
      </c>
      <c r="E5" s="65" t="n">
        <f aca="false">Paramètres!$B$7+Paramètres!$B$8+Paramètres!$B$9</f>
        <v>8</v>
      </c>
      <c r="F5" s="13" t="n">
        <v>12</v>
      </c>
    </row>
    <row r="6" customFormat="false" ht="15" hidden="false" customHeight="false" outlineLevel="0" collapsed="false">
      <c r="A6" s="54" t="s">
        <v>301</v>
      </c>
      <c r="B6" s="66" t="n">
        <f aca="false">SUMIFS(Backlog!$I$6:$I$1327,Backlog!$B$6:$B$1327,A6)</f>
        <v>493.5</v>
      </c>
      <c r="C6" s="65"/>
      <c r="D6" s="65"/>
      <c r="E6" s="65"/>
      <c r="F6" s="65"/>
    </row>
    <row r="7" customFormat="false" ht="15" hidden="false" customHeight="false" outlineLevel="0" collapsed="false">
      <c r="A7" s="54" t="s">
        <v>342</v>
      </c>
      <c r="B7" s="66" t="n">
        <f aca="false">SUMIFS(Backlog!$I$6:$I$1327,Backlog!$B$6:$B$1327,A7)</f>
        <v>599.75</v>
      </c>
      <c r="C7" s="65"/>
      <c r="D7" s="65"/>
      <c r="E7" s="65"/>
      <c r="F7" s="65"/>
    </row>
    <row r="8" customFormat="false" ht="15" hidden="false" customHeight="false" outlineLevel="0" collapsed="false">
      <c r="A8" s="54" t="s">
        <v>404</v>
      </c>
      <c r="B8" s="66" t="n">
        <f aca="false">SUMIFS(Backlog!$I$6:$I$1327,Backlog!$B$6:$B$1327,A8)</f>
        <v>278.5</v>
      </c>
      <c r="C8" s="65"/>
      <c r="D8" s="65"/>
      <c r="E8" s="65"/>
      <c r="F8" s="65"/>
    </row>
    <row r="9" customFormat="false" ht="15" hidden="false" customHeight="false" outlineLevel="0" collapsed="false">
      <c r="A9" s="54" t="s">
        <v>3567</v>
      </c>
      <c r="B9" s="66" t="n">
        <f aca="false">SUM(B6:B8)</f>
        <v>1371.75</v>
      </c>
      <c r="C9" s="67" t="n">
        <f aca="false">ROUNDUP($B$9*(1+Paramètres!$B$6)/(C5*Paramètres!$B$5*5),0)</f>
        <v>395</v>
      </c>
      <c r="D9" s="67" t="n">
        <f aca="false">ROUNDUP($B$9*(1+Paramètres!$B$6)/(D5*Paramètres!$B$5*5),0)</f>
        <v>132</v>
      </c>
      <c r="E9" s="67" t="n">
        <f aca="false">ROUNDUP($B$9*(1+Paramètres!$B$6)/(E5*Paramètres!$B$5*5),0)</f>
        <v>50</v>
      </c>
      <c r="F9" s="67" t="n">
        <f aca="false">ROUNDUP($B$9*(1+Paramètres!$B$6)/(F5*Paramètres!$B$5*5),0)</f>
        <v>33</v>
      </c>
    </row>
    <row r="10" customFormat="false" ht="15" hidden="false" customHeight="false" outlineLevel="0" collapsed="false">
      <c r="A10" s="54" t="s">
        <v>3568</v>
      </c>
      <c r="B10" s="65"/>
      <c r="C10" s="68" t="n">
        <f aca="false">WORKDAY(Paramètres!$B$4,C9*5)</f>
        <v>49093</v>
      </c>
      <c r="D10" s="68" t="n">
        <f aca="false">WORKDAY(Paramètres!$B$4,D9*5)</f>
        <v>47252</v>
      </c>
      <c r="E10" s="68" t="n">
        <f aca="false">WORKDAY(Paramètres!$B$4,E9*5)</f>
        <v>46678</v>
      </c>
      <c r="F10" s="68" t="n">
        <f aca="false">WORKDAY(Paramètres!$B$4,F9*5)</f>
        <v>46559</v>
      </c>
    </row>
    <row r="12" customFormat="false" ht="30" hidden="false" customHeight="true" outlineLevel="0" collapsed="false">
      <c r="A12" s="69" t="s">
        <v>3569</v>
      </c>
      <c r="B12" s="69"/>
      <c r="C12" s="69"/>
      <c r="D12" s="69"/>
      <c r="E12" s="69"/>
      <c r="F12" s="69"/>
    </row>
    <row r="13" customFormat="false" ht="15" hidden="false" customHeight="false" outlineLevel="0" collapsed="false">
      <c r="A13" s="69"/>
      <c r="B13" s="69"/>
      <c r="C13" s="69"/>
      <c r="D13" s="69"/>
      <c r="E13" s="69"/>
      <c r="F13" s="69"/>
    </row>
  </sheetData>
  <mergeCells count="1">
    <mergeCell ref="A12:F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6070"/>
    <pageSetUpPr fitToPage="false"/>
  </sheetPr>
  <dimension ref="A1:G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0"/>
    <col collapsed="false" customWidth="true" hidden="false" outlineLevel="0" max="4" min="3" style="0" width="46"/>
    <col collapsed="false" customWidth="true" hidden="false" outlineLevel="0" max="5" min="5" style="0" width="30"/>
    <col collapsed="false" customWidth="true" hidden="false" outlineLevel="0" max="6" min="6" style="0" width="18"/>
    <col collapsed="false" customWidth="true" hidden="false" outlineLevel="0" max="7" min="7" style="0" width="12"/>
  </cols>
  <sheetData>
    <row r="1" customFormat="false" ht="19.7" hidden="false" customHeight="false" outlineLevel="0" collapsed="false">
      <c r="A1" s="1" t="s">
        <v>3570</v>
      </c>
    </row>
    <row r="2" customFormat="false" ht="15" hidden="false" customHeight="false" outlineLevel="0" collapsed="false">
      <c r="A2" s="2" t="s">
        <v>3571</v>
      </c>
    </row>
    <row r="4" customFormat="false" ht="15" hidden="false" customHeight="false" outlineLevel="0" collapsed="false">
      <c r="A4" s="12" t="s">
        <v>3572</v>
      </c>
      <c r="B4" s="12" t="s">
        <v>3573</v>
      </c>
      <c r="C4" s="12" t="s">
        <v>3574</v>
      </c>
      <c r="D4" s="12" t="s">
        <v>3575</v>
      </c>
      <c r="E4" s="12" t="s">
        <v>3576</v>
      </c>
      <c r="F4" s="12" t="s">
        <v>3577</v>
      </c>
      <c r="G4" s="12" t="s">
        <v>70</v>
      </c>
    </row>
    <row r="5" customFormat="false" ht="43.5" hidden="false" customHeight="true" outlineLevel="0" collapsed="false">
      <c r="A5" s="22" t="s">
        <v>3578</v>
      </c>
      <c r="B5" s="20" t="s">
        <v>3579</v>
      </c>
      <c r="C5" s="22" t="s">
        <v>3580</v>
      </c>
      <c r="D5" s="22" t="s">
        <v>3581</v>
      </c>
      <c r="E5" s="22" t="s">
        <v>3582</v>
      </c>
      <c r="F5" s="25" t="s">
        <v>3583</v>
      </c>
      <c r="G5" s="25" t="s">
        <v>3584</v>
      </c>
    </row>
    <row r="6" customFormat="false" ht="43.5" hidden="false" customHeight="true" outlineLevel="0" collapsed="false">
      <c r="A6" s="22" t="s">
        <v>3585</v>
      </c>
      <c r="B6" s="20" t="s">
        <v>3586</v>
      </c>
      <c r="C6" s="22" t="s">
        <v>3587</v>
      </c>
      <c r="D6" s="22" t="s">
        <v>3588</v>
      </c>
      <c r="E6" s="22" t="s">
        <v>3589</v>
      </c>
      <c r="F6" s="25" t="s">
        <v>3583</v>
      </c>
      <c r="G6" s="25" t="s">
        <v>3584</v>
      </c>
    </row>
    <row r="7" customFormat="false" ht="43.5" hidden="false" customHeight="true" outlineLevel="0" collapsed="false">
      <c r="A7" s="22" t="s">
        <v>3590</v>
      </c>
      <c r="B7" s="20" t="s">
        <v>3591</v>
      </c>
      <c r="C7" s="22" t="s">
        <v>3592</v>
      </c>
      <c r="D7" s="22" t="s">
        <v>3593</v>
      </c>
      <c r="E7" s="22" t="s">
        <v>3594</v>
      </c>
      <c r="F7" s="25" t="s">
        <v>3583</v>
      </c>
      <c r="G7" s="25" t="s">
        <v>3584</v>
      </c>
    </row>
    <row r="8" customFormat="false" ht="43.5" hidden="false" customHeight="true" outlineLevel="0" collapsed="false">
      <c r="A8" s="22" t="s">
        <v>3595</v>
      </c>
      <c r="B8" s="20" t="s">
        <v>3596</v>
      </c>
      <c r="C8" s="22" t="s">
        <v>3592</v>
      </c>
      <c r="D8" s="22" t="s">
        <v>3597</v>
      </c>
      <c r="E8" s="22" t="s">
        <v>3598</v>
      </c>
      <c r="F8" s="25" t="s">
        <v>3583</v>
      </c>
      <c r="G8" s="25" t="s">
        <v>3584</v>
      </c>
    </row>
    <row r="9" customFormat="false" ht="43.5" hidden="false" customHeight="true" outlineLevel="0" collapsed="false">
      <c r="A9" s="22" t="s">
        <v>3599</v>
      </c>
      <c r="B9" s="20" t="s">
        <v>3600</v>
      </c>
      <c r="C9" s="22" t="s">
        <v>3601</v>
      </c>
      <c r="D9" s="22" t="s">
        <v>3602</v>
      </c>
      <c r="E9" s="22" t="s">
        <v>3603</v>
      </c>
      <c r="F9" s="25" t="s">
        <v>3583</v>
      </c>
      <c r="G9" s="25" t="s">
        <v>3584</v>
      </c>
    </row>
    <row r="10" customFormat="false" ht="43.5" hidden="false" customHeight="true" outlineLevel="0" collapsed="false">
      <c r="A10" s="22" t="s">
        <v>3604</v>
      </c>
      <c r="B10" s="20" t="s">
        <v>3605</v>
      </c>
      <c r="C10" s="22" t="s">
        <v>3606</v>
      </c>
      <c r="D10" s="22" t="s">
        <v>3607</v>
      </c>
      <c r="E10" s="22" t="s">
        <v>179</v>
      </c>
      <c r="F10" s="25" t="s">
        <v>3583</v>
      </c>
      <c r="G10" s="25" t="s">
        <v>3584</v>
      </c>
    </row>
    <row r="11" customFormat="false" ht="43.5" hidden="false" customHeight="true" outlineLevel="0" collapsed="false">
      <c r="A11" s="22" t="s">
        <v>3608</v>
      </c>
      <c r="B11" s="20" t="s">
        <v>3609</v>
      </c>
      <c r="C11" s="22" t="s">
        <v>3610</v>
      </c>
      <c r="D11" s="22" t="s">
        <v>3611</v>
      </c>
      <c r="E11" s="22" t="s">
        <v>172</v>
      </c>
      <c r="F11" s="25" t="s">
        <v>3583</v>
      </c>
      <c r="G11" s="25" t="s">
        <v>3584</v>
      </c>
    </row>
    <row r="12" customFormat="false" ht="43.5" hidden="false" customHeight="true" outlineLevel="0" collapsed="false">
      <c r="A12" s="22" t="s">
        <v>3612</v>
      </c>
      <c r="B12" s="20" t="s">
        <v>3613</v>
      </c>
      <c r="C12" s="22" t="s">
        <v>3614</v>
      </c>
      <c r="D12" s="22" t="s">
        <v>3615</v>
      </c>
      <c r="E12" s="22" t="s">
        <v>199</v>
      </c>
      <c r="F12" s="25" t="s">
        <v>3583</v>
      </c>
      <c r="G12" s="25" t="s">
        <v>3584</v>
      </c>
    </row>
    <row r="13" customFormat="false" ht="43.5" hidden="false" customHeight="true" outlineLevel="0" collapsed="false">
      <c r="A13" s="22" t="s">
        <v>3616</v>
      </c>
      <c r="B13" s="20" t="s">
        <v>3617</v>
      </c>
      <c r="C13" s="22" t="s">
        <v>3618</v>
      </c>
      <c r="D13" s="22" t="s">
        <v>3619</v>
      </c>
      <c r="E13" s="22" t="s">
        <v>166</v>
      </c>
      <c r="F13" s="25" t="s">
        <v>3583</v>
      </c>
      <c r="G13" s="25" t="s">
        <v>3584</v>
      </c>
    </row>
    <row r="14" customFormat="false" ht="43.5" hidden="false" customHeight="true" outlineLevel="0" collapsed="false">
      <c r="A14" s="22" t="s">
        <v>3620</v>
      </c>
      <c r="B14" s="20" t="s">
        <v>3621</v>
      </c>
      <c r="C14" s="22" t="s">
        <v>3622</v>
      </c>
      <c r="D14" s="22" t="s">
        <v>3623</v>
      </c>
      <c r="E14" s="22" t="s">
        <v>3624</v>
      </c>
      <c r="F14" s="25" t="s">
        <v>3583</v>
      </c>
      <c r="G14" s="25" t="s">
        <v>3584</v>
      </c>
    </row>
    <row r="15" customFormat="false" ht="43.5" hidden="false" customHeight="true" outlineLevel="0" collapsed="false">
      <c r="A15" s="22" t="s">
        <v>3625</v>
      </c>
      <c r="B15" s="20" t="s">
        <v>3626</v>
      </c>
      <c r="C15" s="22" t="s">
        <v>3627</v>
      </c>
      <c r="D15" s="22" t="s">
        <v>3628</v>
      </c>
      <c r="E15" s="22" t="s">
        <v>139</v>
      </c>
      <c r="F15" s="25" t="s">
        <v>3583</v>
      </c>
      <c r="G15" s="25" t="s">
        <v>3584</v>
      </c>
    </row>
    <row r="16" customFormat="false" ht="43.5" hidden="false" customHeight="true" outlineLevel="0" collapsed="false">
      <c r="A16" s="22" t="s">
        <v>3629</v>
      </c>
      <c r="B16" s="20" t="s">
        <v>3630</v>
      </c>
      <c r="C16" s="22" t="s">
        <v>3631</v>
      </c>
      <c r="D16" s="22" t="s">
        <v>3632</v>
      </c>
      <c r="E16" s="22" t="s">
        <v>3633</v>
      </c>
      <c r="F16" s="25" t="s">
        <v>3583</v>
      </c>
      <c r="G16" s="25" t="s">
        <v>3584</v>
      </c>
    </row>
    <row r="17" customFormat="false" ht="43.5" hidden="false" customHeight="true" outlineLevel="0" collapsed="false">
      <c r="A17" s="22" t="s">
        <v>3634</v>
      </c>
      <c r="B17" s="20" t="s">
        <v>3635</v>
      </c>
      <c r="C17" s="22" t="s">
        <v>3636</v>
      </c>
      <c r="D17" s="22" t="s">
        <v>3637</v>
      </c>
      <c r="E17" s="22" t="s">
        <v>3638</v>
      </c>
      <c r="F17" s="25" t="s">
        <v>3583</v>
      </c>
      <c r="G17" s="25" t="s">
        <v>3584</v>
      </c>
    </row>
    <row r="18" customFormat="false" ht="43.5" hidden="false" customHeight="true" outlineLevel="0" collapsed="false">
      <c r="A18" s="22" t="s">
        <v>3639</v>
      </c>
      <c r="B18" s="20" t="s">
        <v>3640</v>
      </c>
      <c r="C18" s="22" t="s">
        <v>3641</v>
      </c>
      <c r="D18" s="22" t="s">
        <v>3642</v>
      </c>
      <c r="E18" s="22" t="s">
        <v>3643</v>
      </c>
      <c r="F18" s="25" t="s">
        <v>3583</v>
      </c>
      <c r="G18" s="25" t="s">
        <v>3584</v>
      </c>
    </row>
    <row r="19" customFormat="false" ht="43.5" hidden="false" customHeight="true" outlineLevel="0" collapsed="false">
      <c r="A19" s="22" t="s">
        <v>3644</v>
      </c>
      <c r="B19" s="20" t="s">
        <v>3645</v>
      </c>
      <c r="C19" s="22" t="s">
        <v>3646</v>
      </c>
      <c r="D19" s="22" t="s">
        <v>3647</v>
      </c>
      <c r="E19" s="22" t="s">
        <v>3648</v>
      </c>
      <c r="F19" s="25" t="s">
        <v>3583</v>
      </c>
      <c r="G19" s="25" t="s">
        <v>3584</v>
      </c>
    </row>
    <row r="20" customFormat="false" ht="43.5" hidden="false" customHeight="true" outlineLevel="0" collapsed="false">
      <c r="A20" s="22" t="s">
        <v>3649</v>
      </c>
      <c r="B20" s="20" t="s">
        <v>3650</v>
      </c>
      <c r="C20" s="22" t="s">
        <v>3651</v>
      </c>
      <c r="D20" s="22" t="s">
        <v>3652</v>
      </c>
      <c r="E20" s="22" t="s">
        <v>3653</v>
      </c>
      <c r="F20" s="25" t="s">
        <v>3583</v>
      </c>
      <c r="G20" s="25" t="s">
        <v>3584</v>
      </c>
    </row>
    <row r="21" customFormat="false" ht="43.5" hidden="false" customHeight="true" outlineLevel="0" collapsed="false">
      <c r="A21" s="22" t="s">
        <v>3654</v>
      </c>
      <c r="B21" s="20" t="s">
        <v>3655</v>
      </c>
      <c r="C21" s="22" t="s">
        <v>3656</v>
      </c>
      <c r="D21" s="22" t="s">
        <v>3657</v>
      </c>
      <c r="E21" s="22" t="s">
        <v>405</v>
      </c>
      <c r="F21" s="25" t="s">
        <v>3583</v>
      </c>
      <c r="G21" s="25" t="s">
        <v>3584</v>
      </c>
    </row>
    <row r="22" customFormat="false" ht="43.5" hidden="false" customHeight="true" outlineLevel="0" collapsed="false">
      <c r="A22" s="22" t="s">
        <v>3658</v>
      </c>
      <c r="B22" s="20" t="s">
        <v>3659</v>
      </c>
      <c r="C22" s="22" t="s">
        <v>3660</v>
      </c>
      <c r="D22" s="22" t="s">
        <v>3661</v>
      </c>
      <c r="E22" s="22" t="s">
        <v>3662</v>
      </c>
      <c r="F22" s="25" t="s">
        <v>3583</v>
      </c>
      <c r="G22" s="25" t="s">
        <v>3584</v>
      </c>
    </row>
    <row r="23" customFormat="false" ht="43.5" hidden="false" customHeight="true" outlineLevel="0" collapsed="false">
      <c r="A23" s="22" t="s">
        <v>3663</v>
      </c>
      <c r="B23" s="20" t="s">
        <v>3664</v>
      </c>
      <c r="C23" s="22" t="s">
        <v>3665</v>
      </c>
      <c r="D23" s="22" t="s">
        <v>3666</v>
      </c>
      <c r="E23" s="22" t="s">
        <v>3594</v>
      </c>
      <c r="F23" s="25" t="s">
        <v>3583</v>
      </c>
      <c r="G23" s="25" t="s">
        <v>3584</v>
      </c>
    </row>
    <row r="26" customFormat="false" ht="15" hidden="false" customHeight="false" outlineLevel="0" collapsed="false">
      <c r="A26" s="70" t="s">
        <v>3667</v>
      </c>
    </row>
    <row r="27" customFormat="false" ht="15" hidden="false" customHeight="false" outlineLevel="0" collapsed="false">
      <c r="A27" s="30" t="s">
        <v>3572</v>
      </c>
      <c r="B27" s="30" t="s">
        <v>3668</v>
      </c>
      <c r="C27" s="30" t="s">
        <v>3669</v>
      </c>
      <c r="D27" s="30" t="s">
        <v>3670</v>
      </c>
      <c r="E27" s="30" t="s">
        <v>3671</v>
      </c>
      <c r="F27" s="30" t="s">
        <v>3672</v>
      </c>
      <c r="G27" s="30" t="s">
        <v>70</v>
      </c>
    </row>
    <row r="28" customFormat="false" ht="36" hidden="false" customHeight="true" outlineLevel="0" collapsed="false">
      <c r="A28" s="22" t="s">
        <v>3673</v>
      </c>
      <c r="B28" s="20" t="s">
        <v>3674</v>
      </c>
      <c r="C28" s="22" t="s">
        <v>3675</v>
      </c>
      <c r="D28" s="22" t="s">
        <v>3676</v>
      </c>
      <c r="E28" s="22" t="s">
        <v>3677</v>
      </c>
      <c r="F28" s="22" t="s">
        <v>3678</v>
      </c>
      <c r="G28" s="22" t="s">
        <v>3679</v>
      </c>
    </row>
    <row r="29" customFormat="false" ht="36" hidden="false" customHeight="true" outlineLevel="0" collapsed="false">
      <c r="A29" s="22" t="s">
        <v>3680</v>
      </c>
      <c r="B29" s="20" t="s">
        <v>3681</v>
      </c>
      <c r="C29" s="22" t="s">
        <v>3682</v>
      </c>
      <c r="D29" s="22" t="s">
        <v>3683</v>
      </c>
      <c r="E29" s="22" t="s">
        <v>321</v>
      </c>
      <c r="F29" s="22" t="s">
        <v>3678</v>
      </c>
      <c r="G29" s="22" t="s">
        <v>3679</v>
      </c>
    </row>
    <row r="30" customFormat="false" ht="36" hidden="false" customHeight="true" outlineLevel="0" collapsed="false">
      <c r="A30" s="22" t="s">
        <v>3684</v>
      </c>
      <c r="B30" s="20" t="s">
        <v>3685</v>
      </c>
      <c r="C30" s="22" t="s">
        <v>3675</v>
      </c>
      <c r="D30" s="22" t="s">
        <v>3686</v>
      </c>
      <c r="E30" s="22" t="s">
        <v>3687</v>
      </c>
      <c r="F30" s="22" t="s">
        <v>3678</v>
      </c>
      <c r="G30" s="22" t="s">
        <v>3679</v>
      </c>
    </row>
    <row r="31" customFormat="false" ht="36" hidden="false" customHeight="true" outlineLevel="0" collapsed="false">
      <c r="A31" s="22" t="s">
        <v>3688</v>
      </c>
      <c r="B31" s="20" t="s">
        <v>3689</v>
      </c>
      <c r="C31" s="22" t="s">
        <v>3675</v>
      </c>
      <c r="D31" s="22" t="s">
        <v>3690</v>
      </c>
      <c r="E31" s="22" t="s">
        <v>3691</v>
      </c>
      <c r="F31" s="22" t="s">
        <v>3692</v>
      </c>
      <c r="G31" s="22" t="s">
        <v>3679</v>
      </c>
    </row>
    <row r="32" customFormat="false" ht="36" hidden="false" customHeight="true" outlineLevel="0" collapsed="false">
      <c r="A32" s="22" t="s">
        <v>3693</v>
      </c>
      <c r="B32" s="20" t="s">
        <v>3694</v>
      </c>
      <c r="C32" s="22" t="s">
        <v>3675</v>
      </c>
      <c r="D32" s="22" t="s">
        <v>3695</v>
      </c>
      <c r="E32" s="22" t="s">
        <v>3696</v>
      </c>
      <c r="F32" s="22" t="s">
        <v>3697</v>
      </c>
      <c r="G32" s="22" t="s">
        <v>3679</v>
      </c>
    </row>
    <row r="33" customFormat="false" ht="36" hidden="false" customHeight="true" outlineLevel="0" collapsed="false">
      <c r="A33" s="22" t="s">
        <v>3698</v>
      </c>
      <c r="B33" s="20" t="s">
        <v>3699</v>
      </c>
      <c r="C33" s="22" t="s">
        <v>3682</v>
      </c>
      <c r="D33" s="22" t="s">
        <v>3700</v>
      </c>
      <c r="E33" s="22" t="s">
        <v>3701</v>
      </c>
      <c r="F33" s="22" t="s">
        <v>3702</v>
      </c>
      <c r="G33" s="22" t="s">
        <v>3679</v>
      </c>
    </row>
    <row r="34" customFormat="false" ht="36" hidden="false" customHeight="true" outlineLevel="0" collapsed="false">
      <c r="A34" s="22" t="s">
        <v>3703</v>
      </c>
      <c r="B34" s="20" t="s">
        <v>3704</v>
      </c>
      <c r="C34" s="22" t="s">
        <v>3682</v>
      </c>
      <c r="D34" s="22" t="s">
        <v>3705</v>
      </c>
      <c r="E34" s="22" t="s">
        <v>3706</v>
      </c>
      <c r="F34" s="22" t="s">
        <v>3678</v>
      </c>
      <c r="G34" s="22" t="s">
        <v>3679</v>
      </c>
    </row>
  </sheetData>
  <dataValidations count="1">
    <dataValidation allowBlank="false" errorStyle="stop" operator="between" showDropDown="false" showErrorMessage="false" showInputMessage="false" sqref="G5:G24" type="list">
      <formula1>"À trancher,Décidé,Reporté"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2026-10-16T09:22:34Z</dcterms:created>
  <dc:creator>openpyxl</dc:creator>
  <dc:description/>
  <dc:language>en-US</dc:language>
  <cp:lastModifiedBy/>
  <dcterms:modified xsi:type="dcterms:W3CDTF">2026-10-16T09:22:41Z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